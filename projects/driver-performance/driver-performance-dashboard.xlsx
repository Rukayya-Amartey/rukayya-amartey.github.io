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59B00088-1589-4C86-AAD7-3280C90BF987}" xr6:coauthVersionLast="47" xr6:coauthVersionMax="47" xr10:uidLastSave="{00000000-0000-0000-0000-000000000000}"/>
  <bookViews>
    <workbookView xWindow="-110" yWindow="-110" windowWidth="19420" windowHeight="10300" tabRatio="1000" activeTab="8" xr2:uid="{00A72CBC-C4FF-4ED0-9DBA-63E9C01DC089}"/>
  </bookViews>
  <sheets>
    <sheet name="drivers" sheetId="2" r:id="rId1"/>
    <sheet name="driver_monthly_metrics" sheetId="3" r:id="rId2"/>
    <sheet name="safety_incidents" sheetId="4" r:id="rId3"/>
    <sheet name="Revenue" sheetId="7" r:id="rId4"/>
    <sheet name="Time_Delivery" sheetId="8" r:id="rId5"/>
    <sheet name="MPG" sheetId="9" r:id="rId6"/>
    <sheet name="ScatterPlot" sheetId="16" r:id="rId7"/>
    <sheet name="Incident_type" sheetId="11" r:id="rId8"/>
    <sheet name="Dashboard" sheetId="12" r:id="rId9"/>
  </sheets>
  <definedNames>
    <definedName name="ExternalData_1" localSheetId="1" hidden="1">driver_monthly_metrics!$A$1:$I$4465</definedName>
    <definedName name="ExternalData_1" localSheetId="0" hidden="1">drivers!$A$1:$L$151</definedName>
    <definedName name="ExternalData_1" localSheetId="2" hidden="1">safety_incidents!$A$1:$O$171</definedName>
    <definedName name="Slicer_at_fault_flag">#N/A</definedName>
    <definedName name="Slicer_month">#N/A</definedName>
    <definedName name="Slicer_preventable_flag">#N/A</definedName>
    <definedName name="Slicer_trips_completed">#N/A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6" l="1"/>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2" i="16"/>
  <c r="B2" i="16" a="1"/>
  <c r="B2" i="16" s="1"/>
  <c r="A2" i="16" a="1"/>
  <c r="A2"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55500C-5B6D-45F2-91DF-19D32FD1568A}" keepAlive="1" name="Query - driver_monthly_metrics" description="Connection to the 'driver_monthly_metrics' query in the workbook." type="5" refreshedVersion="8" background="1" saveData="1">
    <dbPr connection="Provider=Microsoft.Mashup.OleDb.1;Data Source=$Workbook$;Location=driver_monthly_metrics;Extended Properties=&quot;&quot;" command="SELECT * FROM [driver_monthly_metrics]"/>
  </connection>
  <connection id="2" xr16:uid="{D64F890C-D42C-4600-B9F0-F2A0525BCD59}" keepAlive="1" name="Query - drivers" description="Connection to the 'drivers' query in the workbook." type="5" refreshedVersion="8" background="1" saveData="1">
    <dbPr connection="Provider=Microsoft.Mashup.OleDb.1;Data Source=$Workbook$;Location=drivers;Extended Properties=&quot;&quot;" command="SELECT * FROM [drivers]"/>
  </connection>
  <connection id="3" xr16:uid="{63349664-CD19-44E8-A57D-DAFF98BA49EC}" keepAlive="1" name="Query - safety_incidents" description="Connection to the 'safety_incidents' query in the workbook." type="5" refreshedVersion="8" background="1" saveData="1">
    <dbPr connection="Provider=Microsoft.Mashup.OleDb.1;Data Source=$Workbook$;Location=safety_incidents;Extended Properties=&quot;&quot;" command="SELECT * FROM [safety_inciden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<sst xmlns="http://schemas.openxmlformats.org/spreadsheetml/2006/main" count="7107" uniqueCount="871">
  <si>
    <t>driver_id</t>
  </si>
  <si>
    <t>first_name</t>
  </si>
  <si>
    <t>last_name</t>
  </si>
  <si>
    <t>hire_date</t>
  </si>
  <si>
    <t>termination_date</t>
  </si>
  <si>
    <t>license_number</t>
  </si>
  <si>
    <t>license_state</t>
  </si>
  <si>
    <t>date_of_birth</t>
  </si>
  <si>
    <t>home_terminal</t>
  </si>
  <si>
    <t>employment_status</t>
  </si>
  <si>
    <t>cdl_class</t>
  </si>
  <si>
    <t>years_experience</t>
  </si>
  <si>
    <t>DRV00001</t>
  </si>
  <si>
    <t>Jennifer</t>
  </si>
  <si>
    <t>Hernandez</t>
  </si>
  <si>
    <t>DL673510887</t>
  </si>
  <si>
    <t>WA</t>
  </si>
  <si>
    <t>Denver</t>
  </si>
  <si>
    <t>Active</t>
  </si>
  <si>
    <t>A</t>
  </si>
  <si>
    <t>DRV00002</t>
  </si>
  <si>
    <t>William</t>
  </si>
  <si>
    <t>Martin</t>
  </si>
  <si>
    <t>DL128955006</t>
  </si>
  <si>
    <t>GA</t>
  </si>
  <si>
    <t>Columbus</t>
  </si>
  <si>
    <t>DRV00003</t>
  </si>
  <si>
    <t>Charles</t>
  </si>
  <si>
    <t>DL523076025</t>
  </si>
  <si>
    <t>NC</t>
  </si>
  <si>
    <t>Salt Lake City</t>
  </si>
  <si>
    <t>DRV00004</t>
  </si>
  <si>
    <t>Barbara</t>
  </si>
  <si>
    <t>Brown</t>
  </si>
  <si>
    <t>DL735540030</t>
  </si>
  <si>
    <t>DRV00005</t>
  </si>
  <si>
    <t>Mary</t>
  </si>
  <si>
    <t>Martinez</t>
  </si>
  <si>
    <t>DL706011277</t>
  </si>
  <si>
    <t>AZ</t>
  </si>
  <si>
    <t>Chicago</t>
  </si>
  <si>
    <t>DRV00006</t>
  </si>
  <si>
    <t>Robert</t>
  </si>
  <si>
    <t>Taylor</t>
  </si>
  <si>
    <t>DL811890569</t>
  </si>
  <si>
    <t>Portland</t>
  </si>
  <si>
    <t>DRV00007</t>
  </si>
  <si>
    <t>James</t>
  </si>
  <si>
    <t>DL129100607</t>
  </si>
  <si>
    <t>PA</t>
  </si>
  <si>
    <t>Miami</t>
  </si>
  <si>
    <t>Terminated</t>
  </si>
  <si>
    <t>DRV00008</t>
  </si>
  <si>
    <t>Wilson</t>
  </si>
  <si>
    <t>DL190137896</t>
  </si>
  <si>
    <t>CO</t>
  </si>
  <si>
    <t>Philadelphia</t>
  </si>
  <si>
    <t>DRV00009</t>
  </si>
  <si>
    <t>Karen</t>
  </si>
  <si>
    <t>DL790147183</t>
  </si>
  <si>
    <t>FL</t>
  </si>
  <si>
    <t>Los Angeles</t>
  </si>
  <si>
    <t>DRV00010</t>
  </si>
  <si>
    <t>Sarah</t>
  </si>
  <si>
    <t>Gonzalez</t>
  </si>
  <si>
    <t>DL560219456</t>
  </si>
  <si>
    <t>Minneapolis</t>
  </si>
  <si>
    <t>DRV00011</t>
  </si>
  <si>
    <t>Michael</t>
  </si>
  <si>
    <t>DL245706210</t>
  </si>
  <si>
    <t>Dallas</t>
  </si>
  <si>
    <t>DRV00012</t>
  </si>
  <si>
    <t>Moore</t>
  </si>
  <si>
    <t>DL595744935</t>
  </si>
  <si>
    <t>MO</t>
  </si>
  <si>
    <t>Nashville</t>
  </si>
  <si>
    <t>DRV00013</t>
  </si>
  <si>
    <t>Jessica</t>
  </si>
  <si>
    <t>Jones</t>
  </si>
  <si>
    <t>DL295130056</t>
  </si>
  <si>
    <t>WI</t>
  </si>
  <si>
    <t>DRV00014</t>
  </si>
  <si>
    <t>Richard</t>
  </si>
  <si>
    <t>Miller</t>
  </si>
  <si>
    <t>DL153992714</t>
  </si>
  <si>
    <t>DRV00015</t>
  </si>
  <si>
    <t>Susan</t>
  </si>
  <si>
    <t>DL379340713</t>
  </si>
  <si>
    <t>OH</t>
  </si>
  <si>
    <t>DRV00016</t>
  </si>
  <si>
    <t>Thomas</t>
  </si>
  <si>
    <t>DL507059676</t>
  </si>
  <si>
    <t>Kansas City</t>
  </si>
  <si>
    <t>DRV00017</t>
  </si>
  <si>
    <t>Garcia</t>
  </si>
  <si>
    <t>DL451492250</t>
  </si>
  <si>
    <t>IN</t>
  </si>
  <si>
    <t>Atlanta</t>
  </si>
  <si>
    <t>DRV00018</t>
  </si>
  <si>
    <t>Patricia</t>
  </si>
  <si>
    <t>DL327268503</t>
  </si>
  <si>
    <t>DRV00019</t>
  </si>
  <si>
    <t>Jackson</t>
  </si>
  <si>
    <t>DL588229686</t>
  </si>
  <si>
    <t>TX</t>
  </si>
  <si>
    <t>Seattle</t>
  </si>
  <si>
    <t>DRV00020</t>
  </si>
  <si>
    <t>Joseph</t>
  </si>
  <si>
    <t>DL450948014</t>
  </si>
  <si>
    <t>Houston</t>
  </si>
  <si>
    <t>DRV00021</t>
  </si>
  <si>
    <t>DL462388455</t>
  </si>
  <si>
    <t>OK</t>
  </si>
  <si>
    <t>New York</t>
  </si>
  <si>
    <t>DRV00022</t>
  </si>
  <si>
    <t>DL917364173</t>
  </si>
  <si>
    <t>NV</t>
  </si>
  <si>
    <t>Memphis</t>
  </si>
  <si>
    <t>DRV00023</t>
  </si>
  <si>
    <t>David</t>
  </si>
  <si>
    <t>Smith</t>
  </si>
  <si>
    <t>DL507083673</t>
  </si>
  <si>
    <t>DRV00024</t>
  </si>
  <si>
    <t>DL398775766</t>
  </si>
  <si>
    <t>DRV00025</t>
  </si>
  <si>
    <t>DL907464398</t>
  </si>
  <si>
    <t>NE</t>
  </si>
  <si>
    <t>Omaha</t>
  </si>
  <si>
    <t>DRV00026</t>
  </si>
  <si>
    <t>DL993271900</t>
  </si>
  <si>
    <t>DRV00027</t>
  </si>
  <si>
    <t>DL552651788</t>
  </si>
  <si>
    <t>DRV00028</t>
  </si>
  <si>
    <t>DL370874491</t>
  </si>
  <si>
    <t>DRV00029</t>
  </si>
  <si>
    <t>DL996478772</t>
  </si>
  <si>
    <t>UT</t>
  </si>
  <si>
    <t>DRV00030</t>
  </si>
  <si>
    <t>DL187946147</t>
  </si>
  <si>
    <t>DRV00031</t>
  </si>
  <si>
    <t>Anderson</t>
  </si>
  <si>
    <t>DL604988121</t>
  </si>
  <si>
    <t>DRV00032</t>
  </si>
  <si>
    <t>DL120812641</t>
  </si>
  <si>
    <t>MN</t>
  </si>
  <si>
    <t>DRV00033</t>
  </si>
  <si>
    <t>DL904258674</t>
  </si>
  <si>
    <t>DRV00034</t>
  </si>
  <si>
    <t>DL679196799</t>
  </si>
  <si>
    <t>DRV00035</t>
  </si>
  <si>
    <t>DL155926488</t>
  </si>
  <si>
    <t>MI</t>
  </si>
  <si>
    <t>DRV00036</t>
  </si>
  <si>
    <t>DL475767056</t>
  </si>
  <si>
    <t>DRV00037</t>
  </si>
  <si>
    <t>DL340756713</t>
  </si>
  <si>
    <t>OR</t>
  </si>
  <si>
    <t>DRV00038</t>
  </si>
  <si>
    <t>Williams</t>
  </si>
  <si>
    <t>DL798086909</t>
  </si>
  <si>
    <t>DRV00039</t>
  </si>
  <si>
    <t>DL173678414</t>
  </si>
  <si>
    <t>DRV00040</t>
  </si>
  <si>
    <t>DL938842599</t>
  </si>
  <si>
    <t>DRV00041</t>
  </si>
  <si>
    <t>DL799816232</t>
  </si>
  <si>
    <t>TN</t>
  </si>
  <si>
    <t>Phoenix</t>
  </si>
  <si>
    <t>DRV00042</t>
  </si>
  <si>
    <t>DL143226844</t>
  </si>
  <si>
    <t>DRV00043</t>
  </si>
  <si>
    <t>DL909851739</t>
  </si>
  <si>
    <t>DRV00044</t>
  </si>
  <si>
    <t>Davis</t>
  </si>
  <si>
    <t>DL133318206</t>
  </si>
  <si>
    <t>DRV00045</t>
  </si>
  <si>
    <t>DL365518424</t>
  </si>
  <si>
    <t>DRV00046</t>
  </si>
  <si>
    <t>DL314061901</t>
  </si>
  <si>
    <t>DRV00047</t>
  </si>
  <si>
    <t>Elizabeth</t>
  </si>
  <si>
    <t>DL121882877</t>
  </si>
  <si>
    <t>DRV00048</t>
  </si>
  <si>
    <t>DL767154083</t>
  </si>
  <si>
    <t>DRV00049</t>
  </si>
  <si>
    <t>John</t>
  </si>
  <si>
    <t>DL263619298</t>
  </si>
  <si>
    <t>DRV00050</t>
  </si>
  <si>
    <t>Johnson</t>
  </si>
  <si>
    <t>DL356135680</t>
  </si>
  <si>
    <t>DRV00051</t>
  </si>
  <si>
    <t>Linda</t>
  </si>
  <si>
    <t>DL235528741</t>
  </si>
  <si>
    <t>DRV00052</t>
  </si>
  <si>
    <t>DL608482316</t>
  </si>
  <si>
    <t>DRV00053</t>
  </si>
  <si>
    <t>DL818825964</t>
  </si>
  <si>
    <t>DRV00054</t>
  </si>
  <si>
    <t>DL222824732</t>
  </si>
  <si>
    <t>DRV00055</t>
  </si>
  <si>
    <t>DL705557720</t>
  </si>
  <si>
    <t>DRV00056</t>
  </si>
  <si>
    <t>DL334037646</t>
  </si>
  <si>
    <t>Oklahoma City</t>
  </si>
  <si>
    <t>DRV00057</t>
  </si>
  <si>
    <t>DL599326438</t>
  </si>
  <si>
    <t>Las Vegas</t>
  </si>
  <si>
    <t>DRV00058</t>
  </si>
  <si>
    <t>DL851044796</t>
  </si>
  <si>
    <t>Indianapolis</t>
  </si>
  <si>
    <t>DRV00059</t>
  </si>
  <si>
    <t>DL375139575</t>
  </si>
  <si>
    <t>CA</t>
  </si>
  <si>
    <t>DRV00060</t>
  </si>
  <si>
    <t>DL923450567</t>
  </si>
  <si>
    <t>DRV00061</t>
  </si>
  <si>
    <t>DL496098177</t>
  </si>
  <si>
    <t>DRV00062</t>
  </si>
  <si>
    <t>DL280162221</t>
  </si>
  <si>
    <t>Charlotte</t>
  </si>
  <si>
    <t>DRV00063</t>
  </si>
  <si>
    <t>DL750572325</t>
  </si>
  <si>
    <t>DRV00064</t>
  </si>
  <si>
    <t>DL752027025</t>
  </si>
  <si>
    <t>DRV00065</t>
  </si>
  <si>
    <t>DL903079055</t>
  </si>
  <si>
    <t>DRV00066</t>
  </si>
  <si>
    <t>DL871330207</t>
  </si>
  <si>
    <t>DRV00067</t>
  </si>
  <si>
    <t>DL222978730</t>
  </si>
  <si>
    <t>DRV00068</t>
  </si>
  <si>
    <t>DL935147672</t>
  </si>
  <si>
    <t>DRV00069</t>
  </si>
  <si>
    <t>DL979717936</t>
  </si>
  <si>
    <t>DRV00070</t>
  </si>
  <si>
    <t>DL275842194</t>
  </si>
  <si>
    <t>DRV00071</t>
  </si>
  <si>
    <t>DL433975497</t>
  </si>
  <si>
    <t>DRV00072</t>
  </si>
  <si>
    <t>DL216070149</t>
  </si>
  <si>
    <t>DRV00073</t>
  </si>
  <si>
    <t>DL721358005</t>
  </si>
  <si>
    <t>DRV00074</t>
  </si>
  <si>
    <t>DL127571992</t>
  </si>
  <si>
    <t>DRV00075</t>
  </si>
  <si>
    <t>DL434961542</t>
  </si>
  <si>
    <t>DRV00076</t>
  </si>
  <si>
    <t>DL718257024</t>
  </si>
  <si>
    <t>DRV00077</t>
  </si>
  <si>
    <t>DL827296111</t>
  </si>
  <si>
    <t>Detroit</t>
  </si>
  <si>
    <t>DRV00078</t>
  </si>
  <si>
    <t>DL502982778</t>
  </si>
  <si>
    <t>DRV00079</t>
  </si>
  <si>
    <t>DL525904456</t>
  </si>
  <si>
    <t>DRV00080</t>
  </si>
  <si>
    <t>DL867741192</t>
  </si>
  <si>
    <t>DRV00081</t>
  </si>
  <si>
    <t>DL312954978</t>
  </si>
  <si>
    <t>DRV00082</t>
  </si>
  <si>
    <t>DL181600593</t>
  </si>
  <si>
    <t>DRV00083</t>
  </si>
  <si>
    <t>DL735760237</t>
  </si>
  <si>
    <t>DRV00084</t>
  </si>
  <si>
    <t>DL841541582</t>
  </si>
  <si>
    <t>DRV00085</t>
  </si>
  <si>
    <t>DL991819497</t>
  </si>
  <si>
    <t>DRV00086</t>
  </si>
  <si>
    <t>DL773496394</t>
  </si>
  <si>
    <t>DRV00087</t>
  </si>
  <si>
    <t>DL360757540</t>
  </si>
  <si>
    <t>DRV00088</t>
  </si>
  <si>
    <t>DL209415691</t>
  </si>
  <si>
    <t>Milwaukee</t>
  </si>
  <si>
    <t>DRV00089</t>
  </si>
  <si>
    <t>DL848605284</t>
  </si>
  <si>
    <t>DRV00090</t>
  </si>
  <si>
    <t>DL929445037</t>
  </si>
  <si>
    <t>NY</t>
  </si>
  <si>
    <t>DRV00091</t>
  </si>
  <si>
    <t>Rodriguez</t>
  </si>
  <si>
    <t>DL423821937</t>
  </si>
  <si>
    <t>DRV00092</t>
  </si>
  <si>
    <t>DL834717549</t>
  </si>
  <si>
    <t>IL</t>
  </si>
  <si>
    <t>DRV00093</t>
  </si>
  <si>
    <t>DL744687060</t>
  </si>
  <si>
    <t>DRV00094</t>
  </si>
  <si>
    <t>DL964929067</t>
  </si>
  <si>
    <t>DRV00095</t>
  </si>
  <si>
    <t>DL229981882</t>
  </si>
  <si>
    <t>DRV00096</t>
  </si>
  <si>
    <t>DL954942461</t>
  </si>
  <si>
    <t>DRV00097</t>
  </si>
  <si>
    <t>DL707665448</t>
  </si>
  <si>
    <t>DRV00098</t>
  </si>
  <si>
    <t>DL940348305</t>
  </si>
  <si>
    <t>DRV00099</t>
  </si>
  <si>
    <t>DL144097647</t>
  </si>
  <si>
    <t>DRV00100</t>
  </si>
  <si>
    <t>DL472807202</t>
  </si>
  <si>
    <t>DRV00101</t>
  </si>
  <si>
    <t>DL672030854</t>
  </si>
  <si>
    <t>DRV00102</t>
  </si>
  <si>
    <t>DL559967386</t>
  </si>
  <si>
    <t>DRV00103</t>
  </si>
  <si>
    <t>DL810303128</t>
  </si>
  <si>
    <t>DRV00104</t>
  </si>
  <si>
    <t>DL497897455</t>
  </si>
  <si>
    <t>DRV00105</t>
  </si>
  <si>
    <t>DL174041730</t>
  </si>
  <si>
    <t>DRV00106</t>
  </si>
  <si>
    <t>DL643271261</t>
  </si>
  <si>
    <t>DRV00107</t>
  </si>
  <si>
    <t>DL795294275</t>
  </si>
  <si>
    <t>DRV00108</t>
  </si>
  <si>
    <t>DL466394187</t>
  </si>
  <si>
    <t>DRV00109</t>
  </si>
  <si>
    <t>DL113585139</t>
  </si>
  <si>
    <t>DRV00110</t>
  </si>
  <si>
    <t>DL551034639</t>
  </si>
  <si>
    <t>DRV00111</t>
  </si>
  <si>
    <t>DL982971099</t>
  </si>
  <si>
    <t>DRV00112</t>
  </si>
  <si>
    <t>DL626350075</t>
  </si>
  <si>
    <t>DRV00113</t>
  </si>
  <si>
    <t>DL213321496</t>
  </si>
  <si>
    <t>DRV00114</t>
  </si>
  <si>
    <t>DL565492204</t>
  </si>
  <si>
    <t>DRV00115</t>
  </si>
  <si>
    <t>DL488896443</t>
  </si>
  <si>
    <t>DRV00116</t>
  </si>
  <si>
    <t>DL782454310</t>
  </si>
  <si>
    <t>DRV00117</t>
  </si>
  <si>
    <t>DL989817696</t>
  </si>
  <si>
    <t>DRV00118</t>
  </si>
  <si>
    <t>DL593641365</t>
  </si>
  <si>
    <t>DRV00119</t>
  </si>
  <si>
    <t>DL859466878</t>
  </si>
  <si>
    <t>DRV00120</t>
  </si>
  <si>
    <t>DL264272995</t>
  </si>
  <si>
    <t>DRV00121</t>
  </si>
  <si>
    <t>DL567600762</t>
  </si>
  <si>
    <t>DRV00122</t>
  </si>
  <si>
    <t>DL289125618</t>
  </si>
  <si>
    <t>DRV00123</t>
  </si>
  <si>
    <t>DL887906704</t>
  </si>
  <si>
    <t>DRV00124</t>
  </si>
  <si>
    <t>DL660221300</t>
  </si>
  <si>
    <t>DRV00125</t>
  </si>
  <si>
    <t>DL798423334</t>
  </si>
  <si>
    <t>DRV00126</t>
  </si>
  <si>
    <t>DL389998761</t>
  </si>
  <si>
    <t>DRV00127</t>
  </si>
  <si>
    <t>DL761330848</t>
  </si>
  <si>
    <t>DRV00128</t>
  </si>
  <si>
    <t>DL967797300</t>
  </si>
  <si>
    <t>DRV00129</t>
  </si>
  <si>
    <t>DL677858758</t>
  </si>
  <si>
    <t>DRV00130</t>
  </si>
  <si>
    <t>Lopez</t>
  </si>
  <si>
    <t>DL931764920</t>
  </si>
  <si>
    <t>DRV00131</t>
  </si>
  <si>
    <t>DL619151495</t>
  </si>
  <si>
    <t>DRV00132</t>
  </si>
  <si>
    <t>DL599154414</t>
  </si>
  <si>
    <t>DRV00133</t>
  </si>
  <si>
    <t>DL567694547</t>
  </si>
  <si>
    <t>DRV00134</t>
  </si>
  <si>
    <t>DL986625773</t>
  </si>
  <si>
    <t>DRV00135</t>
  </si>
  <si>
    <t>DL884933416</t>
  </si>
  <si>
    <t>DRV00136</t>
  </si>
  <si>
    <t>DL736164778</t>
  </si>
  <si>
    <t>DRV00137</t>
  </si>
  <si>
    <t>DL388187517</t>
  </si>
  <si>
    <t>DRV00138</t>
  </si>
  <si>
    <t>DL446071904</t>
  </si>
  <si>
    <t>DRV00139</t>
  </si>
  <si>
    <t>DL363598427</t>
  </si>
  <si>
    <t>DRV00140</t>
  </si>
  <si>
    <t>DL991990632</t>
  </si>
  <si>
    <t>DRV00141</t>
  </si>
  <si>
    <t>DL193053577</t>
  </si>
  <si>
    <t>DRV00142</t>
  </si>
  <si>
    <t>DL399496923</t>
  </si>
  <si>
    <t>DRV00143</t>
  </si>
  <si>
    <t>DL584044963</t>
  </si>
  <si>
    <t>DRV00144</t>
  </si>
  <si>
    <t>DL361846370</t>
  </si>
  <si>
    <t>DRV00145</t>
  </si>
  <si>
    <t>DL905817775</t>
  </si>
  <si>
    <t>DRV00146</t>
  </si>
  <si>
    <t>DL598976917</t>
  </si>
  <si>
    <t>DRV00147</t>
  </si>
  <si>
    <t>DL711871397</t>
  </si>
  <si>
    <t>DRV00148</t>
  </si>
  <si>
    <t>DL755338677</t>
  </si>
  <si>
    <t>DRV00149</t>
  </si>
  <si>
    <t>DL817461907</t>
  </si>
  <si>
    <t>DRV00150</t>
  </si>
  <si>
    <t>DL506936666</t>
  </si>
  <si>
    <t>month</t>
  </si>
  <si>
    <t>trips_completed</t>
  </si>
  <si>
    <t>total_miles</t>
  </si>
  <si>
    <t>total_revenue</t>
  </si>
  <si>
    <t>average_mpg</t>
  </si>
  <si>
    <t>total_fuel_gallons</t>
  </si>
  <si>
    <t>on_time_delivery_rate</t>
  </si>
  <si>
    <t>average_idle_hours</t>
  </si>
  <si>
    <t>incident_id</t>
  </si>
  <si>
    <t>trip_id</t>
  </si>
  <si>
    <t>truck_id</t>
  </si>
  <si>
    <t>incident_date</t>
  </si>
  <si>
    <t>incident_type</t>
  </si>
  <si>
    <t>location_city</t>
  </si>
  <si>
    <t>location_state</t>
  </si>
  <si>
    <t>at_fault_flag</t>
  </si>
  <si>
    <t>injury_flag</t>
  </si>
  <si>
    <t>vehicle_damage_cost</t>
  </si>
  <si>
    <t>cargo_damage_cost</t>
  </si>
  <si>
    <t>claim_amount</t>
  </si>
  <si>
    <t>preventable_flag</t>
  </si>
  <si>
    <t>description</t>
  </si>
  <si>
    <t>INC00000001</t>
  </si>
  <si>
    <t>TRIP00036079</t>
  </si>
  <si>
    <t>TRK00006</t>
  </si>
  <si>
    <t>Moving Violation</t>
  </si>
  <si>
    <t>Severe incident involving equipment</t>
  </si>
  <si>
    <t>INC00000002</t>
  </si>
  <si>
    <t>TRIP00032462</t>
  </si>
  <si>
    <t>TRK00084</t>
  </si>
  <si>
    <t>Severe incident involving weather</t>
  </si>
  <si>
    <t>INC00000003</t>
  </si>
  <si>
    <t>TRIP00067583</t>
  </si>
  <si>
    <t>TRK00106</t>
  </si>
  <si>
    <t>Customer Complaint</t>
  </si>
  <si>
    <t>Minor incident involving traffic</t>
  </si>
  <si>
    <t>INC00000004</t>
  </si>
  <si>
    <t>TRIP00049128</t>
  </si>
  <si>
    <t>TRK00085</t>
  </si>
  <si>
    <t>Equipment Damage</t>
  </si>
  <si>
    <t>Moderate incident involving equipment</t>
  </si>
  <si>
    <t>INC00000005</t>
  </si>
  <si>
    <t>TRIP00062884</t>
  </si>
  <si>
    <t>TRK00014</t>
  </si>
  <si>
    <t>DOT Violation</t>
  </si>
  <si>
    <t>Minor incident involving other driver</t>
  </si>
  <si>
    <t>INC00000006</t>
  </si>
  <si>
    <t>TRIP00004361</t>
  </si>
  <si>
    <t>TRK00007</t>
  </si>
  <si>
    <t>Minor incident involving weather</t>
  </si>
  <si>
    <t>INC00000007</t>
  </si>
  <si>
    <t>TRIP00012773</t>
  </si>
  <si>
    <t>Moderate incident involving traffic</t>
  </si>
  <si>
    <t>INC00000008</t>
  </si>
  <si>
    <t>TRIP00072329</t>
  </si>
  <si>
    <t>TRK00115</t>
  </si>
  <si>
    <t>Accident</t>
  </si>
  <si>
    <t>INC00000009</t>
  </si>
  <si>
    <t>TRIP00043143</t>
  </si>
  <si>
    <t>TRK00107</t>
  </si>
  <si>
    <t>INC00000010</t>
  </si>
  <si>
    <t>TRIP00068700</t>
  </si>
  <si>
    <t>TRK00074</t>
  </si>
  <si>
    <t>INC00000011</t>
  </si>
  <si>
    <t>TRIP00022792</t>
  </si>
  <si>
    <t>INC00000012</t>
  </si>
  <si>
    <t>TRIP00048458</t>
  </si>
  <si>
    <t>INC00000013</t>
  </si>
  <si>
    <t>TRIP00055475</t>
  </si>
  <si>
    <t>TRK00040</t>
  </si>
  <si>
    <t>INC00000014</t>
  </si>
  <si>
    <t>TRIP00045572</t>
  </si>
  <si>
    <t>TRK00058</t>
  </si>
  <si>
    <t>INC00000015</t>
  </si>
  <si>
    <t>TRIP00043170</t>
  </si>
  <si>
    <t>TRK00026</t>
  </si>
  <si>
    <t>INC00000016</t>
  </si>
  <si>
    <t>TRIP00033560</t>
  </si>
  <si>
    <t>TRK00099</t>
  </si>
  <si>
    <t>Moderate incident involving weather</t>
  </si>
  <si>
    <t>INC00000017</t>
  </si>
  <si>
    <t>TRIP00078434</t>
  </si>
  <si>
    <t>INC00000018</t>
  </si>
  <si>
    <t>TRIP00051688</t>
  </si>
  <si>
    <t>TRK00039</t>
  </si>
  <si>
    <t>INC00000019</t>
  </si>
  <si>
    <t>TRIP00064255</t>
  </si>
  <si>
    <t>TRK00020</t>
  </si>
  <si>
    <t>Severe incident involving traffic</t>
  </si>
  <si>
    <t>INC00000020</t>
  </si>
  <si>
    <t>TRIP00005520</t>
  </si>
  <si>
    <t>TRK00108</t>
  </si>
  <si>
    <t>INC00000021</t>
  </si>
  <si>
    <t>TRIP00028811</t>
  </si>
  <si>
    <t>TRK00086</t>
  </si>
  <si>
    <t>INC00000022</t>
  </si>
  <si>
    <t>TRIP00030106</t>
  </si>
  <si>
    <t>TRK00061</t>
  </si>
  <si>
    <t>INC00000023</t>
  </si>
  <si>
    <t>TRIP00006542</t>
  </si>
  <si>
    <t>TRK00057</t>
  </si>
  <si>
    <t>Minor incident involving equipment</t>
  </si>
  <si>
    <t>INC00000024</t>
  </si>
  <si>
    <t>TRIP00016403</t>
  </si>
  <si>
    <t>TRK00116</t>
  </si>
  <si>
    <t>INC00000025</t>
  </si>
  <si>
    <t>TRIP00074001</t>
  </si>
  <si>
    <t>TRK00025</t>
  </si>
  <si>
    <t>INC00000026</t>
  </si>
  <si>
    <t>TRIP00064319</t>
  </si>
  <si>
    <t>TRK00082</t>
  </si>
  <si>
    <t>INC00000027</t>
  </si>
  <si>
    <t>TRIP00012626</t>
  </si>
  <si>
    <t>TRK00013</t>
  </si>
  <si>
    <t>INC00000028</t>
  </si>
  <si>
    <t>TRIP00079288</t>
  </si>
  <si>
    <t>TRK00054</t>
  </si>
  <si>
    <t>INC00000029</t>
  </si>
  <si>
    <t>TRIP00019840</t>
  </si>
  <si>
    <t>Severe incident involving other driver</t>
  </si>
  <si>
    <t>INC00000030</t>
  </si>
  <si>
    <t>TRIP00033018</t>
  </si>
  <si>
    <t>TRK00024</t>
  </si>
  <si>
    <t>INC00000031</t>
  </si>
  <si>
    <t>TRIP00051725</t>
  </si>
  <si>
    <t>TRK00045</t>
  </si>
  <si>
    <t>INC00000032</t>
  </si>
  <si>
    <t>TRIP00068238</t>
  </si>
  <si>
    <t>INC00000033</t>
  </si>
  <si>
    <t>TRIP00016176</t>
  </si>
  <si>
    <t>TRK00010</t>
  </si>
  <si>
    <t>INC00000034</t>
  </si>
  <si>
    <t>TRIP00021253</t>
  </si>
  <si>
    <t>TRK00016</t>
  </si>
  <si>
    <t>INC00000035</t>
  </si>
  <si>
    <t>TRIP00019719</t>
  </si>
  <si>
    <t>INC00000036</t>
  </si>
  <si>
    <t>TRIP00030657</t>
  </si>
  <si>
    <t>TRK00114</t>
  </si>
  <si>
    <t>INC00000037</t>
  </si>
  <si>
    <t>TRIP00042776</t>
  </si>
  <si>
    <t>TRK00031</t>
  </si>
  <si>
    <t>INC00000038</t>
  </si>
  <si>
    <t>TRIP00022838</t>
  </si>
  <si>
    <t>TRK00092</t>
  </si>
  <si>
    <t>INC00000039</t>
  </si>
  <si>
    <t>TRIP00080961</t>
  </si>
  <si>
    <t>TRK00112</t>
  </si>
  <si>
    <t>INC00000040</t>
  </si>
  <si>
    <t>TRIP00021010</t>
  </si>
  <si>
    <t>TRK00008</t>
  </si>
  <si>
    <t>INC00000041</t>
  </si>
  <si>
    <t>TRIP00043932</t>
  </si>
  <si>
    <t>TRK00053</t>
  </si>
  <si>
    <t>INC00000042</t>
  </si>
  <si>
    <t>TRIP00018651</t>
  </si>
  <si>
    <t>INC00000043</t>
  </si>
  <si>
    <t>TRIP00081463</t>
  </si>
  <si>
    <t>INC00000044</t>
  </si>
  <si>
    <t>TRIP00043850</t>
  </si>
  <si>
    <t>TRK00062</t>
  </si>
  <si>
    <t>INC00000045</t>
  </si>
  <si>
    <t>TRIP00068665</t>
  </si>
  <si>
    <t>TRK00033</t>
  </si>
  <si>
    <t>Moderate incident involving other driver</t>
  </si>
  <si>
    <t>INC00000046</t>
  </si>
  <si>
    <t>TRIP00013936</t>
  </si>
  <si>
    <t>TRK00095</t>
  </si>
  <si>
    <t>INC00000047</t>
  </si>
  <si>
    <t>TRIP00014635</t>
  </si>
  <si>
    <t>INC00000048</t>
  </si>
  <si>
    <t>TRIP00073076</t>
  </si>
  <si>
    <t>TRK00105</t>
  </si>
  <si>
    <t>INC00000049</t>
  </si>
  <si>
    <t>TRIP00056337</t>
  </si>
  <si>
    <t>TRK00110</t>
  </si>
  <si>
    <t>INC00000050</t>
  </si>
  <si>
    <t>TRIP00039757</t>
  </si>
  <si>
    <t>TRK00067</t>
  </si>
  <si>
    <t>INC00000051</t>
  </si>
  <si>
    <t>TRIP00016308</t>
  </si>
  <si>
    <t>TRK00018</t>
  </si>
  <si>
    <t>INC00000052</t>
  </si>
  <si>
    <t>TRIP00080811</t>
  </si>
  <si>
    <t>INC00000053</t>
  </si>
  <si>
    <t>TRIP00036732</t>
  </si>
  <si>
    <t>TRK00009</t>
  </si>
  <si>
    <t>INC00000054</t>
  </si>
  <si>
    <t>TRIP00022029</t>
  </si>
  <si>
    <t>INC00000055</t>
  </si>
  <si>
    <t>TRIP00000271</t>
  </si>
  <si>
    <t>TRK00093</t>
  </si>
  <si>
    <t>INC00000056</t>
  </si>
  <si>
    <t>TRIP00069367</t>
  </si>
  <si>
    <t>TRK00055</t>
  </si>
  <si>
    <t>INC00000057</t>
  </si>
  <si>
    <t>TRIP00052380</t>
  </si>
  <si>
    <t>TRK00103</t>
  </si>
  <si>
    <t>INC00000058</t>
  </si>
  <si>
    <t>TRIP00077372</t>
  </si>
  <si>
    <t>INC00000059</t>
  </si>
  <si>
    <t>TRIP00068506</t>
  </si>
  <si>
    <t>TRK00060</t>
  </si>
  <si>
    <t>INC00000060</t>
  </si>
  <si>
    <t>TRIP00067707</t>
  </si>
  <si>
    <t/>
  </si>
  <si>
    <t>INC00000061</t>
  </si>
  <si>
    <t>TRIP00079871</t>
  </si>
  <si>
    <t>TRK00011</t>
  </si>
  <si>
    <t>INC00000062</t>
  </si>
  <si>
    <t>TRIP00075973</t>
  </si>
  <si>
    <t>TRK00001</t>
  </si>
  <si>
    <t>INC00000063</t>
  </si>
  <si>
    <t>TRIP00008117</t>
  </si>
  <si>
    <t>TRK00019</t>
  </si>
  <si>
    <t>INC00000064</t>
  </si>
  <si>
    <t>TRIP00036527</t>
  </si>
  <si>
    <t>INC00000065</t>
  </si>
  <si>
    <t>TRIP00084686</t>
  </si>
  <si>
    <t>INC00000066</t>
  </si>
  <si>
    <t>TRIP00010156</t>
  </si>
  <si>
    <t>TRK00002</t>
  </si>
  <si>
    <t>INC00000067</t>
  </si>
  <si>
    <t>TRIP00018047</t>
  </si>
  <si>
    <t>INC00000068</t>
  </si>
  <si>
    <t>TRIP00083177</t>
  </si>
  <si>
    <t>INC00000069</t>
  </si>
  <si>
    <t>TRIP00075012</t>
  </si>
  <si>
    <t>INC00000070</t>
  </si>
  <si>
    <t>TRIP00035290</t>
  </si>
  <si>
    <t>TRK00069</t>
  </si>
  <si>
    <t>INC00000071</t>
  </si>
  <si>
    <t>TRIP00057741</t>
  </si>
  <si>
    <t>INC00000072</t>
  </si>
  <si>
    <t>TRIP00042350</t>
  </si>
  <si>
    <t>INC00000073</t>
  </si>
  <si>
    <t>TRIP00074311</t>
  </si>
  <si>
    <t>INC00000074</t>
  </si>
  <si>
    <t>TRIP00010516</t>
  </si>
  <si>
    <t>INC00000075</t>
  </si>
  <si>
    <t>TRIP00029280</t>
  </si>
  <si>
    <t>TRK00050</t>
  </si>
  <si>
    <t>INC00000076</t>
  </si>
  <si>
    <t>TRIP00025439</t>
  </si>
  <si>
    <t>INC00000077</t>
  </si>
  <si>
    <t>TRIP00039355</t>
  </si>
  <si>
    <t>TRK00083</t>
  </si>
  <si>
    <t>INC00000078</t>
  </si>
  <si>
    <t>TRIP00036751</t>
  </si>
  <si>
    <t>INC00000079</t>
  </si>
  <si>
    <t>TRIP00017986</t>
  </si>
  <si>
    <t>INC00000080</t>
  </si>
  <si>
    <t>TRIP00001528</t>
  </si>
  <si>
    <t>TRK00004</t>
  </si>
  <si>
    <t>INC00000081</t>
  </si>
  <si>
    <t>TRIP00000543</t>
  </si>
  <si>
    <t>INC00000082</t>
  </si>
  <si>
    <t>TRIP00049352</t>
  </si>
  <si>
    <t>TRK00012</t>
  </si>
  <si>
    <t>INC00000083</t>
  </si>
  <si>
    <t>TRIP00014340</t>
  </si>
  <si>
    <t>INC00000084</t>
  </si>
  <si>
    <t>TRIP00081150</t>
  </si>
  <si>
    <t>TRK00059</t>
  </si>
  <si>
    <t>INC00000085</t>
  </si>
  <si>
    <t>TRIP00045060</t>
  </si>
  <si>
    <t>TRK00015</t>
  </si>
  <si>
    <t>INC00000086</t>
  </si>
  <si>
    <t>TRIP00078852</t>
  </si>
  <si>
    <t>TRK00120</t>
  </si>
  <si>
    <t>INC00000087</t>
  </si>
  <si>
    <t>TRIP00031278</t>
  </si>
  <si>
    <t>INC00000088</t>
  </si>
  <si>
    <t>TRIP00030480</t>
  </si>
  <si>
    <t>TRK00080</t>
  </si>
  <si>
    <t>INC00000089</t>
  </si>
  <si>
    <t>TRIP00008529</t>
  </si>
  <si>
    <t>TRK00089</t>
  </si>
  <si>
    <t>INC00000090</t>
  </si>
  <si>
    <t>TRIP00056229</t>
  </si>
  <si>
    <t>INC00000091</t>
  </si>
  <si>
    <t>TRIP00070088</t>
  </si>
  <si>
    <t>INC00000092</t>
  </si>
  <si>
    <t>TRIP00082508</t>
  </si>
  <si>
    <t>INC00000093</t>
  </si>
  <si>
    <t>TRIP00073906</t>
  </si>
  <si>
    <t>INC00000094</t>
  </si>
  <si>
    <t>TRIP00030254</t>
  </si>
  <si>
    <t>INC00000095</t>
  </si>
  <si>
    <t>TRIP00082248</t>
  </si>
  <si>
    <t>INC00000096</t>
  </si>
  <si>
    <t>TRIP00072443</t>
  </si>
  <si>
    <t>INC00000097</t>
  </si>
  <si>
    <t>TRIP00082429</t>
  </si>
  <si>
    <t>TRK00068</t>
  </si>
  <si>
    <t>INC00000098</t>
  </si>
  <si>
    <t>TRIP00066619</t>
  </si>
  <si>
    <t>INC00000099</t>
  </si>
  <si>
    <t>TRIP00033943</t>
  </si>
  <si>
    <t>INC00000100</t>
  </si>
  <si>
    <t>TRIP00081124</t>
  </si>
  <si>
    <t>INC00000101</t>
  </si>
  <si>
    <t>TRIP00039856</t>
  </si>
  <si>
    <t>TRK00029</t>
  </si>
  <si>
    <t>INC00000102</t>
  </si>
  <si>
    <t>TRIP00014527</t>
  </si>
  <si>
    <t>INC00000103</t>
  </si>
  <si>
    <t>TRIP00059851</t>
  </si>
  <si>
    <t>TRK00101</t>
  </si>
  <si>
    <t>INC00000104</t>
  </si>
  <si>
    <t>TRIP00004735</t>
  </si>
  <si>
    <t>TRK00072</t>
  </si>
  <si>
    <t>INC00000105</t>
  </si>
  <si>
    <t>TRIP00073231</t>
  </si>
  <si>
    <t>INC00000106</t>
  </si>
  <si>
    <t>TRIP00061915</t>
  </si>
  <si>
    <t>INC00000107</t>
  </si>
  <si>
    <t>TRIP00017437</t>
  </si>
  <si>
    <t>TRK00030</t>
  </si>
  <si>
    <t>INC00000108</t>
  </si>
  <si>
    <t>TRIP00058951</t>
  </si>
  <si>
    <t>INC00000109</t>
  </si>
  <si>
    <t>TRIP00077861</t>
  </si>
  <si>
    <t>TRK00023</t>
  </si>
  <si>
    <t>INC00000110</t>
  </si>
  <si>
    <t>TRIP00046270</t>
  </si>
  <si>
    <t>INC00000111</t>
  </si>
  <si>
    <t>TRIP00038286</t>
  </si>
  <si>
    <t>INC00000112</t>
  </si>
  <si>
    <t>TRIP00026765</t>
  </si>
  <si>
    <t>INC00000113</t>
  </si>
  <si>
    <t>TRIP00016392</t>
  </si>
  <si>
    <t>TRK00096</t>
  </si>
  <si>
    <t>INC00000114</t>
  </si>
  <si>
    <t>TRIP00001736</t>
  </si>
  <si>
    <t>INC00000115</t>
  </si>
  <si>
    <t>TRIP00017173</t>
  </si>
  <si>
    <t>INC00000116</t>
  </si>
  <si>
    <t>TRIP00008718</t>
  </si>
  <si>
    <t>INC00000117</t>
  </si>
  <si>
    <t>TRIP00020003</t>
  </si>
  <si>
    <t>INC00000118</t>
  </si>
  <si>
    <t>TRIP00009673</t>
  </si>
  <si>
    <t>TRK00065</t>
  </si>
  <si>
    <t>INC00000119</t>
  </si>
  <si>
    <t>TRIP00081672</t>
  </si>
  <si>
    <t>TRK00036</t>
  </si>
  <si>
    <t>INC00000120</t>
  </si>
  <si>
    <t>TRIP00013764</t>
  </si>
  <si>
    <t>INC00000121</t>
  </si>
  <si>
    <t>TRIP00028932</t>
  </si>
  <si>
    <t>TRK00097</t>
  </si>
  <si>
    <t>INC00000122</t>
  </si>
  <si>
    <t>TRIP00013542</t>
  </si>
  <si>
    <t>INC00000123</t>
  </si>
  <si>
    <t>TRIP00013736</t>
  </si>
  <si>
    <t>INC00000124</t>
  </si>
  <si>
    <t>TRIP00013427</t>
  </si>
  <si>
    <t>INC00000125</t>
  </si>
  <si>
    <t>TRIP00057239</t>
  </si>
  <si>
    <t>TRK00079</t>
  </si>
  <si>
    <t>INC00000126</t>
  </si>
  <si>
    <t>TRIP00060013</t>
  </si>
  <si>
    <t>INC00000127</t>
  </si>
  <si>
    <t>TRIP00042516</t>
  </si>
  <si>
    <t>TRK00073</t>
  </si>
  <si>
    <t>INC00000128</t>
  </si>
  <si>
    <t>TRIP00026426</t>
  </si>
  <si>
    <t>INC00000129</t>
  </si>
  <si>
    <t>TRIP00053071</t>
  </si>
  <si>
    <t>INC00000130</t>
  </si>
  <si>
    <t>TRIP00054280</t>
  </si>
  <si>
    <t>INC00000131</t>
  </si>
  <si>
    <t>TRIP00003278</t>
  </si>
  <si>
    <t>TRK00078</t>
  </si>
  <si>
    <t>INC00000132</t>
  </si>
  <si>
    <t>TRIP00077187</t>
  </si>
  <si>
    <t>INC00000133</t>
  </si>
  <si>
    <t>TRIP00056589</t>
  </si>
  <si>
    <t>INC00000134</t>
  </si>
  <si>
    <t>TRIP00073902</t>
  </si>
  <si>
    <t>INC00000135</t>
  </si>
  <si>
    <t>TRIP00024824</t>
  </si>
  <si>
    <t>INC00000136</t>
  </si>
  <si>
    <t>TRIP00051721</t>
  </si>
  <si>
    <t>INC00000137</t>
  </si>
  <si>
    <t>TRIP00021335</t>
  </si>
  <si>
    <t>INC00000138</t>
  </si>
  <si>
    <t>TRIP00037168</t>
  </si>
  <si>
    <t>TRK00098</t>
  </si>
  <si>
    <t>INC00000139</t>
  </si>
  <si>
    <t>TRIP00018684</t>
  </si>
  <si>
    <t>INC00000140</t>
  </si>
  <si>
    <t>TRIP00065805</t>
  </si>
  <si>
    <t>INC00000141</t>
  </si>
  <si>
    <t>TRIP00057477</t>
  </si>
  <si>
    <t>INC00000142</t>
  </si>
  <si>
    <t>TRIP00030945</t>
  </si>
  <si>
    <t>INC00000143</t>
  </si>
  <si>
    <t>TRIP00059853</t>
  </si>
  <si>
    <t>INC00000144</t>
  </si>
  <si>
    <t>TRIP00061847</t>
  </si>
  <si>
    <t>INC00000145</t>
  </si>
  <si>
    <t>TRIP00062754</t>
  </si>
  <si>
    <t>INC00000146</t>
  </si>
  <si>
    <t>TRIP00033475</t>
  </si>
  <si>
    <t>TRK00049</t>
  </si>
  <si>
    <t>INC00000147</t>
  </si>
  <si>
    <t>TRIP00001341</t>
  </si>
  <si>
    <t>INC00000148</t>
  </si>
  <si>
    <t>TRIP00077827</t>
  </si>
  <si>
    <t>TRK00048</t>
  </si>
  <si>
    <t>INC00000149</t>
  </si>
  <si>
    <t>TRIP00018371</t>
  </si>
  <si>
    <t>INC00000150</t>
  </si>
  <si>
    <t>TRIP00007345</t>
  </si>
  <si>
    <t>TRK00038</t>
  </si>
  <si>
    <t>INC00000151</t>
  </si>
  <si>
    <t>TRIP00058423</t>
  </si>
  <si>
    <t>INC00000152</t>
  </si>
  <si>
    <t>TRIP00024903</t>
  </si>
  <si>
    <t>INC00000153</t>
  </si>
  <si>
    <t>TRIP00038790</t>
  </si>
  <si>
    <t>INC00000154</t>
  </si>
  <si>
    <t>TRIP00065647</t>
  </si>
  <si>
    <t>INC00000155</t>
  </si>
  <si>
    <t>TRIP00023895</t>
  </si>
  <si>
    <t>INC00000156</t>
  </si>
  <si>
    <t>TRIP00040023</t>
  </si>
  <si>
    <t>TRK00063</t>
  </si>
  <si>
    <t>INC00000157</t>
  </si>
  <si>
    <t>TRIP00035196</t>
  </si>
  <si>
    <t>INC00000158</t>
  </si>
  <si>
    <t>TRIP00044214</t>
  </si>
  <si>
    <t>INC00000159</t>
  </si>
  <si>
    <t>TRIP00016588</t>
  </si>
  <si>
    <t>INC00000160</t>
  </si>
  <si>
    <t>TRIP00074543</t>
  </si>
  <si>
    <t>INC00000161</t>
  </si>
  <si>
    <t>TRIP00076246</t>
  </si>
  <si>
    <t>TRK00035</t>
  </si>
  <si>
    <t>INC00000162</t>
  </si>
  <si>
    <t>TRIP00063717</t>
  </si>
  <si>
    <t>INC00000163</t>
  </si>
  <si>
    <t>TRIP00057482</t>
  </si>
  <si>
    <t>INC00000164</t>
  </si>
  <si>
    <t>TRIP00000277</t>
  </si>
  <si>
    <t>INC00000165</t>
  </si>
  <si>
    <t>TRIP00050936</t>
  </si>
  <si>
    <t>INC00000166</t>
  </si>
  <si>
    <t>TRIP00066718</t>
  </si>
  <si>
    <t>INC00000167</t>
  </si>
  <si>
    <t>TRIP00039570</t>
  </si>
  <si>
    <t>INC00000168</t>
  </si>
  <si>
    <t>TRIP00000532</t>
  </si>
  <si>
    <t>TRK00071</t>
  </si>
  <si>
    <t>INC00000169</t>
  </si>
  <si>
    <t>TRIP00068312</t>
  </si>
  <si>
    <t>INC00000170</t>
  </si>
  <si>
    <t>TRIP00036297</t>
  </si>
  <si>
    <t>Row Labels</t>
  </si>
  <si>
    <t>Time Delivery Rate</t>
  </si>
  <si>
    <t>DriverID</t>
  </si>
  <si>
    <t>DriversID</t>
  </si>
  <si>
    <t>Total Revenue</t>
  </si>
  <si>
    <t>Average MPG</t>
  </si>
  <si>
    <t>Count of incident_id</t>
  </si>
  <si>
    <t>avg_ontime_rate</t>
  </si>
  <si>
    <t>Driver Performance and Safety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</si>
</sst>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0.000"/>
    <numFmt numFmtId="166" formatCode="&quot;$&quot;#,##0.0"/>
  </numFmts>
  <fonts count="3" x14ac:knownFonts="1">
    <font>
      <sz val="11"/>
      <color theme="1"/>
      <name val="Calibri"/>
      <family val="2"/>
      <scheme val="minor"/>
    </font>
    <font>
      <sz val="11"/>
      <color theme="1"/>
      <name val="Calibri"/>
      <family val="2"/>
      <scheme val="minor"/>
    </font>
    <font>
      <sz val="7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2">
    <xf numFmtId="0" fontId="0" fillId="0" borderId="0" xfId="0"/>
    <xf numFmtId="14" fontId="0" fillId="0" borderId="0" xfId="0" applyNumberFormat="1"/>
    <xf numFmtId="0" fontId="0" fillId="2" borderId="0" xfId="0" applyFill="1"/>
    <xf numFmtId="14" fontId="0" fillId="2" borderId="0" xfId="0" applyNumberFormat="1" applyFill="1"/>
    <xf numFmtId="22" fontId="0" fillId="2" borderId="0" xfId="0" applyNumberFormat="1" applyFill="1"/>
    <xf numFmtId="0" fontId="0" fillId="0" borderId="0" xfId="0" pivotButton="1"/>
    <xf numFmtId="0" fontId="0" fillId="0" borderId="0" xfId="0" applyAlignment="1">
      <alignment horizontal="left"/>
    </xf>
    <xf numFmtId="164" fontId="0" fillId="2" borderId="0" xfId="2" applyNumberFormat="1" applyFont="1" applyFill="1"/>
    <xf numFmtId="1" fontId="0" fillId="0" borderId="0" xfId="0" applyNumberFormat="1"/>
    <xf numFmtId="1" fontId="0" fillId="2" borderId="0" xfId="0" applyNumberFormat="1" applyFill="1"/>
    <xf numFmtId="165" fontId="0" fillId="2" borderId="0" xfId="0" applyNumberFormat="1" applyFill="1"/>
    <xf numFmtId="2" fontId="0" fillId="2" borderId="0" xfId="0" applyNumberFormat="1" applyFill="1"/>
    <xf numFmtId="2" fontId="0" fillId="0" borderId="0" xfId="0" applyNumberFormat="1"/>
    <xf numFmtId="165" fontId="0" fillId="0" borderId="0" xfId="0" applyNumberFormat="1"/>
    <xf numFmtId="164" fontId="0" fillId="0" borderId="0" xfId="2" applyNumberFormat="1" applyFont="1"/>
    <xf numFmtId="166" fontId="0" fillId="0" borderId="0" xfId="0" applyNumberFormat="1"/>
    <xf numFmtId="166" fontId="0" fillId="2" borderId="0" xfId="0" applyNumberFormat="1" applyFill="1"/>
    <xf numFmtId="43" fontId="0" fillId="2" borderId="0" xfId="1" applyFont="1" applyFill="1"/>
    <xf numFmtId="43" fontId="0" fillId="0" borderId="0" xfId="0" applyNumberFormat="1"/>
    <xf numFmtId="0" fontId="0" fillId="0" borderId="0" xfId="0" applyAlignment="1">
      <alignment horizontal="center"/>
    </xf>
    <xf numFmtId="0" fontId="0" fillId="3" borderId="0" xfId="0" applyFill="1" applyAlignment="1">
      <alignment horizontal="center"/>
    </xf>
    <xf numFmtId="0" fontId="2" fillId="3" borderId="0" xfId="0" applyFont="1" applyFill="1" applyAlignment="1">
      <alignment horizontal="center"/>
    </xf>
  </cellXfs>
  <cellStyles count="3">
    <cellStyle name="Comma" xfId="1" builtinId="3"/>
    <cellStyle name="Currency" xfId="2" builtinId="4"/>
    <cellStyle name="Normal" xfId="0" builtinId="0"/>
  </cellStyles>
  <dxfs count="39">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66" formatCode="&quot;$&quot;#,##0.0"/>
      <fill>
        <patternFill patternType="solid">
          <fgColor indexed="64"/>
          <bgColor theme="0"/>
        </patternFill>
      </fill>
    </dxf>
    <dxf>
      <numFmt numFmtId="164" formatCode="&quot;$&quot;#,##0.00"/>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27" formatCode="m/d/yyyy\ h:mm"/>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2" formatCode="0.00"/>
      <fill>
        <patternFill patternType="solid">
          <fgColor indexed="64"/>
          <bgColor theme="0"/>
        </patternFill>
      </fill>
    </dxf>
    <dxf>
      <numFmt numFmtId="165" formatCode="0.000"/>
      <fill>
        <patternFill patternType="solid">
          <fgColor indexed="64"/>
          <bgColor theme="0"/>
        </patternFill>
      </fill>
    </dxf>
    <dxf>
      <numFmt numFmtId="1" formatCode="0"/>
      <fill>
        <patternFill patternType="solid">
          <fgColor indexed="64"/>
          <bgColor theme="0"/>
        </patternFill>
      </fill>
    </dxf>
    <dxf>
      <numFmt numFmtId="2" formatCode="0.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9" formatCode="m/d/yyyy"/>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19" formatCode="m/d/yyyy"/>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19" formatCode="m/d/yyyy"/>
      <fill>
        <patternFill patternType="solid">
          <fgColor indexed="64"/>
          <bgColor theme="0"/>
        </patternFill>
      </fill>
    </dxf>
    <dxf>
      <numFmt numFmtId="19" formatCode="m/d/yyyy"/>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s>
  <tableStyles count="0" defaultTableStyle="TableStyleMedium2" defaultPivotStyle="PivotStyleLight16"/>
  <colors>
    <mruColors>
      <color rgb="FF0000D5"/>
      <color rgb="FF000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Drivers by Revenue</a:t>
            </a:r>
          </a:p>
        </c:rich>
      </c:tx>
      <c:layout>
        <c:manualLayout>
          <c:xMode val="edge"/>
          <c:yMode val="edge"/>
          <c:x val="0.36795129233381141"/>
          <c:y val="3.138670166229221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Revenue!$B$3</c:f>
              <c:strCache>
                <c:ptCount val="1"/>
                <c:pt idx="0">
                  <c:v>Total</c:v>
                </c:pt>
              </c:strCache>
            </c:strRef>
          </c:tx>
          <c:spPr>
            <a:solidFill>
              <a:schemeClr val="accent1"/>
            </a:solidFill>
            <a:ln>
              <a:noFill/>
            </a:ln>
            <a:effectLst/>
          </c:spPr>
          <c:invertIfNegative val="0"/>
          <c:cat>
            <c:strRef>
              <c:f>Revenue!$A$4:$A$13</c:f>
              <c:strCache>
                <c:ptCount val="10"/>
                <c:pt idx="0">
                  <c:v>DRV00051</c:v>
                </c:pt>
                <c:pt idx="1">
                  <c:v>DRV00108</c:v>
                </c:pt>
                <c:pt idx="2">
                  <c:v>DRV00059</c:v>
                </c:pt>
                <c:pt idx="3">
                  <c:v>DRV00016</c:v>
                </c:pt>
                <c:pt idx="4">
                  <c:v>DRV00019</c:v>
                </c:pt>
                <c:pt idx="5">
                  <c:v>DRV00127</c:v>
                </c:pt>
                <c:pt idx="6">
                  <c:v>DRV00149</c:v>
                </c:pt>
                <c:pt idx="7">
                  <c:v>DRV00147</c:v>
                </c:pt>
                <c:pt idx="8">
                  <c:v>DRV00085</c:v>
                </c:pt>
                <c:pt idx="9">
                  <c:v>DRV00087</c:v>
                </c:pt>
              </c:strCache>
            </c:strRef>
          </c:cat>
          <c:val>
            <c:numRef>
              <c:f>Revenue!$B$4:$B$13</c:f>
              <c:numCache>
                <c:formatCode>_(* #,##0.00_);_(* \(#,##0.00\);_(* "-"??_);_(@_)</c:formatCode>
                <c:ptCount val="10"/>
                <c:pt idx="0">
                  <c:v>2311844.2999999998</c:v>
                </c:pt>
                <c:pt idx="1">
                  <c:v>2311327.9</c:v>
                </c:pt>
                <c:pt idx="2">
                  <c:v>2305056.6</c:v>
                </c:pt>
                <c:pt idx="3">
                  <c:v>2278574.88</c:v>
                </c:pt>
                <c:pt idx="4">
                  <c:v>2275654.7599999998</c:v>
                </c:pt>
                <c:pt idx="5">
                  <c:v>2272317.62</c:v>
                </c:pt>
                <c:pt idx="6">
                  <c:v>2269105.67</c:v>
                </c:pt>
                <c:pt idx="7">
                  <c:v>2256066.9200000004</c:v>
                </c:pt>
                <c:pt idx="8">
                  <c:v>2229521.2300000004</c:v>
                </c:pt>
                <c:pt idx="9">
                  <c:v>2214003.3300000005</c:v>
                </c:pt>
              </c:numCache>
            </c:numRef>
          </c:val>
          <c:extLst>
            <c:ext xmlns:c16="http://schemas.microsoft.com/office/drawing/2014/chart" uri="{C3380CC4-5D6E-409C-BE32-E72D297353CC}">
              <c16:uniqueId val="{00000000-2983-48E0-939A-53A21299DA10}"/>
            </c:ext>
          </c:extLst>
        </c:ser>
        <c:dLbls>
          <c:showLegendKey val="0"/>
          <c:showVal val="0"/>
          <c:showCatName val="0"/>
          <c:showSerName val="0"/>
          <c:showPercent val="0"/>
          <c:showBubbleSize val="0"/>
        </c:dLbls>
        <c:gapWidth val="219"/>
        <c:overlap val="-27"/>
        <c:axId val="1316006383"/>
        <c:axId val="1316003983"/>
      </c:barChart>
      <c:catAx>
        <c:axId val="1316006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a:t>
                </a:r>
                <a:r>
                  <a:rPr lang="en-US" baseline="0"/>
                  <a:t>ID</a:t>
                </a:r>
                <a:endParaRPr lang="en-US"/>
              </a:p>
            </c:rich>
          </c:tx>
          <c:layout>
            <c:manualLayout>
              <c:xMode val="edge"/>
              <c:yMode val="edge"/>
              <c:x val="0.45954785391603004"/>
              <c:y val="0.87868037328667248"/>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03983"/>
        <c:crosses val="autoZero"/>
        <c:auto val="1"/>
        <c:lblAlgn val="ctr"/>
        <c:lblOffset val="100"/>
        <c:noMultiLvlLbl val="0"/>
      </c:catAx>
      <c:valAx>
        <c:axId val="131600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layout>
            <c:manualLayout>
              <c:xMode val="edge"/>
              <c:yMode val="edge"/>
              <c:x val="1.4869888475836431E-2"/>
              <c:y val="0.33903178769320497"/>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0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TSA.xlsx]Time_Delivery!PivotTable4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Drivers by Time Delivery Rate</a:t>
            </a:r>
          </a:p>
        </c:rich>
      </c:tx>
      <c:overlay val="0"/>
      <c:spPr>
        <a:solidFill>
          <a:schemeClr val="bg1">
            <a:lumMod val="95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Time_Delivery!$B$3</c:f>
              <c:strCache>
                <c:ptCount val="1"/>
                <c:pt idx="0">
                  <c:v>Total</c:v>
                </c:pt>
              </c:strCache>
            </c:strRef>
          </c:tx>
          <c:spPr>
            <a:solidFill>
              <a:schemeClr val="accent1"/>
            </a:solidFill>
            <a:ln>
              <a:noFill/>
            </a:ln>
            <a:effectLst/>
          </c:spPr>
          <c:invertIfNegative val="0"/>
          <c:cat>
            <c:strRef>
              <c:f>Time_Delivery!$A$4:$A$13</c:f>
              <c:strCache>
                <c:ptCount val="10"/>
                <c:pt idx="0">
                  <c:v>DRV00108</c:v>
                </c:pt>
                <c:pt idx="1">
                  <c:v>DRV00104</c:v>
                </c:pt>
                <c:pt idx="2">
                  <c:v>DRV00112</c:v>
                </c:pt>
                <c:pt idx="3">
                  <c:v>DRV00060</c:v>
                </c:pt>
                <c:pt idx="4">
                  <c:v>DRV00022</c:v>
                </c:pt>
                <c:pt idx="5">
                  <c:v>DRV00020</c:v>
                </c:pt>
                <c:pt idx="6">
                  <c:v>DRV00100</c:v>
                </c:pt>
                <c:pt idx="7">
                  <c:v>DRV00113</c:v>
                </c:pt>
                <c:pt idx="8">
                  <c:v>DRV00036</c:v>
                </c:pt>
                <c:pt idx="9">
                  <c:v>DRV00120</c:v>
                </c:pt>
              </c:strCache>
            </c:strRef>
          </c:cat>
          <c:val>
            <c:numRef>
              <c:f>Time_Delivery!$B$4:$B$13</c:f>
              <c:numCache>
                <c:formatCode>0.000</c:formatCode>
                <c:ptCount val="10"/>
                <c:pt idx="0">
                  <c:v>0.47716666666666668</c:v>
                </c:pt>
                <c:pt idx="1">
                  <c:v>0.47775000000000006</c:v>
                </c:pt>
                <c:pt idx="2">
                  <c:v>0.47891666666666666</c:v>
                </c:pt>
                <c:pt idx="3">
                  <c:v>0.47911111111111127</c:v>
                </c:pt>
                <c:pt idx="4">
                  <c:v>0.48116666666666674</c:v>
                </c:pt>
                <c:pt idx="5">
                  <c:v>0.48252777777777794</c:v>
                </c:pt>
                <c:pt idx="6">
                  <c:v>0.48286111111111119</c:v>
                </c:pt>
                <c:pt idx="7">
                  <c:v>0.48805555555555569</c:v>
                </c:pt>
                <c:pt idx="8">
                  <c:v>0.49041666666666672</c:v>
                </c:pt>
                <c:pt idx="9">
                  <c:v>0.50766666666666671</c:v>
                </c:pt>
              </c:numCache>
            </c:numRef>
          </c:val>
          <c:extLst>
            <c:ext xmlns:c16="http://schemas.microsoft.com/office/drawing/2014/chart" uri="{C3380CC4-5D6E-409C-BE32-E72D297353CC}">
              <c16:uniqueId val="{00000000-2ED9-42FE-B3BD-DC02CA853F30}"/>
            </c:ext>
          </c:extLst>
        </c:ser>
        <c:dLbls>
          <c:showLegendKey val="0"/>
          <c:showVal val="0"/>
          <c:showCatName val="0"/>
          <c:showSerName val="0"/>
          <c:showPercent val="0"/>
          <c:showBubbleSize val="0"/>
        </c:dLbls>
        <c:gapWidth val="182"/>
        <c:axId val="47169360"/>
        <c:axId val="47173200"/>
      </c:barChart>
      <c:catAx>
        <c:axId val="47169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DriversID</a:t>
                </a:r>
              </a:p>
            </c:rich>
          </c:tx>
          <c:layout>
            <c:manualLayout>
              <c:xMode val="edge"/>
              <c:yMode val="edge"/>
              <c:x val="1.824632539280284E-2"/>
              <c:y val="0.40805841313057872"/>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3200"/>
        <c:crosses val="autoZero"/>
        <c:auto val="1"/>
        <c:lblAlgn val="ctr"/>
        <c:lblOffset val="100"/>
        <c:noMultiLvlLbl val="0"/>
      </c:catAx>
      <c:valAx>
        <c:axId val="47173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Delivery Rate</a:t>
                </a:r>
              </a:p>
            </c:rich>
          </c:tx>
          <c:layout>
            <c:manualLayout>
              <c:xMode val="edge"/>
              <c:yMode val="edge"/>
              <c:x val="0.41759676897965048"/>
              <c:y val="0.90096251720990672"/>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TSA.xlsx]MPG!PivotTable5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Drivers by Fuel Efficiency (MPG)</a:t>
            </a:r>
            <a:endParaRPr lang="en-US"/>
          </a:p>
        </c:rich>
      </c:tx>
      <c:layout>
        <c:manualLayout>
          <c:xMode val="edge"/>
          <c:yMode val="edge"/>
          <c:x val="0.29573881486536185"/>
          <c:y val="5.8895056150768038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958520730771"/>
          <c:y val="0.21162112932604735"/>
          <c:w val="0.83764958192831407"/>
          <c:h val="0.53961476126959529"/>
        </c:manualLayout>
      </c:layout>
      <c:barChart>
        <c:barDir val="col"/>
        <c:grouping val="clustered"/>
        <c:varyColors val="0"/>
        <c:ser>
          <c:idx val="0"/>
          <c:order val="0"/>
          <c:tx>
            <c:strRef>
              <c:f>MPG!$B$3</c:f>
              <c:strCache>
                <c:ptCount val="1"/>
                <c:pt idx="0">
                  <c:v>Total</c:v>
                </c:pt>
              </c:strCache>
            </c:strRef>
          </c:tx>
          <c:spPr>
            <a:solidFill>
              <a:schemeClr val="accent1"/>
            </a:solidFill>
            <a:ln>
              <a:noFill/>
            </a:ln>
            <a:effectLst/>
          </c:spPr>
          <c:invertIfNegative val="0"/>
          <c:cat>
            <c:strRef>
              <c:f>MPG!$A$4:$A$13</c:f>
              <c:strCache>
                <c:ptCount val="10"/>
                <c:pt idx="0">
                  <c:v>DRV00105</c:v>
                </c:pt>
                <c:pt idx="1">
                  <c:v>DRV00103</c:v>
                </c:pt>
                <c:pt idx="2">
                  <c:v>DRV00109</c:v>
                </c:pt>
                <c:pt idx="3">
                  <c:v>DRV00098</c:v>
                </c:pt>
                <c:pt idx="4">
                  <c:v>DRV00049</c:v>
                </c:pt>
                <c:pt idx="5">
                  <c:v>DRV00038</c:v>
                </c:pt>
                <c:pt idx="6">
                  <c:v>DRV00141</c:v>
                </c:pt>
                <c:pt idx="7">
                  <c:v>DRV00057</c:v>
                </c:pt>
                <c:pt idx="8">
                  <c:v>DRV00081</c:v>
                </c:pt>
                <c:pt idx="9">
                  <c:v>DRV00023</c:v>
                </c:pt>
              </c:strCache>
            </c:strRef>
          </c:cat>
          <c:val>
            <c:numRef>
              <c:f>MPG!$B$4:$B$13</c:f>
              <c:numCache>
                <c:formatCode>0.00</c:formatCode>
                <c:ptCount val="10"/>
                <c:pt idx="0">
                  <c:v>236.27</c:v>
                </c:pt>
                <c:pt idx="1">
                  <c:v>236.23999999999998</c:v>
                </c:pt>
                <c:pt idx="2">
                  <c:v>236.22000000000003</c:v>
                </c:pt>
                <c:pt idx="3">
                  <c:v>235.92</c:v>
                </c:pt>
                <c:pt idx="4">
                  <c:v>235.9</c:v>
                </c:pt>
                <c:pt idx="5">
                  <c:v>235.77000000000004</c:v>
                </c:pt>
                <c:pt idx="6">
                  <c:v>235.70000000000002</c:v>
                </c:pt>
                <c:pt idx="7">
                  <c:v>235.70000000000002</c:v>
                </c:pt>
                <c:pt idx="8">
                  <c:v>235.68</c:v>
                </c:pt>
                <c:pt idx="9">
                  <c:v>235.61</c:v>
                </c:pt>
              </c:numCache>
            </c:numRef>
          </c:val>
          <c:extLst>
            <c:ext xmlns:c16="http://schemas.microsoft.com/office/drawing/2014/chart" uri="{C3380CC4-5D6E-409C-BE32-E72D297353CC}">
              <c16:uniqueId val="{00000000-8B79-49E4-9DFD-AA8DA5E26FB0}"/>
            </c:ext>
          </c:extLst>
        </c:ser>
        <c:dLbls>
          <c:showLegendKey val="0"/>
          <c:showVal val="0"/>
          <c:showCatName val="0"/>
          <c:showSerName val="0"/>
          <c:showPercent val="0"/>
          <c:showBubbleSize val="0"/>
        </c:dLbls>
        <c:gapWidth val="219"/>
        <c:overlap val="-27"/>
        <c:axId val="2070778159"/>
        <c:axId val="2070781039"/>
      </c:barChart>
      <c:catAx>
        <c:axId val="207077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DriversID</a:t>
                </a:r>
              </a:p>
            </c:rich>
          </c:tx>
          <c:layout>
            <c:manualLayout>
              <c:xMode val="edge"/>
              <c:yMode val="edge"/>
              <c:x val="0.505294333987655"/>
              <c:y val="0.91146737805315314"/>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81039"/>
        <c:crosses val="autoZero"/>
        <c:auto val="1"/>
        <c:lblAlgn val="ctr"/>
        <c:lblOffset val="100"/>
        <c:noMultiLvlLbl val="0"/>
      </c:catAx>
      <c:valAx>
        <c:axId val="207078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MPG</a:t>
                </a:r>
                <a:endParaRPr lang="en-US"/>
              </a:p>
            </c:rich>
          </c:tx>
          <c:layout>
            <c:manualLayout>
              <c:xMode val="edge"/>
              <c:yMode val="edge"/>
              <c:x val="2.0497963922208092E-2"/>
              <c:y val="0.29002108343014499"/>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7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Driver Experience vs On-Time Delivery Rate</a:t>
            </a:r>
            <a:endParaRPr lang="en-US"/>
          </a:p>
        </c:rich>
      </c:tx>
      <c:layout>
        <c:manualLayout>
          <c:xMode val="edge"/>
          <c:yMode val="edge"/>
          <c:x val="0.19436789151356082"/>
          <c:y val="4.6296296296296294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401159230096237"/>
          <c:y val="0.20412037037037037"/>
          <c:w val="0.80276618547681533"/>
          <c:h val="0.59030876348789729"/>
        </c:manualLayout>
      </c:layout>
      <c:scatterChart>
        <c:scatterStyle val="lineMarker"/>
        <c:varyColors val="0"/>
        <c:ser>
          <c:idx val="0"/>
          <c:order val="0"/>
          <c:tx>
            <c:strRef>
              <c:f>ScatterPlot!$C$1</c:f>
              <c:strCache>
                <c:ptCount val="1"/>
                <c:pt idx="0">
                  <c:v>avg_ontime_rate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ScatterPlot!$B$2:$B$152</c:f>
              <c:numCache>
                <c:formatCode>General</c:formatCode>
                <c:ptCount val="151"/>
                <c:pt idx="0">
                  <c:v>3</c:v>
                </c:pt>
                <c:pt idx="1">
                  <c:v>20</c:v>
                </c:pt>
                <c:pt idx="2">
                  <c:v>19</c:v>
                </c:pt>
                <c:pt idx="3">
                  <c:v>19</c:v>
                </c:pt>
                <c:pt idx="4">
                  <c:v>12</c:v>
                </c:pt>
                <c:pt idx="5">
                  <c:v>23</c:v>
                </c:pt>
                <c:pt idx="6">
                  <c:v>5</c:v>
                </c:pt>
                <c:pt idx="7">
                  <c:v>15</c:v>
                </c:pt>
                <c:pt idx="8">
                  <c:v>13</c:v>
                </c:pt>
                <c:pt idx="9">
                  <c:v>23</c:v>
                </c:pt>
                <c:pt idx="10">
                  <c:v>15</c:v>
                </c:pt>
                <c:pt idx="11">
                  <c:v>25</c:v>
                </c:pt>
                <c:pt idx="12">
                  <c:v>3</c:v>
                </c:pt>
                <c:pt idx="13">
                  <c:v>11</c:v>
                </c:pt>
                <c:pt idx="14">
                  <c:v>21</c:v>
                </c:pt>
                <c:pt idx="15">
                  <c:v>11</c:v>
                </c:pt>
                <c:pt idx="16">
                  <c:v>13</c:v>
                </c:pt>
                <c:pt idx="17">
                  <c:v>5</c:v>
                </c:pt>
                <c:pt idx="18">
                  <c:v>20</c:v>
                </c:pt>
                <c:pt idx="19">
                  <c:v>18</c:v>
                </c:pt>
                <c:pt idx="20">
                  <c:v>8</c:v>
                </c:pt>
                <c:pt idx="21">
                  <c:v>6</c:v>
                </c:pt>
                <c:pt idx="22">
                  <c:v>23</c:v>
                </c:pt>
                <c:pt idx="23">
                  <c:v>17</c:v>
                </c:pt>
                <c:pt idx="24">
                  <c:v>9</c:v>
                </c:pt>
                <c:pt idx="25">
                  <c:v>5</c:v>
                </c:pt>
                <c:pt idx="26">
                  <c:v>13</c:v>
                </c:pt>
                <c:pt idx="27">
                  <c:v>19</c:v>
                </c:pt>
                <c:pt idx="28">
                  <c:v>13</c:v>
                </c:pt>
                <c:pt idx="29">
                  <c:v>5</c:v>
                </c:pt>
                <c:pt idx="30">
                  <c:v>10</c:v>
                </c:pt>
                <c:pt idx="31">
                  <c:v>20</c:v>
                </c:pt>
                <c:pt idx="32">
                  <c:v>9</c:v>
                </c:pt>
                <c:pt idx="33">
                  <c:v>15</c:v>
                </c:pt>
                <c:pt idx="34">
                  <c:v>19</c:v>
                </c:pt>
                <c:pt idx="35">
                  <c:v>21</c:v>
                </c:pt>
                <c:pt idx="36">
                  <c:v>21</c:v>
                </c:pt>
                <c:pt idx="37">
                  <c:v>23</c:v>
                </c:pt>
                <c:pt idx="38">
                  <c:v>22</c:v>
                </c:pt>
                <c:pt idx="39">
                  <c:v>19</c:v>
                </c:pt>
                <c:pt idx="40">
                  <c:v>2</c:v>
                </c:pt>
                <c:pt idx="41">
                  <c:v>21</c:v>
                </c:pt>
                <c:pt idx="42">
                  <c:v>23</c:v>
                </c:pt>
                <c:pt idx="43">
                  <c:v>24</c:v>
                </c:pt>
                <c:pt idx="44">
                  <c:v>10</c:v>
                </c:pt>
                <c:pt idx="45">
                  <c:v>2</c:v>
                </c:pt>
                <c:pt idx="46">
                  <c:v>7</c:v>
                </c:pt>
                <c:pt idx="47">
                  <c:v>10</c:v>
                </c:pt>
                <c:pt idx="48">
                  <c:v>24</c:v>
                </c:pt>
                <c:pt idx="49">
                  <c:v>11</c:v>
                </c:pt>
                <c:pt idx="50">
                  <c:v>12</c:v>
                </c:pt>
                <c:pt idx="51">
                  <c:v>13</c:v>
                </c:pt>
                <c:pt idx="52">
                  <c:v>2</c:v>
                </c:pt>
                <c:pt idx="53">
                  <c:v>7</c:v>
                </c:pt>
                <c:pt idx="54">
                  <c:v>6</c:v>
                </c:pt>
                <c:pt idx="55">
                  <c:v>20</c:v>
                </c:pt>
                <c:pt idx="56">
                  <c:v>23</c:v>
                </c:pt>
                <c:pt idx="57">
                  <c:v>14</c:v>
                </c:pt>
                <c:pt idx="58">
                  <c:v>4</c:v>
                </c:pt>
                <c:pt idx="59">
                  <c:v>6</c:v>
                </c:pt>
                <c:pt idx="60">
                  <c:v>25</c:v>
                </c:pt>
                <c:pt idx="61">
                  <c:v>22</c:v>
                </c:pt>
                <c:pt idx="62">
                  <c:v>2</c:v>
                </c:pt>
                <c:pt idx="63">
                  <c:v>4</c:v>
                </c:pt>
                <c:pt idx="64">
                  <c:v>25</c:v>
                </c:pt>
                <c:pt idx="65">
                  <c:v>18</c:v>
                </c:pt>
                <c:pt idx="66">
                  <c:v>8</c:v>
                </c:pt>
                <c:pt idx="67">
                  <c:v>14</c:v>
                </c:pt>
                <c:pt idx="68">
                  <c:v>15</c:v>
                </c:pt>
                <c:pt idx="69">
                  <c:v>16</c:v>
                </c:pt>
                <c:pt idx="70">
                  <c:v>12</c:v>
                </c:pt>
                <c:pt idx="71">
                  <c:v>7</c:v>
                </c:pt>
                <c:pt idx="72">
                  <c:v>13</c:v>
                </c:pt>
                <c:pt idx="73">
                  <c:v>11</c:v>
                </c:pt>
                <c:pt idx="74">
                  <c:v>25</c:v>
                </c:pt>
                <c:pt idx="75">
                  <c:v>12</c:v>
                </c:pt>
                <c:pt idx="76">
                  <c:v>20</c:v>
                </c:pt>
                <c:pt idx="77">
                  <c:v>21</c:v>
                </c:pt>
                <c:pt idx="78">
                  <c:v>4</c:v>
                </c:pt>
                <c:pt idx="79">
                  <c:v>3</c:v>
                </c:pt>
                <c:pt idx="80">
                  <c:v>6</c:v>
                </c:pt>
                <c:pt idx="81">
                  <c:v>7</c:v>
                </c:pt>
                <c:pt idx="82">
                  <c:v>21</c:v>
                </c:pt>
                <c:pt idx="83">
                  <c:v>3</c:v>
                </c:pt>
                <c:pt idx="84">
                  <c:v>23</c:v>
                </c:pt>
                <c:pt idx="85">
                  <c:v>4</c:v>
                </c:pt>
                <c:pt idx="86">
                  <c:v>10</c:v>
                </c:pt>
                <c:pt idx="87">
                  <c:v>16</c:v>
                </c:pt>
                <c:pt idx="88">
                  <c:v>23</c:v>
                </c:pt>
                <c:pt idx="89">
                  <c:v>15</c:v>
                </c:pt>
                <c:pt idx="90">
                  <c:v>17</c:v>
                </c:pt>
                <c:pt idx="91">
                  <c:v>21</c:v>
                </c:pt>
                <c:pt idx="92">
                  <c:v>16</c:v>
                </c:pt>
                <c:pt idx="93">
                  <c:v>15</c:v>
                </c:pt>
                <c:pt idx="94">
                  <c:v>10</c:v>
                </c:pt>
                <c:pt idx="95">
                  <c:v>8</c:v>
                </c:pt>
                <c:pt idx="96">
                  <c:v>18</c:v>
                </c:pt>
                <c:pt idx="97">
                  <c:v>5</c:v>
                </c:pt>
                <c:pt idx="98">
                  <c:v>13</c:v>
                </c:pt>
                <c:pt idx="99">
                  <c:v>15</c:v>
                </c:pt>
                <c:pt idx="100">
                  <c:v>5</c:v>
                </c:pt>
                <c:pt idx="101">
                  <c:v>11</c:v>
                </c:pt>
                <c:pt idx="102">
                  <c:v>23</c:v>
                </c:pt>
                <c:pt idx="103">
                  <c:v>23</c:v>
                </c:pt>
                <c:pt idx="104">
                  <c:v>20</c:v>
                </c:pt>
                <c:pt idx="105">
                  <c:v>17</c:v>
                </c:pt>
                <c:pt idx="106">
                  <c:v>18</c:v>
                </c:pt>
                <c:pt idx="107">
                  <c:v>23</c:v>
                </c:pt>
                <c:pt idx="108">
                  <c:v>11</c:v>
                </c:pt>
                <c:pt idx="109">
                  <c:v>3</c:v>
                </c:pt>
                <c:pt idx="110">
                  <c:v>9</c:v>
                </c:pt>
                <c:pt idx="111">
                  <c:v>14</c:v>
                </c:pt>
                <c:pt idx="112">
                  <c:v>21</c:v>
                </c:pt>
                <c:pt idx="113">
                  <c:v>3</c:v>
                </c:pt>
                <c:pt idx="114">
                  <c:v>2</c:v>
                </c:pt>
                <c:pt idx="115">
                  <c:v>8</c:v>
                </c:pt>
                <c:pt idx="116">
                  <c:v>11</c:v>
                </c:pt>
                <c:pt idx="117">
                  <c:v>8</c:v>
                </c:pt>
                <c:pt idx="118">
                  <c:v>6</c:v>
                </c:pt>
                <c:pt idx="119">
                  <c:v>10</c:v>
                </c:pt>
                <c:pt idx="120">
                  <c:v>11</c:v>
                </c:pt>
                <c:pt idx="121">
                  <c:v>12</c:v>
                </c:pt>
                <c:pt idx="122">
                  <c:v>5</c:v>
                </c:pt>
                <c:pt idx="123">
                  <c:v>2</c:v>
                </c:pt>
                <c:pt idx="124">
                  <c:v>17</c:v>
                </c:pt>
                <c:pt idx="125">
                  <c:v>25</c:v>
                </c:pt>
                <c:pt idx="126">
                  <c:v>15</c:v>
                </c:pt>
                <c:pt idx="127">
                  <c:v>7</c:v>
                </c:pt>
                <c:pt idx="128">
                  <c:v>6</c:v>
                </c:pt>
                <c:pt idx="129">
                  <c:v>14</c:v>
                </c:pt>
                <c:pt idx="130">
                  <c:v>19</c:v>
                </c:pt>
                <c:pt idx="131">
                  <c:v>24</c:v>
                </c:pt>
                <c:pt idx="132">
                  <c:v>9</c:v>
                </c:pt>
                <c:pt idx="133">
                  <c:v>18</c:v>
                </c:pt>
                <c:pt idx="134">
                  <c:v>19</c:v>
                </c:pt>
                <c:pt idx="135">
                  <c:v>23</c:v>
                </c:pt>
                <c:pt idx="136">
                  <c:v>13</c:v>
                </c:pt>
                <c:pt idx="137">
                  <c:v>4</c:v>
                </c:pt>
                <c:pt idx="138">
                  <c:v>14</c:v>
                </c:pt>
                <c:pt idx="139">
                  <c:v>25</c:v>
                </c:pt>
                <c:pt idx="140">
                  <c:v>3</c:v>
                </c:pt>
                <c:pt idx="141">
                  <c:v>15</c:v>
                </c:pt>
                <c:pt idx="142">
                  <c:v>2</c:v>
                </c:pt>
                <c:pt idx="143">
                  <c:v>16</c:v>
                </c:pt>
                <c:pt idx="144">
                  <c:v>4</c:v>
                </c:pt>
                <c:pt idx="145">
                  <c:v>12</c:v>
                </c:pt>
                <c:pt idx="146">
                  <c:v>20</c:v>
                </c:pt>
                <c:pt idx="147">
                  <c:v>15</c:v>
                </c:pt>
                <c:pt idx="148">
                  <c:v>20</c:v>
                </c:pt>
                <c:pt idx="149">
                  <c:v>14</c:v>
                </c:pt>
              </c:numCache>
            </c:numRef>
          </c:xVal>
          <c:yVal>
            <c:numRef>
              <c:f>ScatterPlot!$C$2:$C$152</c:f>
              <c:numCache>
                <c:formatCode>General</c:formatCode>
                <c:ptCount val="151"/>
                <c:pt idx="0">
                  <c:v>0.45416666666666661</c:v>
                </c:pt>
                <c:pt idx="1">
                  <c:v>0.46838888888888897</c:v>
                </c:pt>
                <c:pt idx="2">
                  <c:v>0.45080555555555574</c:v>
                </c:pt>
                <c:pt idx="3">
                  <c:v>0.42833333333333334</c:v>
                </c:pt>
                <c:pt idx="4">
                  <c:v>0.45405555555555555</c:v>
                </c:pt>
                <c:pt idx="5">
                  <c:v>0.4388611111111112</c:v>
                </c:pt>
                <c:pt idx="6">
                  <c:v>0</c:v>
                </c:pt>
                <c:pt idx="7">
                  <c:v>0</c:v>
                </c:pt>
                <c:pt idx="8">
                  <c:v>0.443388888888889</c:v>
                </c:pt>
                <c:pt idx="9">
                  <c:v>0.43747222222222226</c:v>
                </c:pt>
                <c:pt idx="10">
                  <c:v>0.43877777777777788</c:v>
                </c:pt>
                <c:pt idx="11">
                  <c:v>0.43747222222222226</c:v>
                </c:pt>
                <c:pt idx="12">
                  <c:v>0.43177777777777782</c:v>
                </c:pt>
                <c:pt idx="13">
                  <c:v>0.43288888888888893</c:v>
                </c:pt>
                <c:pt idx="14">
                  <c:v>0.42463888888888895</c:v>
                </c:pt>
                <c:pt idx="15">
                  <c:v>0.45011111111111113</c:v>
                </c:pt>
                <c:pt idx="16">
                  <c:v>0.45799999999999996</c:v>
                </c:pt>
                <c:pt idx="17">
                  <c:v>0.43327777777777787</c:v>
                </c:pt>
                <c:pt idx="18">
                  <c:v>0.44919444444444445</c:v>
                </c:pt>
                <c:pt idx="19">
                  <c:v>0.48252777777777794</c:v>
                </c:pt>
                <c:pt idx="20">
                  <c:v>0</c:v>
                </c:pt>
                <c:pt idx="21">
                  <c:v>0.48116666666666674</c:v>
                </c:pt>
                <c:pt idx="22">
                  <c:v>0.46524999999999994</c:v>
                </c:pt>
                <c:pt idx="23">
                  <c:v>0.44816666666666666</c:v>
                </c:pt>
                <c:pt idx="24">
                  <c:v>0.43280555555555567</c:v>
                </c:pt>
                <c:pt idx="25">
                  <c:v>0.43538888888888894</c:v>
                </c:pt>
                <c:pt idx="26">
                  <c:v>0</c:v>
                </c:pt>
                <c:pt idx="27">
                  <c:v>0.44213888888888897</c:v>
                </c:pt>
                <c:pt idx="28">
                  <c:v>0.47213888888888889</c:v>
                </c:pt>
                <c:pt idx="29">
                  <c:v>0.45241666666666674</c:v>
                </c:pt>
                <c:pt idx="30">
                  <c:v>0</c:v>
                </c:pt>
                <c:pt idx="31">
                  <c:v>0.449388888888889</c:v>
                </c:pt>
                <c:pt idx="32">
                  <c:v>0.43791666666666668</c:v>
                </c:pt>
                <c:pt idx="33">
                  <c:v>0.45013888888888892</c:v>
                </c:pt>
                <c:pt idx="34">
                  <c:v>0.46816666666666684</c:v>
                </c:pt>
                <c:pt idx="35">
                  <c:v>0.49041666666666672</c:v>
                </c:pt>
                <c:pt idx="36">
                  <c:v>0.44088888888888883</c:v>
                </c:pt>
                <c:pt idx="37">
                  <c:v>0.44472222222222219</c:v>
                </c:pt>
                <c:pt idx="38">
                  <c:v>0.45919444444444452</c:v>
                </c:pt>
                <c:pt idx="39">
                  <c:v>0</c:v>
                </c:pt>
                <c:pt idx="40">
                  <c:v>0.43980555555555556</c:v>
                </c:pt>
                <c:pt idx="41">
                  <c:v>0</c:v>
                </c:pt>
                <c:pt idx="42">
                  <c:v>0.44361111111111112</c:v>
                </c:pt>
                <c:pt idx="43">
                  <c:v>0.4370555555555557</c:v>
                </c:pt>
                <c:pt idx="44">
                  <c:v>0.45180555555555557</c:v>
                </c:pt>
                <c:pt idx="45">
                  <c:v>0</c:v>
                </c:pt>
                <c:pt idx="46">
                  <c:v>0.45230555555555557</c:v>
                </c:pt>
                <c:pt idx="47">
                  <c:v>0</c:v>
                </c:pt>
                <c:pt idx="48">
                  <c:v>0.45044444444444448</c:v>
                </c:pt>
                <c:pt idx="49">
                  <c:v>0.4425</c:v>
                </c:pt>
                <c:pt idx="50">
                  <c:v>0.43422222222222223</c:v>
                </c:pt>
                <c:pt idx="51">
                  <c:v>0</c:v>
                </c:pt>
                <c:pt idx="52">
                  <c:v>0.44227777777777777</c:v>
                </c:pt>
                <c:pt idx="53">
                  <c:v>0.42986111111111119</c:v>
                </c:pt>
                <c:pt idx="54">
                  <c:v>0.45100000000000001</c:v>
                </c:pt>
                <c:pt idx="55">
                  <c:v>0.42969444444444449</c:v>
                </c:pt>
                <c:pt idx="56">
                  <c:v>0.45900000000000013</c:v>
                </c:pt>
                <c:pt idx="57">
                  <c:v>0.44347222222222227</c:v>
                </c:pt>
                <c:pt idx="58">
                  <c:v>0.45966666666666661</c:v>
                </c:pt>
                <c:pt idx="59">
                  <c:v>0.47911111111111127</c:v>
                </c:pt>
                <c:pt idx="60">
                  <c:v>0.42488888888888893</c:v>
                </c:pt>
                <c:pt idx="61">
                  <c:v>0.44947222222222233</c:v>
                </c:pt>
                <c:pt idx="62">
                  <c:v>0.45900000000000002</c:v>
                </c:pt>
                <c:pt idx="63">
                  <c:v>0.41613888888888895</c:v>
                </c:pt>
                <c:pt idx="64">
                  <c:v>0.45252777777777781</c:v>
                </c:pt>
                <c:pt idx="65">
                  <c:v>0.44377777777777777</c:v>
                </c:pt>
                <c:pt idx="66">
                  <c:v>0</c:v>
                </c:pt>
                <c:pt idx="67">
                  <c:v>0</c:v>
                </c:pt>
                <c:pt idx="68">
                  <c:v>0.42575000000000002</c:v>
                </c:pt>
                <c:pt idx="69">
                  <c:v>0.44186111111111109</c:v>
                </c:pt>
                <c:pt idx="70">
                  <c:v>0.41549999999999998</c:v>
                </c:pt>
                <c:pt idx="71">
                  <c:v>0</c:v>
                </c:pt>
                <c:pt idx="72">
                  <c:v>0</c:v>
                </c:pt>
                <c:pt idx="73">
                  <c:v>0.39236111111111122</c:v>
                </c:pt>
                <c:pt idx="74">
                  <c:v>0.43647222222222221</c:v>
                </c:pt>
                <c:pt idx="75">
                  <c:v>0</c:v>
                </c:pt>
                <c:pt idx="76">
                  <c:v>0.44463888888888892</c:v>
                </c:pt>
                <c:pt idx="77">
                  <c:v>0.44394444444444453</c:v>
                </c:pt>
                <c:pt idx="78">
                  <c:v>0.42961111111111105</c:v>
                </c:pt>
                <c:pt idx="79">
                  <c:v>0.45947222222222223</c:v>
                </c:pt>
                <c:pt idx="80">
                  <c:v>0.46744444444444433</c:v>
                </c:pt>
                <c:pt idx="81">
                  <c:v>0.43641666666666656</c:v>
                </c:pt>
                <c:pt idx="82">
                  <c:v>0.45369444444444462</c:v>
                </c:pt>
                <c:pt idx="83">
                  <c:v>0.44388888888888883</c:v>
                </c:pt>
                <c:pt idx="84">
                  <c:v>0.45388888888888879</c:v>
                </c:pt>
                <c:pt idx="85">
                  <c:v>0</c:v>
                </c:pt>
                <c:pt idx="86">
                  <c:v>0.41905555555555563</c:v>
                </c:pt>
                <c:pt idx="87">
                  <c:v>0.46813888888888894</c:v>
                </c:pt>
                <c:pt idx="88">
                  <c:v>0.46433333333333338</c:v>
                </c:pt>
                <c:pt idx="89">
                  <c:v>0.43727777777777771</c:v>
                </c:pt>
                <c:pt idx="90">
                  <c:v>0.45861111111111108</c:v>
                </c:pt>
                <c:pt idx="91">
                  <c:v>0.42144444444444457</c:v>
                </c:pt>
                <c:pt idx="92">
                  <c:v>0</c:v>
                </c:pt>
                <c:pt idx="93">
                  <c:v>0.43750000000000011</c:v>
                </c:pt>
                <c:pt idx="94">
                  <c:v>0.41361111111111104</c:v>
                </c:pt>
                <c:pt idx="95">
                  <c:v>0</c:v>
                </c:pt>
                <c:pt idx="96">
                  <c:v>0.42330555555555555</c:v>
                </c:pt>
                <c:pt idx="97">
                  <c:v>0.40663888888888894</c:v>
                </c:pt>
                <c:pt idx="98">
                  <c:v>0.46202777777777776</c:v>
                </c:pt>
                <c:pt idx="99">
                  <c:v>0.48286111111111119</c:v>
                </c:pt>
                <c:pt idx="100">
                  <c:v>0.42736111111111114</c:v>
                </c:pt>
                <c:pt idx="101">
                  <c:v>0.45461111111111108</c:v>
                </c:pt>
                <c:pt idx="102">
                  <c:v>0.45941666666666658</c:v>
                </c:pt>
                <c:pt idx="103">
                  <c:v>0.47775000000000006</c:v>
                </c:pt>
                <c:pt idx="104">
                  <c:v>0.4531944444444444</c:v>
                </c:pt>
                <c:pt idx="105">
                  <c:v>0</c:v>
                </c:pt>
                <c:pt idx="106">
                  <c:v>0.45969444444444452</c:v>
                </c:pt>
                <c:pt idx="107">
                  <c:v>0.47716666666666668</c:v>
                </c:pt>
                <c:pt idx="108">
                  <c:v>0.44344444444444447</c:v>
                </c:pt>
                <c:pt idx="109">
                  <c:v>0.45972222222222214</c:v>
                </c:pt>
                <c:pt idx="110">
                  <c:v>0.45172222222222236</c:v>
                </c:pt>
                <c:pt idx="111">
                  <c:v>0.47891666666666666</c:v>
                </c:pt>
                <c:pt idx="112">
                  <c:v>0.48805555555555569</c:v>
                </c:pt>
                <c:pt idx="113">
                  <c:v>0.46322222222222237</c:v>
                </c:pt>
                <c:pt idx="114">
                  <c:v>0</c:v>
                </c:pt>
                <c:pt idx="115">
                  <c:v>0</c:v>
                </c:pt>
                <c:pt idx="116">
                  <c:v>0.43522222222222223</c:v>
                </c:pt>
                <c:pt idx="117">
                  <c:v>0.39736111111111111</c:v>
                </c:pt>
                <c:pt idx="118">
                  <c:v>0.43644444444444447</c:v>
                </c:pt>
                <c:pt idx="119">
                  <c:v>0.50766666666666671</c:v>
                </c:pt>
                <c:pt idx="120">
                  <c:v>0.44016666666666671</c:v>
                </c:pt>
                <c:pt idx="121">
                  <c:v>0.42894444444444446</c:v>
                </c:pt>
                <c:pt idx="122">
                  <c:v>0.43347222222222215</c:v>
                </c:pt>
                <c:pt idx="123">
                  <c:v>0.42172222222222228</c:v>
                </c:pt>
                <c:pt idx="124">
                  <c:v>0.44261111111111107</c:v>
                </c:pt>
                <c:pt idx="125">
                  <c:v>0.4635555555555555</c:v>
                </c:pt>
                <c:pt idx="126">
                  <c:v>0.42055555555555552</c:v>
                </c:pt>
                <c:pt idx="127">
                  <c:v>0.4505277777777778</c:v>
                </c:pt>
                <c:pt idx="128">
                  <c:v>0.4473611111111111</c:v>
                </c:pt>
                <c:pt idx="129">
                  <c:v>0.4500277777777778</c:v>
                </c:pt>
                <c:pt idx="130">
                  <c:v>0</c:v>
                </c:pt>
                <c:pt idx="131">
                  <c:v>0.42724999999999991</c:v>
                </c:pt>
                <c:pt idx="132">
                  <c:v>0.36519444444444449</c:v>
                </c:pt>
                <c:pt idx="133">
                  <c:v>0.44125000000000003</c:v>
                </c:pt>
                <c:pt idx="134">
                  <c:v>0</c:v>
                </c:pt>
                <c:pt idx="135">
                  <c:v>0</c:v>
                </c:pt>
                <c:pt idx="136">
                  <c:v>0</c:v>
                </c:pt>
                <c:pt idx="137">
                  <c:v>0.47319444444444447</c:v>
                </c:pt>
                <c:pt idx="138">
                  <c:v>0.46538888888888891</c:v>
                </c:pt>
                <c:pt idx="139">
                  <c:v>0</c:v>
                </c:pt>
                <c:pt idx="140">
                  <c:v>0.47236111111111118</c:v>
                </c:pt>
                <c:pt idx="141">
                  <c:v>0.44747222222222227</c:v>
                </c:pt>
                <c:pt idx="142">
                  <c:v>0.44261111111111112</c:v>
                </c:pt>
                <c:pt idx="143">
                  <c:v>0.42952777777777779</c:v>
                </c:pt>
                <c:pt idx="144">
                  <c:v>0.44222222222222229</c:v>
                </c:pt>
                <c:pt idx="145">
                  <c:v>0.42166666666666658</c:v>
                </c:pt>
                <c:pt idx="146">
                  <c:v>0.44694444444444442</c:v>
                </c:pt>
                <c:pt idx="147">
                  <c:v>0.46052777777777781</c:v>
                </c:pt>
                <c:pt idx="148">
                  <c:v>0.45222222222222236</c:v>
                </c:pt>
                <c:pt idx="149">
                  <c:v>0.42988888888888893</c:v>
                </c:pt>
              </c:numCache>
            </c:numRef>
          </c:yVal>
          <c:smooth val="0"/>
          <c:extLst>
            <c:ext xmlns:c16="http://schemas.microsoft.com/office/drawing/2014/chart" uri="{C3380CC4-5D6E-409C-BE32-E72D297353CC}">
              <c16:uniqueId val="{00000000-CED0-4CEC-93E6-BDD1EA06C1E0}"/>
            </c:ext>
          </c:extLst>
        </c:ser>
        <c:dLbls>
          <c:showLegendKey val="0"/>
          <c:showVal val="0"/>
          <c:showCatName val="0"/>
          <c:showSerName val="0"/>
          <c:showPercent val="0"/>
          <c:showBubbleSize val="0"/>
        </c:dLbls>
        <c:axId val="54757136"/>
        <c:axId val="54757616"/>
      </c:scatterChart>
      <c:valAx>
        <c:axId val="54757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Years of Experience</a:t>
                </a:r>
                <a:endParaRPr lang="en-US"/>
              </a:p>
            </c:rich>
          </c:tx>
          <c:layout>
            <c:manualLayout>
              <c:xMode val="edge"/>
              <c:yMode val="edge"/>
              <c:x val="0.46436679790026258"/>
              <c:y val="0.89256926217556143"/>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616"/>
        <c:crosses val="autoZero"/>
        <c:crossBetween val="midCat"/>
      </c:valAx>
      <c:valAx>
        <c:axId val="5475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On-Time Rate</a:t>
                </a:r>
                <a:endParaRPr lang="en-US"/>
              </a:p>
            </c:rich>
          </c:tx>
          <c:layout>
            <c:manualLayout>
              <c:xMode val="edge"/>
              <c:yMode val="edge"/>
              <c:x val="2.5000000000000001E-2"/>
              <c:y val="0.34910104986876639"/>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TSA.xlsx]Incident_type!PivotTable7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Incidents by </a:t>
            </a:r>
            <a:r>
              <a:rPr lang="en-US" sz="1600" b="0" i="0" u="none" strike="noStrike" baseline="0"/>
              <a:t>Type</a:t>
            </a:r>
            <a:endParaRPr lang="en-US"/>
          </a:p>
        </c:rich>
      </c:tx>
      <c:layout>
        <c:manualLayout>
          <c:xMode val="edge"/>
          <c:yMode val="edge"/>
          <c:x val="0.42244685300223644"/>
          <c:y val="7.0344826392464935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lumMod val="60000"/>
              <a:lumOff val="4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lumMod val="75000"/>
            </a:schemeClr>
          </a:solidFill>
          <a:ln w="19050">
            <a:solidFill>
              <a:schemeClr val="lt1"/>
            </a:solidFill>
          </a:ln>
          <a:effectLst/>
        </c:spPr>
      </c:pivotFmt>
      <c:pivotFmt>
        <c:idx val="5"/>
        <c:spPr>
          <a:solidFill>
            <a:srgbClr val="0000D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D5"/>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00D5"/>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20000"/>
              <a:lumOff val="8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00D5"/>
          </a:solidFill>
          <a:ln w="19050">
            <a:solidFill>
              <a:schemeClr val="lt1"/>
            </a:solidFill>
          </a:ln>
          <a:effectLst/>
        </c:spPr>
      </c:pivotFmt>
      <c:pivotFmt>
        <c:idx val="20"/>
        <c:spPr>
          <a:solidFill>
            <a:schemeClr val="accent1">
              <a:lumMod val="40000"/>
              <a:lumOff val="6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20000"/>
              <a:lumOff val="80000"/>
            </a:schemeClr>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00D5"/>
          </a:solidFill>
          <a:ln w="19050">
            <a:solidFill>
              <a:schemeClr val="lt1"/>
            </a:solidFill>
          </a:ln>
          <a:effectLst/>
        </c:spPr>
      </c:pivotFmt>
      <c:pivotFmt>
        <c:idx val="26"/>
        <c:spPr>
          <a:solidFill>
            <a:schemeClr val="accent1">
              <a:lumMod val="40000"/>
              <a:lumOff val="60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8.9505686789151356E-2"/>
          <c:y val="0.2015426148654495"/>
          <c:w val="0.47740048118985129"/>
          <c:h val="0.75544691528943497"/>
        </c:manualLayout>
      </c:layout>
      <c:doughnutChart>
        <c:varyColors val="1"/>
        <c:ser>
          <c:idx val="0"/>
          <c:order val="0"/>
          <c:tx>
            <c:strRef>
              <c:f>Incident_type!$B$3</c:f>
              <c:strCache>
                <c:ptCount val="1"/>
                <c:pt idx="0">
                  <c:v>Total</c:v>
                </c:pt>
              </c:strCache>
            </c:strRef>
          </c:tx>
          <c:dPt>
            <c:idx val="0"/>
            <c:bubble3D val="0"/>
            <c:spPr>
              <a:solidFill>
                <a:srgbClr val="0000D5"/>
              </a:solidFill>
              <a:ln w="19050">
                <a:solidFill>
                  <a:schemeClr val="lt1"/>
                </a:solidFill>
              </a:ln>
              <a:effectLst/>
            </c:spPr>
            <c:extLst>
              <c:ext xmlns:c16="http://schemas.microsoft.com/office/drawing/2014/chart" uri="{C3380CC4-5D6E-409C-BE32-E72D297353CC}">
                <c16:uniqueId val="{00000001-4489-47B2-842F-98D1D1FA25A4}"/>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489-47B2-842F-98D1D1FA25A4}"/>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4489-47B2-842F-98D1D1FA25A4}"/>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4489-47B2-842F-98D1D1FA25A4}"/>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4489-47B2-842F-98D1D1FA2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Incident_type!$A$4:$A$8</c:f>
              <c:strCache>
                <c:ptCount val="5"/>
                <c:pt idx="0">
                  <c:v>DOT Violation</c:v>
                </c:pt>
                <c:pt idx="1">
                  <c:v>Equipment Damage</c:v>
                </c:pt>
                <c:pt idx="2">
                  <c:v>Accident</c:v>
                </c:pt>
                <c:pt idx="3">
                  <c:v>Customer Complaint</c:v>
                </c:pt>
                <c:pt idx="4">
                  <c:v>Moving Violation</c:v>
                </c:pt>
              </c:strCache>
            </c:strRef>
          </c:cat>
          <c:val>
            <c:numRef>
              <c:f>Incident_type!$B$4:$B$8</c:f>
              <c:numCache>
                <c:formatCode>General</c:formatCode>
                <c:ptCount val="5"/>
                <c:pt idx="0">
                  <c:v>39</c:v>
                </c:pt>
                <c:pt idx="1">
                  <c:v>35</c:v>
                </c:pt>
                <c:pt idx="2">
                  <c:v>35</c:v>
                </c:pt>
                <c:pt idx="3">
                  <c:v>34</c:v>
                </c:pt>
                <c:pt idx="4">
                  <c:v>27</c:v>
                </c:pt>
              </c:numCache>
            </c:numRef>
          </c:val>
          <c:extLst>
            <c:ext xmlns:c16="http://schemas.microsoft.com/office/drawing/2014/chart" uri="{C3380CC4-5D6E-409C-BE32-E72D297353CC}">
              <c16:uniqueId val="{0000000A-4489-47B2-842F-98D1D1FA25A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057830271216094"/>
          <c:y val="0.34992160595310201"/>
          <c:w val="0.25331058617672791"/>
          <c:h val="0.40965926039445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TSA.xlsx]Revenue!PivotTable3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Drivers by Revenue</a:t>
            </a:r>
          </a:p>
        </c:rich>
      </c:tx>
      <c:layout>
        <c:manualLayout>
          <c:xMode val="edge"/>
          <c:yMode val="edge"/>
          <c:x val="0.42735285041843701"/>
          <c:y val="5.9865472205667632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4204406755823"/>
          <c:y val="0.18960855767911028"/>
          <c:w val="0.79616376366040653"/>
          <c:h val="0.65174320972166888"/>
        </c:manualLayout>
      </c:layout>
      <c:barChart>
        <c:barDir val="col"/>
        <c:grouping val="clustered"/>
        <c:varyColors val="0"/>
        <c:ser>
          <c:idx val="0"/>
          <c:order val="0"/>
          <c:tx>
            <c:strRef>
              <c:f>Revenue!$B$3</c:f>
              <c:strCache>
                <c:ptCount val="1"/>
                <c:pt idx="0">
                  <c:v>Total</c:v>
                </c:pt>
              </c:strCache>
            </c:strRef>
          </c:tx>
          <c:spPr>
            <a:solidFill>
              <a:schemeClr val="accent1"/>
            </a:solidFill>
            <a:ln>
              <a:noFill/>
            </a:ln>
            <a:effectLst/>
          </c:spPr>
          <c:invertIfNegative val="0"/>
          <c:cat>
            <c:strRef>
              <c:f>Revenue!$A$4:$A$13</c:f>
              <c:strCache>
                <c:ptCount val="10"/>
                <c:pt idx="0">
                  <c:v>DRV00051</c:v>
                </c:pt>
                <c:pt idx="1">
                  <c:v>DRV00108</c:v>
                </c:pt>
                <c:pt idx="2">
                  <c:v>DRV00059</c:v>
                </c:pt>
                <c:pt idx="3">
                  <c:v>DRV00016</c:v>
                </c:pt>
                <c:pt idx="4">
                  <c:v>DRV00019</c:v>
                </c:pt>
                <c:pt idx="5">
                  <c:v>DRV00127</c:v>
                </c:pt>
                <c:pt idx="6">
                  <c:v>DRV00149</c:v>
                </c:pt>
                <c:pt idx="7">
                  <c:v>DRV00147</c:v>
                </c:pt>
                <c:pt idx="8">
                  <c:v>DRV00085</c:v>
                </c:pt>
                <c:pt idx="9">
                  <c:v>DRV00087</c:v>
                </c:pt>
              </c:strCache>
            </c:strRef>
          </c:cat>
          <c:val>
            <c:numRef>
              <c:f>Revenue!$B$4:$B$13</c:f>
              <c:numCache>
                <c:formatCode>_(* #,##0.00_);_(* \(#,##0.00\);_(* "-"??_);_(@_)</c:formatCode>
                <c:ptCount val="10"/>
                <c:pt idx="0">
                  <c:v>2311844.2999999998</c:v>
                </c:pt>
                <c:pt idx="1">
                  <c:v>2311327.9</c:v>
                </c:pt>
                <c:pt idx="2">
                  <c:v>2305056.6</c:v>
                </c:pt>
                <c:pt idx="3">
                  <c:v>2278574.88</c:v>
                </c:pt>
                <c:pt idx="4">
                  <c:v>2275654.7599999998</c:v>
                </c:pt>
                <c:pt idx="5">
                  <c:v>2272317.62</c:v>
                </c:pt>
                <c:pt idx="6">
                  <c:v>2269105.67</c:v>
                </c:pt>
                <c:pt idx="7">
                  <c:v>2256066.9200000004</c:v>
                </c:pt>
                <c:pt idx="8">
                  <c:v>2229521.2300000004</c:v>
                </c:pt>
                <c:pt idx="9">
                  <c:v>2214003.3300000005</c:v>
                </c:pt>
              </c:numCache>
            </c:numRef>
          </c:val>
          <c:extLst>
            <c:ext xmlns:c16="http://schemas.microsoft.com/office/drawing/2014/chart" uri="{C3380CC4-5D6E-409C-BE32-E72D297353CC}">
              <c16:uniqueId val="{00000000-C46C-44EB-BCE3-7DB34E6242D1}"/>
            </c:ext>
          </c:extLst>
        </c:ser>
        <c:dLbls>
          <c:showLegendKey val="0"/>
          <c:showVal val="0"/>
          <c:showCatName val="0"/>
          <c:showSerName val="0"/>
          <c:showPercent val="0"/>
          <c:showBubbleSize val="0"/>
        </c:dLbls>
        <c:gapWidth val="219"/>
        <c:overlap val="-27"/>
        <c:axId val="1316006383"/>
        <c:axId val="1316003983"/>
      </c:barChart>
      <c:catAx>
        <c:axId val="1316006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a:t>
                </a:r>
                <a:r>
                  <a:rPr lang="en-US" baseline="0"/>
                  <a:t>ID</a:t>
                </a:r>
                <a:endParaRPr lang="en-US"/>
              </a:p>
            </c:rich>
          </c:tx>
          <c:layout>
            <c:manualLayout>
              <c:xMode val="edge"/>
              <c:yMode val="edge"/>
              <c:x val="0.47992666760045366"/>
              <c:y val="0.92922530275737047"/>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03983"/>
        <c:crosses val="autoZero"/>
        <c:auto val="1"/>
        <c:lblAlgn val="ctr"/>
        <c:lblOffset val="100"/>
        <c:noMultiLvlLbl val="0"/>
      </c:catAx>
      <c:valAx>
        <c:axId val="131600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a:t>
                </a:r>
                <a:endParaRPr lang="en-US"/>
              </a:p>
            </c:rich>
          </c:tx>
          <c:layout>
            <c:manualLayout>
              <c:xMode val="edge"/>
              <c:yMode val="edge"/>
              <c:x val="3.2163195801055512E-2"/>
              <c:y val="0.43926379546592981"/>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0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TSA.xlsx]Time_Delivery!PivotTable4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Drivers by Time Delivery Rate</a:t>
            </a:r>
          </a:p>
        </c:rich>
      </c:tx>
      <c:layout>
        <c:manualLayout>
          <c:xMode val="edge"/>
          <c:yMode val="edge"/>
          <c:x val="0.40785281998804979"/>
          <c:y val="3.6422767958288763E-2"/>
        </c:manualLayout>
      </c:layout>
      <c:overlay val="0"/>
      <c:spPr>
        <a:solidFill>
          <a:schemeClr val="bg1">
            <a:lumMod val="95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1969349110932"/>
          <c:y val="0.14168908544280992"/>
          <c:w val="0.84649452189461372"/>
          <c:h val="0.7093677115531678"/>
        </c:manualLayout>
      </c:layout>
      <c:barChart>
        <c:barDir val="bar"/>
        <c:grouping val="clustered"/>
        <c:varyColors val="0"/>
        <c:ser>
          <c:idx val="0"/>
          <c:order val="0"/>
          <c:tx>
            <c:strRef>
              <c:f>Time_Delivery!$B$3</c:f>
              <c:strCache>
                <c:ptCount val="1"/>
                <c:pt idx="0">
                  <c:v>Total</c:v>
                </c:pt>
              </c:strCache>
            </c:strRef>
          </c:tx>
          <c:spPr>
            <a:solidFill>
              <a:schemeClr val="accent1"/>
            </a:solidFill>
            <a:ln>
              <a:noFill/>
            </a:ln>
            <a:effectLst/>
          </c:spPr>
          <c:invertIfNegative val="0"/>
          <c:cat>
            <c:strRef>
              <c:f>Time_Delivery!$A$4:$A$13</c:f>
              <c:strCache>
                <c:ptCount val="10"/>
                <c:pt idx="0">
                  <c:v>DRV00108</c:v>
                </c:pt>
                <c:pt idx="1">
                  <c:v>DRV00104</c:v>
                </c:pt>
                <c:pt idx="2">
                  <c:v>DRV00112</c:v>
                </c:pt>
                <c:pt idx="3">
                  <c:v>DRV00060</c:v>
                </c:pt>
                <c:pt idx="4">
                  <c:v>DRV00022</c:v>
                </c:pt>
                <c:pt idx="5">
                  <c:v>DRV00020</c:v>
                </c:pt>
                <c:pt idx="6">
                  <c:v>DRV00100</c:v>
                </c:pt>
                <c:pt idx="7">
                  <c:v>DRV00113</c:v>
                </c:pt>
                <c:pt idx="8">
                  <c:v>DRV00036</c:v>
                </c:pt>
                <c:pt idx="9">
                  <c:v>DRV00120</c:v>
                </c:pt>
              </c:strCache>
            </c:strRef>
          </c:cat>
          <c:val>
            <c:numRef>
              <c:f>Time_Delivery!$B$4:$B$13</c:f>
              <c:numCache>
                <c:formatCode>0.000</c:formatCode>
                <c:ptCount val="10"/>
                <c:pt idx="0">
                  <c:v>0.47716666666666668</c:v>
                </c:pt>
                <c:pt idx="1">
                  <c:v>0.47775000000000006</c:v>
                </c:pt>
                <c:pt idx="2">
                  <c:v>0.47891666666666666</c:v>
                </c:pt>
                <c:pt idx="3">
                  <c:v>0.47911111111111127</c:v>
                </c:pt>
                <c:pt idx="4">
                  <c:v>0.48116666666666674</c:v>
                </c:pt>
                <c:pt idx="5">
                  <c:v>0.48252777777777794</c:v>
                </c:pt>
                <c:pt idx="6">
                  <c:v>0.48286111111111119</c:v>
                </c:pt>
                <c:pt idx="7">
                  <c:v>0.48805555555555569</c:v>
                </c:pt>
                <c:pt idx="8">
                  <c:v>0.49041666666666672</c:v>
                </c:pt>
                <c:pt idx="9">
                  <c:v>0.50766666666666671</c:v>
                </c:pt>
              </c:numCache>
            </c:numRef>
          </c:val>
          <c:extLst>
            <c:ext xmlns:c16="http://schemas.microsoft.com/office/drawing/2014/chart" uri="{C3380CC4-5D6E-409C-BE32-E72D297353CC}">
              <c16:uniqueId val="{00000000-FA6B-40C6-AC03-44E4CA3C36B1}"/>
            </c:ext>
          </c:extLst>
        </c:ser>
        <c:dLbls>
          <c:showLegendKey val="0"/>
          <c:showVal val="0"/>
          <c:showCatName val="0"/>
          <c:showSerName val="0"/>
          <c:showPercent val="0"/>
          <c:showBubbleSize val="0"/>
        </c:dLbls>
        <c:gapWidth val="182"/>
        <c:axId val="47169360"/>
        <c:axId val="47173200"/>
      </c:barChart>
      <c:catAx>
        <c:axId val="47169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DriversID</a:t>
                </a:r>
              </a:p>
            </c:rich>
          </c:tx>
          <c:layout>
            <c:manualLayout>
              <c:xMode val="edge"/>
              <c:yMode val="edge"/>
              <c:x val="3.0405409286795065E-2"/>
              <c:y val="0.43341628023358242"/>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3200"/>
        <c:crosses val="autoZero"/>
        <c:auto val="1"/>
        <c:lblAlgn val="ctr"/>
        <c:lblOffset val="100"/>
        <c:noMultiLvlLbl val="0"/>
      </c:catAx>
      <c:valAx>
        <c:axId val="47173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Delivery Rate</a:t>
                </a:r>
              </a:p>
            </c:rich>
          </c:tx>
          <c:layout>
            <c:manualLayout>
              <c:xMode val="edge"/>
              <c:yMode val="edge"/>
              <c:x val="0.50023989731229546"/>
              <c:y val="0.92372674463624549"/>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TSA.xlsx]MPG!PivotTable5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Drivers by Fuel Efficiency (MPG)</a:t>
            </a:r>
            <a:endParaRPr lang="en-US"/>
          </a:p>
        </c:rich>
      </c:tx>
      <c:layout>
        <c:manualLayout>
          <c:xMode val="edge"/>
          <c:yMode val="edge"/>
          <c:x val="0.39516128347679208"/>
          <c:y val="8.8240017314310179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0457416847941"/>
          <c:y val="0.21162112932604735"/>
          <c:w val="0.84603460421969601"/>
          <c:h val="0.62031346757571926"/>
        </c:manualLayout>
      </c:layout>
      <c:barChart>
        <c:barDir val="col"/>
        <c:grouping val="clustered"/>
        <c:varyColors val="0"/>
        <c:ser>
          <c:idx val="0"/>
          <c:order val="0"/>
          <c:tx>
            <c:strRef>
              <c:f>MPG!$B$3</c:f>
              <c:strCache>
                <c:ptCount val="1"/>
                <c:pt idx="0">
                  <c:v>Total</c:v>
                </c:pt>
              </c:strCache>
            </c:strRef>
          </c:tx>
          <c:spPr>
            <a:solidFill>
              <a:schemeClr val="accent1"/>
            </a:solidFill>
            <a:ln>
              <a:noFill/>
            </a:ln>
            <a:effectLst/>
          </c:spPr>
          <c:invertIfNegative val="0"/>
          <c:cat>
            <c:strRef>
              <c:f>MPG!$A$4:$A$13</c:f>
              <c:strCache>
                <c:ptCount val="10"/>
                <c:pt idx="0">
                  <c:v>DRV00105</c:v>
                </c:pt>
                <c:pt idx="1">
                  <c:v>DRV00103</c:v>
                </c:pt>
                <c:pt idx="2">
                  <c:v>DRV00109</c:v>
                </c:pt>
                <c:pt idx="3">
                  <c:v>DRV00098</c:v>
                </c:pt>
                <c:pt idx="4">
                  <c:v>DRV00049</c:v>
                </c:pt>
                <c:pt idx="5">
                  <c:v>DRV00038</c:v>
                </c:pt>
                <c:pt idx="6">
                  <c:v>DRV00141</c:v>
                </c:pt>
                <c:pt idx="7">
                  <c:v>DRV00057</c:v>
                </c:pt>
                <c:pt idx="8">
                  <c:v>DRV00081</c:v>
                </c:pt>
                <c:pt idx="9">
                  <c:v>DRV00023</c:v>
                </c:pt>
              </c:strCache>
            </c:strRef>
          </c:cat>
          <c:val>
            <c:numRef>
              <c:f>MPG!$B$4:$B$13</c:f>
              <c:numCache>
                <c:formatCode>0.00</c:formatCode>
                <c:ptCount val="10"/>
                <c:pt idx="0">
                  <c:v>236.27</c:v>
                </c:pt>
                <c:pt idx="1">
                  <c:v>236.23999999999998</c:v>
                </c:pt>
                <c:pt idx="2">
                  <c:v>236.22000000000003</c:v>
                </c:pt>
                <c:pt idx="3">
                  <c:v>235.92</c:v>
                </c:pt>
                <c:pt idx="4">
                  <c:v>235.9</c:v>
                </c:pt>
                <c:pt idx="5">
                  <c:v>235.77000000000004</c:v>
                </c:pt>
                <c:pt idx="6">
                  <c:v>235.70000000000002</c:v>
                </c:pt>
                <c:pt idx="7">
                  <c:v>235.70000000000002</c:v>
                </c:pt>
                <c:pt idx="8">
                  <c:v>235.68</c:v>
                </c:pt>
                <c:pt idx="9">
                  <c:v>235.61</c:v>
                </c:pt>
              </c:numCache>
            </c:numRef>
          </c:val>
          <c:extLst>
            <c:ext xmlns:c16="http://schemas.microsoft.com/office/drawing/2014/chart" uri="{C3380CC4-5D6E-409C-BE32-E72D297353CC}">
              <c16:uniqueId val="{00000000-369D-4BFA-96CE-E93C50146C2A}"/>
            </c:ext>
          </c:extLst>
        </c:ser>
        <c:dLbls>
          <c:showLegendKey val="0"/>
          <c:showVal val="0"/>
          <c:showCatName val="0"/>
          <c:showSerName val="0"/>
          <c:showPercent val="0"/>
          <c:showBubbleSize val="0"/>
        </c:dLbls>
        <c:gapWidth val="219"/>
        <c:overlap val="-27"/>
        <c:axId val="2070778159"/>
        <c:axId val="2070781039"/>
      </c:barChart>
      <c:catAx>
        <c:axId val="207077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DriversID</a:t>
                </a:r>
              </a:p>
            </c:rich>
          </c:tx>
          <c:layout>
            <c:manualLayout>
              <c:xMode val="edge"/>
              <c:yMode val="edge"/>
              <c:x val="0.52446008307872505"/>
              <c:y val="0.92369437931894993"/>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81039"/>
        <c:crosses val="autoZero"/>
        <c:auto val="1"/>
        <c:lblAlgn val="ctr"/>
        <c:lblOffset val="100"/>
        <c:noMultiLvlLbl val="0"/>
      </c:catAx>
      <c:valAx>
        <c:axId val="207078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MPG</a:t>
                </a:r>
                <a:endParaRPr lang="en-US"/>
              </a:p>
            </c:rich>
          </c:tx>
          <c:layout>
            <c:manualLayout>
              <c:xMode val="edge"/>
              <c:yMode val="edge"/>
              <c:x val="3.0080832971695681E-2"/>
              <c:y val="0.45141845637687278"/>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7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Driver Experience vs On-Time Delivery Rate</a:t>
            </a:r>
            <a:endParaRPr lang="en-US"/>
          </a:p>
        </c:rich>
      </c:tx>
      <c:layout>
        <c:manualLayout>
          <c:xMode val="edge"/>
          <c:yMode val="edge"/>
          <c:x val="0.3805179281054975"/>
          <c:y val="5.2900464236523163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91930645521046"/>
          <c:y val="0.15789085952225693"/>
          <c:w val="0.84785841416950791"/>
          <c:h val="0.63653826753211373"/>
        </c:manualLayout>
      </c:layout>
      <c:scatterChart>
        <c:scatterStyle val="lineMarker"/>
        <c:varyColors val="0"/>
        <c:ser>
          <c:idx val="0"/>
          <c:order val="0"/>
          <c:tx>
            <c:strRef>
              <c:f>ScatterPlot!$C$1</c:f>
              <c:strCache>
                <c:ptCount val="1"/>
                <c:pt idx="0">
                  <c:v>avg_ontime_rate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ScatterPlot!$B$2:$B$152</c:f>
              <c:numCache>
                <c:formatCode>General</c:formatCode>
                <c:ptCount val="151"/>
                <c:pt idx="0">
                  <c:v>3</c:v>
                </c:pt>
                <c:pt idx="1">
                  <c:v>20</c:v>
                </c:pt>
                <c:pt idx="2">
                  <c:v>19</c:v>
                </c:pt>
                <c:pt idx="3">
                  <c:v>19</c:v>
                </c:pt>
                <c:pt idx="4">
                  <c:v>12</c:v>
                </c:pt>
                <c:pt idx="5">
                  <c:v>23</c:v>
                </c:pt>
                <c:pt idx="6">
                  <c:v>5</c:v>
                </c:pt>
                <c:pt idx="7">
                  <c:v>15</c:v>
                </c:pt>
                <c:pt idx="8">
                  <c:v>13</c:v>
                </c:pt>
                <c:pt idx="9">
                  <c:v>23</c:v>
                </c:pt>
                <c:pt idx="10">
                  <c:v>15</c:v>
                </c:pt>
                <c:pt idx="11">
                  <c:v>25</c:v>
                </c:pt>
                <c:pt idx="12">
                  <c:v>3</c:v>
                </c:pt>
                <c:pt idx="13">
                  <c:v>11</c:v>
                </c:pt>
                <c:pt idx="14">
                  <c:v>21</c:v>
                </c:pt>
                <c:pt idx="15">
                  <c:v>11</c:v>
                </c:pt>
                <c:pt idx="16">
                  <c:v>13</c:v>
                </c:pt>
                <c:pt idx="17">
                  <c:v>5</c:v>
                </c:pt>
                <c:pt idx="18">
                  <c:v>20</c:v>
                </c:pt>
                <c:pt idx="19">
                  <c:v>18</c:v>
                </c:pt>
                <c:pt idx="20">
                  <c:v>8</c:v>
                </c:pt>
                <c:pt idx="21">
                  <c:v>6</c:v>
                </c:pt>
                <c:pt idx="22">
                  <c:v>23</c:v>
                </c:pt>
                <c:pt idx="23">
                  <c:v>17</c:v>
                </c:pt>
                <c:pt idx="24">
                  <c:v>9</c:v>
                </c:pt>
                <c:pt idx="25">
                  <c:v>5</c:v>
                </c:pt>
                <c:pt idx="26">
                  <c:v>13</c:v>
                </c:pt>
                <c:pt idx="27">
                  <c:v>19</c:v>
                </c:pt>
                <c:pt idx="28">
                  <c:v>13</c:v>
                </c:pt>
                <c:pt idx="29">
                  <c:v>5</c:v>
                </c:pt>
                <c:pt idx="30">
                  <c:v>10</c:v>
                </c:pt>
                <c:pt idx="31">
                  <c:v>20</c:v>
                </c:pt>
                <c:pt idx="32">
                  <c:v>9</c:v>
                </c:pt>
                <c:pt idx="33">
                  <c:v>15</c:v>
                </c:pt>
                <c:pt idx="34">
                  <c:v>19</c:v>
                </c:pt>
                <c:pt idx="35">
                  <c:v>21</c:v>
                </c:pt>
                <c:pt idx="36">
                  <c:v>21</c:v>
                </c:pt>
                <c:pt idx="37">
                  <c:v>23</c:v>
                </c:pt>
                <c:pt idx="38">
                  <c:v>22</c:v>
                </c:pt>
                <c:pt idx="39">
                  <c:v>19</c:v>
                </c:pt>
                <c:pt idx="40">
                  <c:v>2</c:v>
                </c:pt>
                <c:pt idx="41">
                  <c:v>21</c:v>
                </c:pt>
                <c:pt idx="42">
                  <c:v>23</c:v>
                </c:pt>
                <c:pt idx="43">
                  <c:v>24</c:v>
                </c:pt>
                <c:pt idx="44">
                  <c:v>10</c:v>
                </c:pt>
                <c:pt idx="45">
                  <c:v>2</c:v>
                </c:pt>
                <c:pt idx="46">
                  <c:v>7</c:v>
                </c:pt>
                <c:pt idx="47">
                  <c:v>10</c:v>
                </c:pt>
                <c:pt idx="48">
                  <c:v>24</c:v>
                </c:pt>
                <c:pt idx="49">
                  <c:v>11</c:v>
                </c:pt>
                <c:pt idx="50">
                  <c:v>12</c:v>
                </c:pt>
                <c:pt idx="51">
                  <c:v>13</c:v>
                </c:pt>
                <c:pt idx="52">
                  <c:v>2</c:v>
                </c:pt>
                <c:pt idx="53">
                  <c:v>7</c:v>
                </c:pt>
                <c:pt idx="54">
                  <c:v>6</c:v>
                </c:pt>
                <c:pt idx="55">
                  <c:v>20</c:v>
                </c:pt>
                <c:pt idx="56">
                  <c:v>23</c:v>
                </c:pt>
                <c:pt idx="57">
                  <c:v>14</c:v>
                </c:pt>
                <c:pt idx="58">
                  <c:v>4</c:v>
                </c:pt>
                <c:pt idx="59">
                  <c:v>6</c:v>
                </c:pt>
                <c:pt idx="60">
                  <c:v>25</c:v>
                </c:pt>
                <c:pt idx="61">
                  <c:v>22</c:v>
                </c:pt>
                <c:pt idx="62">
                  <c:v>2</c:v>
                </c:pt>
                <c:pt idx="63">
                  <c:v>4</c:v>
                </c:pt>
                <c:pt idx="64">
                  <c:v>25</c:v>
                </c:pt>
                <c:pt idx="65">
                  <c:v>18</c:v>
                </c:pt>
                <c:pt idx="66">
                  <c:v>8</c:v>
                </c:pt>
                <c:pt idx="67">
                  <c:v>14</c:v>
                </c:pt>
                <c:pt idx="68">
                  <c:v>15</c:v>
                </c:pt>
                <c:pt idx="69">
                  <c:v>16</c:v>
                </c:pt>
                <c:pt idx="70">
                  <c:v>12</c:v>
                </c:pt>
                <c:pt idx="71">
                  <c:v>7</c:v>
                </c:pt>
                <c:pt idx="72">
                  <c:v>13</c:v>
                </c:pt>
                <c:pt idx="73">
                  <c:v>11</c:v>
                </c:pt>
                <c:pt idx="74">
                  <c:v>25</c:v>
                </c:pt>
                <c:pt idx="75">
                  <c:v>12</c:v>
                </c:pt>
                <c:pt idx="76">
                  <c:v>20</c:v>
                </c:pt>
                <c:pt idx="77">
                  <c:v>21</c:v>
                </c:pt>
                <c:pt idx="78">
                  <c:v>4</c:v>
                </c:pt>
                <c:pt idx="79">
                  <c:v>3</c:v>
                </c:pt>
                <c:pt idx="80">
                  <c:v>6</c:v>
                </c:pt>
                <c:pt idx="81">
                  <c:v>7</c:v>
                </c:pt>
                <c:pt idx="82">
                  <c:v>21</c:v>
                </c:pt>
                <c:pt idx="83">
                  <c:v>3</c:v>
                </c:pt>
                <c:pt idx="84">
                  <c:v>23</c:v>
                </c:pt>
                <c:pt idx="85">
                  <c:v>4</c:v>
                </c:pt>
                <c:pt idx="86">
                  <c:v>10</c:v>
                </c:pt>
                <c:pt idx="87">
                  <c:v>16</c:v>
                </c:pt>
                <c:pt idx="88">
                  <c:v>23</c:v>
                </c:pt>
                <c:pt idx="89">
                  <c:v>15</c:v>
                </c:pt>
                <c:pt idx="90">
                  <c:v>17</c:v>
                </c:pt>
                <c:pt idx="91">
                  <c:v>21</c:v>
                </c:pt>
                <c:pt idx="92">
                  <c:v>16</c:v>
                </c:pt>
                <c:pt idx="93">
                  <c:v>15</c:v>
                </c:pt>
                <c:pt idx="94">
                  <c:v>10</c:v>
                </c:pt>
                <c:pt idx="95">
                  <c:v>8</c:v>
                </c:pt>
                <c:pt idx="96">
                  <c:v>18</c:v>
                </c:pt>
                <c:pt idx="97">
                  <c:v>5</c:v>
                </c:pt>
                <c:pt idx="98">
                  <c:v>13</c:v>
                </c:pt>
                <c:pt idx="99">
                  <c:v>15</c:v>
                </c:pt>
                <c:pt idx="100">
                  <c:v>5</c:v>
                </c:pt>
                <c:pt idx="101">
                  <c:v>11</c:v>
                </c:pt>
                <c:pt idx="102">
                  <c:v>23</c:v>
                </c:pt>
                <c:pt idx="103">
                  <c:v>23</c:v>
                </c:pt>
                <c:pt idx="104">
                  <c:v>20</c:v>
                </c:pt>
                <c:pt idx="105">
                  <c:v>17</c:v>
                </c:pt>
                <c:pt idx="106">
                  <c:v>18</c:v>
                </c:pt>
                <c:pt idx="107">
                  <c:v>23</c:v>
                </c:pt>
                <c:pt idx="108">
                  <c:v>11</c:v>
                </c:pt>
                <c:pt idx="109">
                  <c:v>3</c:v>
                </c:pt>
                <c:pt idx="110">
                  <c:v>9</c:v>
                </c:pt>
                <c:pt idx="111">
                  <c:v>14</c:v>
                </c:pt>
                <c:pt idx="112">
                  <c:v>21</c:v>
                </c:pt>
                <c:pt idx="113">
                  <c:v>3</c:v>
                </c:pt>
                <c:pt idx="114">
                  <c:v>2</c:v>
                </c:pt>
                <c:pt idx="115">
                  <c:v>8</c:v>
                </c:pt>
                <c:pt idx="116">
                  <c:v>11</c:v>
                </c:pt>
                <c:pt idx="117">
                  <c:v>8</c:v>
                </c:pt>
                <c:pt idx="118">
                  <c:v>6</c:v>
                </c:pt>
                <c:pt idx="119">
                  <c:v>10</c:v>
                </c:pt>
                <c:pt idx="120">
                  <c:v>11</c:v>
                </c:pt>
                <c:pt idx="121">
                  <c:v>12</c:v>
                </c:pt>
                <c:pt idx="122">
                  <c:v>5</c:v>
                </c:pt>
                <c:pt idx="123">
                  <c:v>2</c:v>
                </c:pt>
                <c:pt idx="124">
                  <c:v>17</c:v>
                </c:pt>
                <c:pt idx="125">
                  <c:v>25</c:v>
                </c:pt>
                <c:pt idx="126">
                  <c:v>15</c:v>
                </c:pt>
                <c:pt idx="127">
                  <c:v>7</c:v>
                </c:pt>
                <c:pt idx="128">
                  <c:v>6</c:v>
                </c:pt>
                <c:pt idx="129">
                  <c:v>14</c:v>
                </c:pt>
                <c:pt idx="130">
                  <c:v>19</c:v>
                </c:pt>
                <c:pt idx="131">
                  <c:v>24</c:v>
                </c:pt>
                <c:pt idx="132">
                  <c:v>9</c:v>
                </c:pt>
                <c:pt idx="133">
                  <c:v>18</c:v>
                </c:pt>
                <c:pt idx="134">
                  <c:v>19</c:v>
                </c:pt>
                <c:pt idx="135">
                  <c:v>23</c:v>
                </c:pt>
                <c:pt idx="136">
                  <c:v>13</c:v>
                </c:pt>
                <c:pt idx="137">
                  <c:v>4</c:v>
                </c:pt>
                <c:pt idx="138">
                  <c:v>14</c:v>
                </c:pt>
                <c:pt idx="139">
                  <c:v>25</c:v>
                </c:pt>
                <c:pt idx="140">
                  <c:v>3</c:v>
                </c:pt>
                <c:pt idx="141">
                  <c:v>15</c:v>
                </c:pt>
                <c:pt idx="142">
                  <c:v>2</c:v>
                </c:pt>
                <c:pt idx="143">
                  <c:v>16</c:v>
                </c:pt>
                <c:pt idx="144">
                  <c:v>4</c:v>
                </c:pt>
                <c:pt idx="145">
                  <c:v>12</c:v>
                </c:pt>
                <c:pt idx="146">
                  <c:v>20</c:v>
                </c:pt>
                <c:pt idx="147">
                  <c:v>15</c:v>
                </c:pt>
                <c:pt idx="148">
                  <c:v>20</c:v>
                </c:pt>
                <c:pt idx="149">
                  <c:v>14</c:v>
                </c:pt>
              </c:numCache>
            </c:numRef>
          </c:xVal>
          <c:yVal>
            <c:numRef>
              <c:f>ScatterPlot!$C$2:$C$152</c:f>
              <c:numCache>
                <c:formatCode>General</c:formatCode>
                <c:ptCount val="151"/>
                <c:pt idx="0">
                  <c:v>0.45416666666666661</c:v>
                </c:pt>
                <c:pt idx="1">
                  <c:v>0.46838888888888897</c:v>
                </c:pt>
                <c:pt idx="2">
                  <c:v>0.45080555555555574</c:v>
                </c:pt>
                <c:pt idx="3">
                  <c:v>0.42833333333333334</c:v>
                </c:pt>
                <c:pt idx="4">
                  <c:v>0.45405555555555555</c:v>
                </c:pt>
                <c:pt idx="5">
                  <c:v>0.4388611111111112</c:v>
                </c:pt>
                <c:pt idx="6">
                  <c:v>0</c:v>
                </c:pt>
                <c:pt idx="7">
                  <c:v>0</c:v>
                </c:pt>
                <c:pt idx="8">
                  <c:v>0.443388888888889</c:v>
                </c:pt>
                <c:pt idx="9">
                  <c:v>0.43747222222222226</c:v>
                </c:pt>
                <c:pt idx="10">
                  <c:v>0.43877777777777788</c:v>
                </c:pt>
                <c:pt idx="11">
                  <c:v>0.43747222222222226</c:v>
                </c:pt>
                <c:pt idx="12">
                  <c:v>0.43177777777777782</c:v>
                </c:pt>
                <c:pt idx="13">
                  <c:v>0.43288888888888893</c:v>
                </c:pt>
                <c:pt idx="14">
                  <c:v>0.42463888888888895</c:v>
                </c:pt>
                <c:pt idx="15">
                  <c:v>0.45011111111111113</c:v>
                </c:pt>
                <c:pt idx="16">
                  <c:v>0.45799999999999996</c:v>
                </c:pt>
                <c:pt idx="17">
                  <c:v>0.43327777777777787</c:v>
                </c:pt>
                <c:pt idx="18">
                  <c:v>0.44919444444444445</c:v>
                </c:pt>
                <c:pt idx="19">
                  <c:v>0.48252777777777794</c:v>
                </c:pt>
                <c:pt idx="20">
                  <c:v>0</c:v>
                </c:pt>
                <c:pt idx="21">
                  <c:v>0.48116666666666674</c:v>
                </c:pt>
                <c:pt idx="22">
                  <c:v>0.46524999999999994</c:v>
                </c:pt>
                <c:pt idx="23">
                  <c:v>0.44816666666666666</c:v>
                </c:pt>
                <c:pt idx="24">
                  <c:v>0.43280555555555567</c:v>
                </c:pt>
                <c:pt idx="25">
                  <c:v>0.43538888888888894</c:v>
                </c:pt>
                <c:pt idx="26">
                  <c:v>0</c:v>
                </c:pt>
                <c:pt idx="27">
                  <c:v>0.44213888888888897</c:v>
                </c:pt>
                <c:pt idx="28">
                  <c:v>0.47213888888888889</c:v>
                </c:pt>
                <c:pt idx="29">
                  <c:v>0.45241666666666674</c:v>
                </c:pt>
                <c:pt idx="30">
                  <c:v>0</c:v>
                </c:pt>
                <c:pt idx="31">
                  <c:v>0.449388888888889</c:v>
                </c:pt>
                <c:pt idx="32">
                  <c:v>0.43791666666666668</c:v>
                </c:pt>
                <c:pt idx="33">
                  <c:v>0.45013888888888892</c:v>
                </c:pt>
                <c:pt idx="34">
                  <c:v>0.46816666666666684</c:v>
                </c:pt>
                <c:pt idx="35">
                  <c:v>0.49041666666666672</c:v>
                </c:pt>
                <c:pt idx="36">
                  <c:v>0.44088888888888883</c:v>
                </c:pt>
                <c:pt idx="37">
                  <c:v>0.44472222222222219</c:v>
                </c:pt>
                <c:pt idx="38">
                  <c:v>0.45919444444444452</c:v>
                </c:pt>
                <c:pt idx="39">
                  <c:v>0</c:v>
                </c:pt>
                <c:pt idx="40">
                  <c:v>0.43980555555555556</c:v>
                </c:pt>
                <c:pt idx="41">
                  <c:v>0</c:v>
                </c:pt>
                <c:pt idx="42">
                  <c:v>0.44361111111111112</c:v>
                </c:pt>
                <c:pt idx="43">
                  <c:v>0.4370555555555557</c:v>
                </c:pt>
                <c:pt idx="44">
                  <c:v>0.45180555555555557</c:v>
                </c:pt>
                <c:pt idx="45">
                  <c:v>0</c:v>
                </c:pt>
                <c:pt idx="46">
                  <c:v>0.45230555555555557</c:v>
                </c:pt>
                <c:pt idx="47">
                  <c:v>0</c:v>
                </c:pt>
                <c:pt idx="48">
                  <c:v>0.45044444444444448</c:v>
                </c:pt>
                <c:pt idx="49">
                  <c:v>0.4425</c:v>
                </c:pt>
                <c:pt idx="50">
                  <c:v>0.43422222222222223</c:v>
                </c:pt>
                <c:pt idx="51">
                  <c:v>0</c:v>
                </c:pt>
                <c:pt idx="52">
                  <c:v>0.44227777777777777</c:v>
                </c:pt>
                <c:pt idx="53">
                  <c:v>0.42986111111111119</c:v>
                </c:pt>
                <c:pt idx="54">
                  <c:v>0.45100000000000001</c:v>
                </c:pt>
                <c:pt idx="55">
                  <c:v>0.42969444444444449</c:v>
                </c:pt>
                <c:pt idx="56">
                  <c:v>0.45900000000000013</c:v>
                </c:pt>
                <c:pt idx="57">
                  <c:v>0.44347222222222227</c:v>
                </c:pt>
                <c:pt idx="58">
                  <c:v>0.45966666666666661</c:v>
                </c:pt>
                <c:pt idx="59">
                  <c:v>0.47911111111111127</c:v>
                </c:pt>
                <c:pt idx="60">
                  <c:v>0.42488888888888893</c:v>
                </c:pt>
                <c:pt idx="61">
                  <c:v>0.44947222222222233</c:v>
                </c:pt>
                <c:pt idx="62">
                  <c:v>0.45900000000000002</c:v>
                </c:pt>
                <c:pt idx="63">
                  <c:v>0.41613888888888895</c:v>
                </c:pt>
                <c:pt idx="64">
                  <c:v>0.45252777777777781</c:v>
                </c:pt>
                <c:pt idx="65">
                  <c:v>0.44377777777777777</c:v>
                </c:pt>
                <c:pt idx="66">
                  <c:v>0</c:v>
                </c:pt>
                <c:pt idx="67">
                  <c:v>0</c:v>
                </c:pt>
                <c:pt idx="68">
                  <c:v>0.42575000000000002</c:v>
                </c:pt>
                <c:pt idx="69">
                  <c:v>0.44186111111111109</c:v>
                </c:pt>
                <c:pt idx="70">
                  <c:v>0.41549999999999998</c:v>
                </c:pt>
                <c:pt idx="71">
                  <c:v>0</c:v>
                </c:pt>
                <c:pt idx="72">
                  <c:v>0</c:v>
                </c:pt>
                <c:pt idx="73">
                  <c:v>0.39236111111111122</c:v>
                </c:pt>
                <c:pt idx="74">
                  <c:v>0.43647222222222221</c:v>
                </c:pt>
                <c:pt idx="75">
                  <c:v>0</c:v>
                </c:pt>
                <c:pt idx="76">
                  <c:v>0.44463888888888892</c:v>
                </c:pt>
                <c:pt idx="77">
                  <c:v>0.44394444444444453</c:v>
                </c:pt>
                <c:pt idx="78">
                  <c:v>0.42961111111111105</c:v>
                </c:pt>
                <c:pt idx="79">
                  <c:v>0.45947222222222223</c:v>
                </c:pt>
                <c:pt idx="80">
                  <c:v>0.46744444444444433</c:v>
                </c:pt>
                <c:pt idx="81">
                  <c:v>0.43641666666666656</c:v>
                </c:pt>
                <c:pt idx="82">
                  <c:v>0.45369444444444462</c:v>
                </c:pt>
                <c:pt idx="83">
                  <c:v>0.44388888888888883</c:v>
                </c:pt>
                <c:pt idx="84">
                  <c:v>0.45388888888888879</c:v>
                </c:pt>
                <c:pt idx="85">
                  <c:v>0</c:v>
                </c:pt>
                <c:pt idx="86">
                  <c:v>0.41905555555555563</c:v>
                </c:pt>
                <c:pt idx="87">
                  <c:v>0.46813888888888894</c:v>
                </c:pt>
                <c:pt idx="88">
                  <c:v>0.46433333333333338</c:v>
                </c:pt>
                <c:pt idx="89">
                  <c:v>0.43727777777777771</c:v>
                </c:pt>
                <c:pt idx="90">
                  <c:v>0.45861111111111108</c:v>
                </c:pt>
                <c:pt idx="91">
                  <c:v>0.42144444444444457</c:v>
                </c:pt>
                <c:pt idx="92">
                  <c:v>0</c:v>
                </c:pt>
                <c:pt idx="93">
                  <c:v>0.43750000000000011</c:v>
                </c:pt>
                <c:pt idx="94">
                  <c:v>0.41361111111111104</c:v>
                </c:pt>
                <c:pt idx="95">
                  <c:v>0</c:v>
                </c:pt>
                <c:pt idx="96">
                  <c:v>0.42330555555555555</c:v>
                </c:pt>
                <c:pt idx="97">
                  <c:v>0.40663888888888894</c:v>
                </c:pt>
                <c:pt idx="98">
                  <c:v>0.46202777777777776</c:v>
                </c:pt>
                <c:pt idx="99">
                  <c:v>0.48286111111111119</c:v>
                </c:pt>
                <c:pt idx="100">
                  <c:v>0.42736111111111114</c:v>
                </c:pt>
                <c:pt idx="101">
                  <c:v>0.45461111111111108</c:v>
                </c:pt>
                <c:pt idx="102">
                  <c:v>0.45941666666666658</c:v>
                </c:pt>
                <c:pt idx="103">
                  <c:v>0.47775000000000006</c:v>
                </c:pt>
                <c:pt idx="104">
                  <c:v>0.4531944444444444</c:v>
                </c:pt>
                <c:pt idx="105">
                  <c:v>0</c:v>
                </c:pt>
                <c:pt idx="106">
                  <c:v>0.45969444444444452</c:v>
                </c:pt>
                <c:pt idx="107">
                  <c:v>0.47716666666666668</c:v>
                </c:pt>
                <c:pt idx="108">
                  <c:v>0.44344444444444447</c:v>
                </c:pt>
                <c:pt idx="109">
                  <c:v>0.45972222222222214</c:v>
                </c:pt>
                <c:pt idx="110">
                  <c:v>0.45172222222222236</c:v>
                </c:pt>
                <c:pt idx="111">
                  <c:v>0.47891666666666666</c:v>
                </c:pt>
                <c:pt idx="112">
                  <c:v>0.48805555555555569</c:v>
                </c:pt>
                <c:pt idx="113">
                  <c:v>0.46322222222222237</c:v>
                </c:pt>
                <c:pt idx="114">
                  <c:v>0</c:v>
                </c:pt>
                <c:pt idx="115">
                  <c:v>0</c:v>
                </c:pt>
                <c:pt idx="116">
                  <c:v>0.43522222222222223</c:v>
                </c:pt>
                <c:pt idx="117">
                  <c:v>0.39736111111111111</c:v>
                </c:pt>
                <c:pt idx="118">
                  <c:v>0.43644444444444447</c:v>
                </c:pt>
                <c:pt idx="119">
                  <c:v>0.50766666666666671</c:v>
                </c:pt>
                <c:pt idx="120">
                  <c:v>0.44016666666666671</c:v>
                </c:pt>
                <c:pt idx="121">
                  <c:v>0.42894444444444446</c:v>
                </c:pt>
                <c:pt idx="122">
                  <c:v>0.43347222222222215</c:v>
                </c:pt>
                <c:pt idx="123">
                  <c:v>0.42172222222222228</c:v>
                </c:pt>
                <c:pt idx="124">
                  <c:v>0.44261111111111107</c:v>
                </c:pt>
                <c:pt idx="125">
                  <c:v>0.4635555555555555</c:v>
                </c:pt>
                <c:pt idx="126">
                  <c:v>0.42055555555555552</c:v>
                </c:pt>
                <c:pt idx="127">
                  <c:v>0.4505277777777778</c:v>
                </c:pt>
                <c:pt idx="128">
                  <c:v>0.4473611111111111</c:v>
                </c:pt>
                <c:pt idx="129">
                  <c:v>0.4500277777777778</c:v>
                </c:pt>
                <c:pt idx="130">
                  <c:v>0</c:v>
                </c:pt>
                <c:pt idx="131">
                  <c:v>0.42724999999999991</c:v>
                </c:pt>
                <c:pt idx="132">
                  <c:v>0.36519444444444449</c:v>
                </c:pt>
                <c:pt idx="133">
                  <c:v>0.44125000000000003</c:v>
                </c:pt>
                <c:pt idx="134">
                  <c:v>0</c:v>
                </c:pt>
                <c:pt idx="135">
                  <c:v>0</c:v>
                </c:pt>
                <c:pt idx="136">
                  <c:v>0</c:v>
                </c:pt>
                <c:pt idx="137">
                  <c:v>0.47319444444444447</c:v>
                </c:pt>
                <c:pt idx="138">
                  <c:v>0.46538888888888891</c:v>
                </c:pt>
                <c:pt idx="139">
                  <c:v>0</c:v>
                </c:pt>
                <c:pt idx="140">
                  <c:v>0.47236111111111118</c:v>
                </c:pt>
                <c:pt idx="141">
                  <c:v>0.44747222222222227</c:v>
                </c:pt>
                <c:pt idx="142">
                  <c:v>0.44261111111111112</c:v>
                </c:pt>
                <c:pt idx="143">
                  <c:v>0.42952777777777779</c:v>
                </c:pt>
                <c:pt idx="144">
                  <c:v>0.44222222222222229</c:v>
                </c:pt>
                <c:pt idx="145">
                  <c:v>0.42166666666666658</c:v>
                </c:pt>
                <c:pt idx="146">
                  <c:v>0.44694444444444442</c:v>
                </c:pt>
                <c:pt idx="147">
                  <c:v>0.46052777777777781</c:v>
                </c:pt>
                <c:pt idx="148">
                  <c:v>0.45222222222222236</c:v>
                </c:pt>
                <c:pt idx="149">
                  <c:v>0.42988888888888893</c:v>
                </c:pt>
              </c:numCache>
            </c:numRef>
          </c:yVal>
          <c:smooth val="0"/>
          <c:extLst>
            <c:ext xmlns:c16="http://schemas.microsoft.com/office/drawing/2014/chart" uri="{C3380CC4-5D6E-409C-BE32-E72D297353CC}">
              <c16:uniqueId val="{00000000-D631-476E-9F8C-1A90CE0BE25C}"/>
            </c:ext>
          </c:extLst>
        </c:ser>
        <c:dLbls>
          <c:showLegendKey val="0"/>
          <c:showVal val="0"/>
          <c:showCatName val="0"/>
          <c:showSerName val="0"/>
          <c:showPercent val="0"/>
          <c:showBubbleSize val="0"/>
        </c:dLbls>
        <c:axId val="54757136"/>
        <c:axId val="54757616"/>
      </c:scatterChart>
      <c:valAx>
        <c:axId val="54757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Years of Experience</a:t>
                </a:r>
                <a:endParaRPr lang="en-US"/>
              </a:p>
            </c:rich>
          </c:tx>
          <c:layout>
            <c:manualLayout>
              <c:xMode val="edge"/>
              <c:yMode val="edge"/>
              <c:x val="0.49095970102374786"/>
              <c:y val="0.88816652747544567"/>
            </c:manualLayout>
          </c:layout>
          <c:overlay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616"/>
        <c:crosses val="autoZero"/>
        <c:crossBetween val="midCat"/>
      </c:valAx>
      <c:valAx>
        <c:axId val="5475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On-Time Rate</a:t>
                </a:r>
                <a:endParaRPr lang="en-US"/>
              </a:p>
            </c:rich>
          </c:tx>
          <c:layout>
            <c:manualLayout>
              <c:xMode val="edge"/>
              <c:yMode val="edge"/>
              <c:x val="3.656213726141759E-2"/>
              <c:y val="0.43275451972788548"/>
            </c:manualLayout>
          </c:layout>
          <c:overlay val="0"/>
          <c:spPr>
            <a:solidFill>
              <a:schemeClr val="bg1">
                <a:lumMod val="95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7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TSA.xlsx]Incident_type!PivotTable7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Incidents by </a:t>
            </a:r>
            <a:r>
              <a:rPr lang="en-US" sz="1600" b="0" i="0" u="none" strike="noStrike" baseline="0"/>
              <a:t>Type</a:t>
            </a:r>
            <a:endParaRPr lang="en-US"/>
          </a:p>
        </c:rich>
      </c:tx>
      <c:layout>
        <c:manualLayout>
          <c:xMode val="edge"/>
          <c:yMode val="edge"/>
          <c:x val="0.42244685300223644"/>
          <c:y val="7.0344826392464935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lumMod val="60000"/>
              <a:lumOff val="4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lumMod val="75000"/>
            </a:schemeClr>
          </a:solidFill>
          <a:ln w="19050">
            <a:solidFill>
              <a:schemeClr val="lt1"/>
            </a:solidFill>
          </a:ln>
          <a:effectLst/>
        </c:spPr>
      </c:pivotFmt>
      <c:pivotFmt>
        <c:idx val="5"/>
        <c:spPr>
          <a:solidFill>
            <a:srgbClr val="0000D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D5"/>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00D5"/>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8.9505686789151356E-2"/>
          <c:y val="0.2015426148654495"/>
          <c:w val="0.47740048118985129"/>
          <c:h val="0.75544691528943497"/>
        </c:manualLayout>
      </c:layout>
      <c:doughnutChart>
        <c:varyColors val="1"/>
        <c:ser>
          <c:idx val="0"/>
          <c:order val="0"/>
          <c:tx>
            <c:strRef>
              <c:f>Incident_type!$B$3</c:f>
              <c:strCache>
                <c:ptCount val="1"/>
                <c:pt idx="0">
                  <c:v>Total</c:v>
                </c:pt>
              </c:strCache>
            </c:strRef>
          </c:tx>
          <c:dPt>
            <c:idx val="0"/>
            <c:bubble3D val="0"/>
            <c:spPr>
              <a:solidFill>
                <a:srgbClr val="0000D5"/>
              </a:solidFill>
              <a:ln w="19050">
                <a:solidFill>
                  <a:schemeClr val="lt1"/>
                </a:solidFill>
              </a:ln>
              <a:effectLst/>
            </c:spPr>
            <c:extLst>
              <c:ext xmlns:c16="http://schemas.microsoft.com/office/drawing/2014/chart" uri="{C3380CC4-5D6E-409C-BE32-E72D297353CC}">
                <c16:uniqueId val="{00000001-C952-4CDC-A5E0-4168547ADE49}"/>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C952-4CDC-A5E0-4168547ADE49}"/>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C952-4CDC-A5E0-4168547ADE49}"/>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C952-4CDC-A5E0-4168547ADE49}"/>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C952-4CDC-A5E0-4168547ADE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Incident_type!$A$4:$A$8</c:f>
              <c:strCache>
                <c:ptCount val="5"/>
                <c:pt idx="0">
                  <c:v>DOT Violation</c:v>
                </c:pt>
                <c:pt idx="1">
                  <c:v>Equipment Damage</c:v>
                </c:pt>
                <c:pt idx="2">
                  <c:v>Accident</c:v>
                </c:pt>
                <c:pt idx="3">
                  <c:v>Customer Complaint</c:v>
                </c:pt>
                <c:pt idx="4">
                  <c:v>Moving Violation</c:v>
                </c:pt>
              </c:strCache>
            </c:strRef>
          </c:cat>
          <c:val>
            <c:numRef>
              <c:f>Incident_type!$B$4:$B$8</c:f>
              <c:numCache>
                <c:formatCode>General</c:formatCode>
                <c:ptCount val="5"/>
                <c:pt idx="0">
                  <c:v>39</c:v>
                </c:pt>
                <c:pt idx="1">
                  <c:v>35</c:v>
                </c:pt>
                <c:pt idx="2">
                  <c:v>35</c:v>
                </c:pt>
                <c:pt idx="3">
                  <c:v>34</c:v>
                </c:pt>
                <c:pt idx="4">
                  <c:v>27</c:v>
                </c:pt>
              </c:numCache>
            </c:numRef>
          </c:val>
          <c:extLst>
            <c:ext xmlns:c16="http://schemas.microsoft.com/office/drawing/2014/chart" uri="{C3380CC4-5D6E-409C-BE32-E72D297353CC}">
              <c16:uniqueId val="{0000000A-C952-4CDC-A5E0-4168547ADE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057830271216094"/>
          <c:y val="0.34992160595310201"/>
          <c:w val="0.25331058617672791"/>
          <c:h val="0.46758501341178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168274</xdr:colOff>
      <xdr:row>1</xdr:row>
      <xdr:rowOff>82550</xdr:rowOff>
    </xdr:from>
    <xdr:to>
      <xdr:col>16</xdr:col>
      <xdr:colOff>539749</xdr:colOff>
      <xdr:row>22</xdr:row>
      <xdr:rowOff>63500</xdr:rowOff>
    </xdr:to>
    <xdr:graphicFrame macro="">
      <xdr:nvGraphicFramePr>
        <xdr:cNvPr id="2" name="Chart 1">
          <a:extLst>
            <a:ext uri="{FF2B5EF4-FFF2-40B4-BE49-F238E27FC236}">
              <a16:creationId xmlns:a16="http://schemas.microsoft.com/office/drawing/2014/main" id="{C9660268-3363-6C38-07BD-878E17364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206374</xdr:colOff>
      <xdr:row>1</xdr:row>
      <xdr:rowOff>82550</xdr:rowOff>
    </xdr:from>
    <xdr:to>
      <xdr:col>13</xdr:col>
      <xdr:colOff>374649</xdr:colOff>
      <xdr:row>19</xdr:row>
      <xdr:rowOff>0</xdr:rowOff>
    </xdr:to>
    <xdr:graphicFrame macro="">
      <xdr:nvGraphicFramePr>
        <xdr:cNvPr id="3" name="Chart 2">
          <a:extLst>
            <a:ext uri="{FF2B5EF4-FFF2-40B4-BE49-F238E27FC236}">
              <a16:creationId xmlns:a16="http://schemas.microsoft.com/office/drawing/2014/main" id="{236F1985-D406-4D12-370A-42CEEA000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41274</xdr:colOff>
      <xdr:row>1</xdr:row>
      <xdr:rowOff>25400</xdr:rowOff>
    </xdr:from>
    <xdr:to>
      <xdr:col>13</xdr:col>
      <xdr:colOff>196849</xdr:colOff>
      <xdr:row>20</xdr:row>
      <xdr:rowOff>12700</xdr:rowOff>
    </xdr:to>
    <xdr:graphicFrame macro="">
      <xdr:nvGraphicFramePr>
        <xdr:cNvPr id="3" name="Chart 2">
          <a:extLst>
            <a:ext uri="{FF2B5EF4-FFF2-40B4-BE49-F238E27FC236}">
              <a16:creationId xmlns:a16="http://schemas.microsoft.com/office/drawing/2014/main" id="{824E00B5-2B63-2B13-2048-6CEA70B6B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250825</xdr:colOff>
      <xdr:row>1</xdr:row>
      <xdr:rowOff>82550</xdr:rowOff>
    </xdr:from>
    <xdr:to>
      <xdr:col>11</xdr:col>
      <xdr:colOff>555625</xdr:colOff>
      <xdr:row>16</xdr:row>
      <xdr:rowOff>63500</xdr:rowOff>
    </xdr:to>
    <xdr:graphicFrame macro="">
      <xdr:nvGraphicFramePr>
        <xdr:cNvPr id="2" name="Chart 1">
          <a:extLst>
            <a:ext uri="{FF2B5EF4-FFF2-40B4-BE49-F238E27FC236}">
              <a16:creationId xmlns:a16="http://schemas.microsoft.com/office/drawing/2014/main" id="{582F36EE-95B6-74B2-0FF9-F6676FF3C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231689</xdr:colOff>
      <xdr:row>1</xdr:row>
      <xdr:rowOff>94392</xdr:rowOff>
    </xdr:from>
    <xdr:to>
      <xdr:col>13</xdr:col>
      <xdr:colOff>351824</xdr:colOff>
      <xdr:row>25</xdr:row>
      <xdr:rowOff>154459</xdr:rowOff>
    </xdr:to>
    <xdr:graphicFrame macro="">
      <xdr:nvGraphicFramePr>
        <xdr:cNvPr id="3" name="Chart 2">
          <a:extLst>
            <a:ext uri="{FF2B5EF4-FFF2-40B4-BE49-F238E27FC236}">
              <a16:creationId xmlns:a16="http://schemas.microsoft.com/office/drawing/2014/main" id="{C121A616-9A60-442A-A712-F98DDDCD8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594969</xdr:colOff>
      <xdr:row>2</xdr:row>
      <xdr:rowOff>156192</xdr:rowOff>
    </xdr:from>
    <xdr:to>
      <xdr:col>18</xdr:col>
      <xdr:colOff>32564</xdr:colOff>
      <xdr:row>34</xdr:row>
      <xdr:rowOff>100561</xdr:rowOff>
    </xdr:to>
    <xdr:graphicFrame macro="">
      <xdr:nvGraphicFramePr>
        <xdr:cNvPr id="2" name="Chart 1">
          <a:extLst>
            <a:ext uri="{FF2B5EF4-FFF2-40B4-BE49-F238E27FC236}">
              <a16:creationId xmlns:a16="http://schemas.microsoft.com/office/drawing/2014/main" id="{0B627905-FF45-4FA1-9987-D6BA7EFA2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23548</xdr:colOff>
      <xdr:row>2</xdr:row>
      <xdr:rowOff>174159</xdr:rowOff>
    </xdr:from>
    <xdr:to>
      <xdr:col>38</xdr:col>
      <xdr:colOff>81409</xdr:colOff>
      <xdr:row>33</xdr:row>
      <xdr:rowOff>131126</xdr:rowOff>
    </xdr:to>
    <xdr:graphicFrame macro="">
      <xdr:nvGraphicFramePr>
        <xdr:cNvPr id="5" name="Chart 4">
          <a:extLst>
            <a:ext uri="{FF2B5EF4-FFF2-40B4-BE49-F238E27FC236}">
              <a16:creationId xmlns:a16="http://schemas.microsoft.com/office/drawing/2014/main" id="{6C1C59BA-0DB9-4C73-BD03-37E3C2DDC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113393</xdr:colOff>
      <xdr:row>36</xdr:row>
      <xdr:rowOff>68036</xdr:rowOff>
    </xdr:from>
    <xdr:to>
      <xdr:col>17</xdr:col>
      <xdr:colOff>555625</xdr:colOff>
      <xdr:row>66</xdr:row>
      <xdr:rowOff>112058</xdr:rowOff>
    </xdr:to>
    <xdr:graphicFrame macro="">
      <xdr:nvGraphicFramePr>
        <xdr:cNvPr id="6" name="Chart 5">
          <a:extLst>
            <a:ext uri="{FF2B5EF4-FFF2-40B4-BE49-F238E27FC236}">
              <a16:creationId xmlns:a16="http://schemas.microsoft.com/office/drawing/2014/main" id="{BF87BF88-BC38-4F29-A1C1-38858578C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52927</xdr:colOff>
      <xdr:row>36</xdr:row>
      <xdr:rowOff>41940</xdr:rowOff>
    </xdr:from>
    <xdr:to>
      <xdr:col>38</xdr:col>
      <xdr:colOff>87060</xdr:colOff>
      <xdr:row>66</xdr:row>
      <xdr:rowOff>136514</xdr:rowOff>
    </xdr:to>
    <xdr:graphicFrame macro="">
      <xdr:nvGraphicFramePr>
        <xdr:cNvPr id="7" name="Chart 6">
          <a:extLst>
            <a:ext uri="{FF2B5EF4-FFF2-40B4-BE49-F238E27FC236}">
              <a16:creationId xmlns:a16="http://schemas.microsoft.com/office/drawing/2014/main" id="{D8BFEB8D-1AED-4BCC-95D9-1ED34BA75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576970</xdr:colOff>
      <xdr:row>69</xdr:row>
      <xdr:rowOff>128519</xdr:rowOff>
    </xdr:from>
    <xdr:to>
      <xdr:col>24</xdr:col>
      <xdr:colOff>287739</xdr:colOff>
      <xdr:row>100</xdr:row>
      <xdr:rowOff>116068</xdr:rowOff>
    </xdr:to>
    <xdr:graphicFrame macro="">
      <xdr:nvGraphicFramePr>
        <xdr:cNvPr id="8" name="Chart 7">
          <a:extLst>
            <a:ext uri="{FF2B5EF4-FFF2-40B4-BE49-F238E27FC236}">
              <a16:creationId xmlns:a16="http://schemas.microsoft.com/office/drawing/2014/main" id="{8CE5CA5F-9380-4500-9B99-2D4AB8DC3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382910</xdr:colOff>
      <xdr:row>3</xdr:row>
      <xdr:rowOff>50354</xdr:rowOff>
    </xdr:from>
    <xdr:to>
      <xdr:col>43</xdr:col>
      <xdr:colOff>112889</xdr:colOff>
      <xdr:row>12</xdr:row>
      <xdr:rowOff>97692</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4A9441B0-B17A-29CC-6036-FA9E27822C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195410" y="1662277"/>
              <a:ext cx="2172287" cy="180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569995</xdr:colOff>
      <xdr:row>80</xdr:row>
      <xdr:rowOff>117828</xdr:rowOff>
    </xdr:from>
    <xdr:to>
      <xdr:col>28</xdr:col>
      <xdr:colOff>586721</xdr:colOff>
      <xdr:row>85</xdr:row>
      <xdr:rowOff>126438</xdr:rowOff>
    </xdr:to>
    <mc:AlternateContent xmlns:mc="http://schemas.openxmlformats.org/markup-compatibility/2006" xmlns:a14="http://schemas.microsoft.com/office/drawing/2010/main">
      <mc:Choice Requires="a14">
        <xdr:graphicFrame macro="">
          <xdr:nvGraphicFramePr>
            <xdr:cNvPr id="11" name="at_fault_flag">
              <a:extLst>
                <a:ext uri="{FF2B5EF4-FFF2-40B4-BE49-F238E27FC236}">
                  <a16:creationId xmlns:a16="http://schemas.microsoft.com/office/drawing/2014/main" id="{A1B55DB3-47BD-EEA1-37D1-564C56C6A25B}"/>
                </a:ext>
              </a:extLst>
            </xdr:cNvPr>
            <xdr:cNvGraphicFramePr/>
          </xdr:nvGraphicFramePr>
          <xdr:xfrm>
            <a:off x="0" y="0"/>
            <a:ext cx="0" cy="0"/>
          </xdr:xfrm>
          <a:graphic>
            <a:graphicData uri="http://schemas.microsoft.com/office/drawing/2010/slicer">
              <sle:slicer xmlns:sle="http://schemas.microsoft.com/office/drawing/2010/slicer" name="at_fault_flag"/>
            </a:graphicData>
          </a:graphic>
        </xdr:graphicFrame>
      </mc:Choice>
      <mc:Fallback xmlns="">
        <xdr:sp macro="" textlink="">
          <xdr:nvSpPr>
            <xdr:cNvPr id="0" name=""/>
            <xdr:cNvSpPr>
              <a:spLocks noTextEdit="1"/>
            </xdr:cNvSpPr>
          </xdr:nvSpPr>
          <xdr:spPr>
            <a:xfrm>
              <a:off x="15822446" y="15267558"/>
              <a:ext cx="1847020" cy="926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594339</xdr:colOff>
      <xdr:row>72</xdr:row>
      <xdr:rowOff>98955</xdr:rowOff>
    </xdr:from>
    <xdr:to>
      <xdr:col>29</xdr:col>
      <xdr:colOff>8629</xdr:colOff>
      <xdr:row>77</xdr:row>
      <xdr:rowOff>128481</xdr:rowOff>
    </xdr:to>
    <mc:AlternateContent xmlns:mc="http://schemas.openxmlformats.org/markup-compatibility/2006" xmlns:a14="http://schemas.microsoft.com/office/drawing/2010/main">
      <mc:Choice Requires="a14">
        <xdr:graphicFrame macro="">
          <xdr:nvGraphicFramePr>
            <xdr:cNvPr id="12" name="preventable_flag">
              <a:extLst>
                <a:ext uri="{FF2B5EF4-FFF2-40B4-BE49-F238E27FC236}">
                  <a16:creationId xmlns:a16="http://schemas.microsoft.com/office/drawing/2014/main" id="{021BC672-A6E9-2751-0995-516002C9290F}"/>
                </a:ext>
              </a:extLst>
            </xdr:cNvPr>
            <xdr:cNvGraphicFramePr/>
          </xdr:nvGraphicFramePr>
          <xdr:xfrm>
            <a:off x="0" y="0"/>
            <a:ext cx="0" cy="0"/>
          </xdr:xfrm>
          <a:graphic>
            <a:graphicData uri="http://schemas.microsoft.com/office/drawing/2010/slicer">
              <sle:slicer xmlns:sle="http://schemas.microsoft.com/office/drawing/2010/slicer" name="preventable_flag"/>
            </a:graphicData>
          </a:graphic>
        </xdr:graphicFrame>
      </mc:Choice>
      <mc:Fallback xmlns="">
        <xdr:sp macro="" textlink="">
          <xdr:nvSpPr>
            <xdr:cNvPr id="0" name=""/>
            <xdr:cNvSpPr>
              <a:spLocks noTextEdit="1"/>
            </xdr:cNvSpPr>
          </xdr:nvSpPr>
          <xdr:spPr>
            <a:xfrm>
              <a:off x="15846790" y="13779470"/>
              <a:ext cx="1854682" cy="947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369592</xdr:colOff>
      <xdr:row>14</xdr:row>
      <xdr:rowOff>131271</xdr:rowOff>
    </xdr:from>
    <xdr:to>
      <xdr:col>43</xdr:col>
      <xdr:colOff>127000</xdr:colOff>
      <xdr:row>24</xdr:row>
      <xdr:rowOff>65129</xdr:rowOff>
    </xdr:to>
    <mc:AlternateContent xmlns:mc="http://schemas.openxmlformats.org/markup-compatibility/2006" xmlns:a14="http://schemas.microsoft.com/office/drawing/2010/main">
      <mc:Choice Requires="a14">
        <xdr:graphicFrame macro="">
          <xdr:nvGraphicFramePr>
            <xdr:cNvPr id="13" name="trips_completed">
              <a:extLst>
                <a:ext uri="{FF2B5EF4-FFF2-40B4-BE49-F238E27FC236}">
                  <a16:creationId xmlns:a16="http://schemas.microsoft.com/office/drawing/2014/main" id="{81985BB6-F06B-E5C4-C198-A0277DEE5FCE}"/>
                </a:ext>
              </a:extLst>
            </xdr:cNvPr>
            <xdr:cNvGraphicFramePr/>
          </xdr:nvGraphicFramePr>
          <xdr:xfrm>
            <a:off x="0" y="0"/>
            <a:ext cx="0" cy="0"/>
          </xdr:xfrm>
          <a:graphic>
            <a:graphicData uri="http://schemas.microsoft.com/office/drawing/2010/slicer">
              <sle:slicer xmlns:sle="http://schemas.microsoft.com/office/drawing/2010/slicer" name="trips_completed"/>
            </a:graphicData>
          </a:graphic>
        </xdr:graphicFrame>
      </mc:Choice>
      <mc:Fallback xmlns="">
        <xdr:sp macro="" textlink="">
          <xdr:nvSpPr>
            <xdr:cNvPr id="0" name=""/>
            <xdr:cNvSpPr>
              <a:spLocks noTextEdit="1"/>
            </xdr:cNvSpPr>
          </xdr:nvSpPr>
          <xdr:spPr>
            <a:xfrm>
              <a:off x="24163416" y="3159972"/>
              <a:ext cx="1847019" cy="1770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3.854860300926" createdVersion="8" refreshedVersion="8" minRefreshableVersion="3" recordCount="4464" xr:uid="{E00FB2EE-E576-491F-9C13-368DA2D23E68}">
  <cacheSource type="worksheet">
    <worksheetSource name="driver_monthly_metrics"/>
  </cacheSource>
  <cacheFields count="9">
    <cacheField name="driver_id" numFmtId="0">
      <sharedItems count="124">
        <s v="DRV00001"/>
        <s v="DRV00002"/>
        <s v="DRV00003"/>
        <s v="DRV00004"/>
        <s v="DRV00005"/>
        <s v="DRV00006"/>
        <s v="DRV00009"/>
        <s v="DRV00010"/>
        <s v="DRV00011"/>
        <s v="DRV00012"/>
        <s v="DRV00013"/>
        <s v="DRV00014"/>
        <s v="DRV00015"/>
        <s v="DRV00016"/>
        <s v="DRV00017"/>
        <s v="DRV00018"/>
        <s v="DRV00019"/>
        <s v="DRV00020"/>
        <s v="DRV00022"/>
        <s v="DRV00023"/>
        <s v="DRV00024"/>
        <s v="DRV00025"/>
        <s v="DRV00026"/>
        <s v="DRV00028"/>
        <s v="DRV00029"/>
        <s v="DRV00030"/>
        <s v="DRV00032"/>
        <s v="DRV00033"/>
        <s v="DRV00034"/>
        <s v="DRV00035"/>
        <s v="DRV00036"/>
        <s v="DRV00037"/>
        <s v="DRV00038"/>
        <s v="DRV00039"/>
        <s v="DRV00041"/>
        <s v="DRV00043"/>
        <s v="DRV00044"/>
        <s v="DRV00045"/>
        <s v="DRV00047"/>
        <s v="DRV00049"/>
        <s v="DRV00050"/>
        <s v="DRV00051"/>
        <s v="DRV00053"/>
        <s v="DRV00054"/>
        <s v="DRV00055"/>
        <s v="DRV00056"/>
        <s v="DRV00057"/>
        <s v="DRV00058"/>
        <s v="DRV00059"/>
        <s v="DRV00060"/>
        <s v="DRV00061"/>
        <s v="DRV00062"/>
        <s v="DRV00063"/>
        <s v="DRV00064"/>
        <s v="DRV00065"/>
        <s v="DRV00066"/>
        <s v="DRV00069"/>
        <s v="DRV00070"/>
        <s v="DRV00071"/>
        <s v="DRV00074"/>
        <s v="DRV00075"/>
        <s v="DRV00077"/>
        <s v="DRV00078"/>
        <s v="DRV00079"/>
        <s v="DRV00080"/>
        <s v="DRV00081"/>
        <s v="DRV00082"/>
        <s v="DRV00083"/>
        <s v="DRV00084"/>
        <s v="DRV00085"/>
        <s v="DRV00087"/>
        <s v="DRV00088"/>
        <s v="DRV00089"/>
        <s v="DRV00090"/>
        <s v="DRV00091"/>
        <s v="DRV00092"/>
        <s v="DRV00094"/>
        <s v="DRV00095"/>
        <s v="DRV00097"/>
        <s v="DRV00098"/>
        <s v="DRV00099"/>
        <s v="DRV00100"/>
        <s v="DRV00101"/>
        <s v="DRV00102"/>
        <s v="DRV00103"/>
        <s v="DRV00104"/>
        <s v="DRV00105"/>
        <s v="DRV00107"/>
        <s v="DRV00108"/>
        <s v="DRV00109"/>
        <s v="DRV00110"/>
        <s v="DRV00111"/>
        <s v="DRV00112"/>
        <s v="DRV00113"/>
        <s v="DRV00114"/>
        <s v="DRV00117"/>
        <s v="DRV00118"/>
        <s v="DRV00119"/>
        <s v="DRV00120"/>
        <s v="DRV00121"/>
        <s v="DRV00122"/>
        <s v="DRV00123"/>
        <s v="DRV00124"/>
        <s v="DRV00125"/>
        <s v="DRV00126"/>
        <s v="DRV00127"/>
        <s v="DRV00128"/>
        <s v="DRV00129"/>
        <s v="DRV00130"/>
        <s v="DRV00132"/>
        <s v="DRV00133"/>
        <s v="DRV00134"/>
        <s v="DRV00138"/>
        <s v="DRV00139"/>
        <s v="DRV00141"/>
        <s v="DRV00142"/>
        <s v="DRV00143"/>
        <s v="DRV00144"/>
        <s v="DRV00145"/>
        <s v="DRV00146"/>
        <s v="DRV00147"/>
        <s v="DRV00148"/>
        <s v="DRV00149"/>
        <s v="DRV00150"/>
      </sharedItems>
    </cacheField>
    <cacheField name="month" numFmtId="14">
      <sharedItems containsSemiMixedTypes="0" containsNonDate="0" containsDate="1" containsString="0" minDate="2022-01-01T00:00:00" maxDate="2024-12-02T00:00:00" count="36">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cacheField>
    <cacheField name="trips_completed" numFmtId="0">
      <sharedItems containsSemiMixedTypes="0" containsString="0" containsNumber="1" containsInteger="1" minValue="5" maxValue="37" count="32">
        <n v="26"/>
        <n v="9"/>
        <n v="20"/>
        <n v="19"/>
        <n v="14"/>
        <n v="13"/>
        <n v="21"/>
        <n v="12"/>
        <n v="16"/>
        <n v="17"/>
        <n v="27"/>
        <n v="24"/>
        <n v="18"/>
        <n v="22"/>
        <n v="15"/>
        <n v="23"/>
        <n v="5"/>
        <n v="25"/>
        <n v="32"/>
        <n v="10"/>
        <n v="6"/>
        <n v="11"/>
        <n v="28"/>
        <n v="30"/>
        <n v="33"/>
        <n v="31"/>
        <n v="37"/>
        <n v="7"/>
        <n v="29"/>
        <n v="8"/>
        <n v="35"/>
        <n v="34"/>
      </sharedItems>
    </cacheField>
    <cacheField name="total_miles" numFmtId="0">
      <sharedItems containsSemiMixedTypes="0" containsString="0" containsNumber="1" containsInteger="1" minValue="3310" maxValue="57954"/>
    </cacheField>
    <cacheField name="total_revenue" numFmtId="43">
      <sharedItems containsSemiMixedTypes="0" containsString="0" containsNumber="1" minValue="7096.56" maxValue="124579.53"/>
    </cacheField>
    <cacheField name="average_mpg" numFmtId="2">
      <sharedItems containsSemiMixedTypes="0" containsString="0" containsNumber="1" minValue="6.01" maxValue="7.07"/>
    </cacheField>
    <cacheField name="total_fuel_gallons" numFmtId="1">
      <sharedItems containsSemiMixedTypes="0" containsString="0" containsNumber="1" minValue="521.9" maxValue="9007.5"/>
    </cacheField>
    <cacheField name="on_time_delivery_rate" numFmtId="165">
      <sharedItems containsSemiMixedTypes="0" containsString="0" containsNumber="1" minValue="0" maxValue="0.83299999999999996"/>
    </cacheField>
    <cacheField name="average_idle_hours" numFmtId="2">
      <sharedItems containsSemiMixedTypes="0" containsString="0" containsNumber="1" minValue="4.4000000000000004" maxValue="9.6999999999999993"/>
    </cacheField>
  </cacheFields>
  <extLst>
    <ext xmlns:x14="http://schemas.microsoft.com/office/spreadsheetml/2009/9/main" uri="{725AE2AE-9491-48be-B2B4-4EB974FC3084}">
      <x14:pivotCacheDefinition pivotCacheId="17723056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3.879869791665" createdVersion="8" refreshedVersion="8" minRefreshableVersion="3" recordCount="170" xr:uid="{D3FCB260-D11E-4CC9-96A9-5BDE50D66665}">
  <cacheSource type="worksheet">
    <worksheetSource name="safety_incidents"/>
  </cacheSource>
  <cacheFields count="15">
    <cacheField name="incident_id" numFmtId="0">
      <sharedItems/>
    </cacheField>
    <cacheField name="trip_id" numFmtId="0">
      <sharedItems/>
    </cacheField>
    <cacheField name="truck_id" numFmtId="0">
      <sharedItems/>
    </cacheField>
    <cacheField name="driver_id" numFmtId="0">
      <sharedItems count="93">
        <s v="DRV00006"/>
        <s v="DRV00119"/>
        <s v="DRV00134"/>
        <s v="DRV00133"/>
        <s v="DRV00005"/>
        <s v="DRV00109"/>
        <s v="DRV00060"/>
        <s v="DRV00003"/>
        <s v="DRV00132"/>
        <s v="DRV00041"/>
        <s v="DRV00147"/>
        <s v="DRV00104"/>
        <s v="DRV00113"/>
        <s v="DRV00058"/>
        <s v="DRV00079"/>
        <s v="DRV00102"/>
        <s v="DRV00122"/>
        <s v="DRV00066"/>
        <s v="DRV00062"/>
        <s v="DRV00057"/>
        <s v="DRV00002"/>
        <s v="DRV00038"/>
        <s v="DRV00004"/>
        <s v="DRV00017"/>
        <s v="DRV00045"/>
        <s v="DRV00149"/>
        <s v="DRV00088"/>
        <s v="DRV00011"/>
        <s v="DRV00014"/>
        <s v="DRV00001"/>
        <s v="DRV00050"/>
        <s v="DRV00018"/>
        <s v="DRV00128"/>
        <s v="DRV00100"/>
        <s v="DRV00094"/>
        <s v="DRV00103"/>
        <s v="DRV00029"/>
        <s v="DRV00054"/>
        <s v="DRV00023"/>
        <s v="DRV00019"/>
        <s v="DRV00090"/>
        <s v="DRV00124"/>
        <s v="DRV00082"/>
        <s v="DRV00127"/>
        <s v="DRV00089"/>
        <s v="DRV00101"/>
        <s v="DRV00141"/>
        <s v="DRV00142"/>
        <s v="DRV00112"/>
        <s v="DRV00070"/>
        <s v="DRV00030"/>
        <s v="DRV00043"/>
        <s v="DRV00012"/>
        <s v="DRV00092"/>
        <s v="DRV00047"/>
        <s v="DRV00146"/>
        <s v="DRV00121"/>
        <s v="DRV00044"/>
        <s v="DRV00013"/>
        <s v="DRV00033"/>
        <s v="DRV00053"/>
        <s v="DRV00065"/>
        <s v=""/>
        <s v="DRV00107"/>
        <s v="DRV00055"/>
        <s v="DRV00037"/>
        <s v="DRV00126"/>
        <s v="DRV00138"/>
        <s v="DRV00071"/>
        <s v="DRV00051"/>
        <s v="DRV00098"/>
        <s v="DRV00108"/>
        <s v="DRV00105"/>
        <s v="DRV00145"/>
        <s v="DRV00144"/>
        <s v="DRV00064"/>
        <s v="DRV00095"/>
        <s v="DRV00016"/>
        <s v="DRV00069"/>
        <s v="DRV00143"/>
        <s v="DRV00099"/>
        <s v="DRV00061"/>
        <s v="DRV00118"/>
        <s v="DRV00074"/>
        <s v="DRV00129"/>
        <s v="DRV00056"/>
        <s v="DRV00015"/>
        <s v="DRV00081"/>
        <s v="DRV00036"/>
        <s v="DRV00028"/>
        <s v="DRV00150"/>
        <s v="DRV00139"/>
        <s v="DRV00020"/>
      </sharedItems>
    </cacheField>
    <cacheField name="incident_date" numFmtId="22">
      <sharedItems containsSemiMixedTypes="0" containsNonDate="0" containsDate="1" containsString="0" minDate="2022-01-05T02:00:00" maxDate="2024-12-24T09:00:00"/>
    </cacheField>
    <cacheField name="incident_type" numFmtId="0">
      <sharedItems count="5">
        <s v="Moving Violation"/>
        <s v="Customer Complaint"/>
        <s v="Equipment Damage"/>
        <s v="DOT Violation"/>
        <s v="Accident"/>
      </sharedItems>
    </cacheField>
    <cacheField name="location_city" numFmtId="0">
      <sharedItems/>
    </cacheField>
    <cacheField name="location_state" numFmtId="0">
      <sharedItems/>
    </cacheField>
    <cacheField name="at_fault_flag" numFmtId="0">
      <sharedItems count="2">
        <b v="1"/>
        <b v="0"/>
      </sharedItems>
    </cacheField>
    <cacheField name="injury_flag" numFmtId="0">
      <sharedItems/>
    </cacheField>
    <cacheField name="vehicle_damage_cost" numFmtId="164">
      <sharedItems containsSemiMixedTypes="0" containsString="0" containsNumber="1" minValue="0" maxValue="24614.16"/>
    </cacheField>
    <cacheField name="cargo_damage_cost" numFmtId="166">
      <sharedItems containsSemiMixedTypes="0" containsString="0" containsNumber="1" minValue="0" maxValue="49744.07"/>
    </cacheField>
    <cacheField name="claim_amount" numFmtId="0">
      <sharedItems containsSemiMixedTypes="0" containsString="0" containsNumber="1" minValue="0" maxValue="64245.72"/>
    </cacheField>
    <cacheField name="preventable_flag" numFmtId="0">
      <sharedItems count="2">
        <b v="1"/>
        <b v="0"/>
      </sharedItems>
    </cacheField>
    <cacheField name="description" numFmtId="0">
      <sharedItems/>
    </cacheField>
  </cacheFields>
  <extLst>
    <ext xmlns:x14="http://schemas.microsoft.com/office/spreadsheetml/2009/9/main" uri="{725AE2AE-9491-48be-B2B4-4EB974FC3084}">
      <x14:pivotCacheDefinition pivotCacheId="738147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4">
  <r>
    <x v="0"/>
    <x v="0"/>
    <x v="0"/>
    <n v="36620"/>
    <n v="79141.59"/>
    <n v="6.61"/>
    <n v="5574.7"/>
    <n v="0.38500000000000001"/>
    <n v="8.1999999999999993"/>
  </r>
  <r>
    <x v="0"/>
    <x v="1"/>
    <x v="1"/>
    <n v="13515"/>
    <n v="27133.87"/>
    <n v="6.69"/>
    <n v="2095.1"/>
    <n v="0.33300000000000002"/>
    <n v="6.8"/>
  </r>
  <r>
    <x v="0"/>
    <x v="2"/>
    <x v="2"/>
    <n v="30361"/>
    <n v="62399.62"/>
    <n v="6.36"/>
    <n v="4792.2"/>
    <n v="0.55000000000000004"/>
    <n v="7.5"/>
  </r>
  <r>
    <x v="0"/>
    <x v="3"/>
    <x v="3"/>
    <n v="28127"/>
    <n v="68161.13"/>
    <n v="6.61"/>
    <n v="4251.3999999999996"/>
    <n v="0.47399999999999998"/>
    <n v="8.4"/>
  </r>
  <r>
    <x v="0"/>
    <x v="4"/>
    <x v="4"/>
    <n v="16071"/>
    <n v="36256.82"/>
    <n v="6.35"/>
    <n v="2573.1"/>
    <n v="0.214"/>
    <n v="6.8"/>
  </r>
  <r>
    <x v="0"/>
    <x v="5"/>
    <x v="5"/>
    <n v="17291"/>
    <n v="39709.910000000003"/>
    <n v="6.38"/>
    <n v="2767.8"/>
    <n v="0.61499999999999999"/>
    <n v="5.5"/>
  </r>
  <r>
    <x v="0"/>
    <x v="6"/>
    <x v="6"/>
    <n v="32772"/>
    <n v="66855.240000000005"/>
    <n v="6.41"/>
    <n v="5198.6000000000004"/>
    <n v="0.47599999999999998"/>
    <n v="7.5"/>
  </r>
  <r>
    <x v="0"/>
    <x v="7"/>
    <x v="2"/>
    <n v="27010"/>
    <n v="58514.48"/>
    <n v="6.35"/>
    <n v="4331.8999999999996"/>
    <n v="0.45"/>
    <n v="5.8"/>
  </r>
  <r>
    <x v="0"/>
    <x v="8"/>
    <x v="2"/>
    <n v="30866"/>
    <n v="72027.990000000005"/>
    <n v="6.21"/>
    <n v="4984.8999999999996"/>
    <n v="0.55000000000000004"/>
    <n v="5.8"/>
  </r>
  <r>
    <x v="0"/>
    <x v="9"/>
    <x v="7"/>
    <n v="23943"/>
    <n v="53495.8"/>
    <n v="6.26"/>
    <n v="3832.4"/>
    <n v="0.33300000000000002"/>
    <n v="7"/>
  </r>
  <r>
    <x v="0"/>
    <x v="10"/>
    <x v="8"/>
    <n v="21223"/>
    <n v="43790.85"/>
    <n v="6.28"/>
    <n v="3401.1"/>
    <n v="0.5"/>
    <n v="7.8"/>
  </r>
  <r>
    <x v="0"/>
    <x v="11"/>
    <x v="8"/>
    <n v="21622"/>
    <n v="46003.88"/>
    <n v="6.41"/>
    <n v="3360.9"/>
    <n v="0.68799999999999994"/>
    <n v="7.2"/>
  </r>
  <r>
    <x v="0"/>
    <x v="12"/>
    <x v="7"/>
    <n v="18268"/>
    <n v="38932.160000000003"/>
    <n v="6.47"/>
    <n v="2857.2"/>
    <n v="0.33300000000000002"/>
    <n v="7.6"/>
  </r>
  <r>
    <x v="0"/>
    <x v="13"/>
    <x v="9"/>
    <n v="28460"/>
    <n v="53581.07"/>
    <n v="6.41"/>
    <n v="4405"/>
    <n v="0.29399999999999998"/>
    <n v="7.2"/>
  </r>
  <r>
    <x v="0"/>
    <x v="14"/>
    <x v="4"/>
    <n v="20595"/>
    <n v="42486"/>
    <n v="6.65"/>
    <n v="3107.8"/>
    <n v="0.71399999999999997"/>
    <n v="7.2"/>
  </r>
  <r>
    <x v="0"/>
    <x v="15"/>
    <x v="2"/>
    <n v="33189"/>
    <n v="73889.119999999995"/>
    <n v="6.55"/>
    <n v="4982.5"/>
    <n v="0.5"/>
    <n v="5.9"/>
  </r>
  <r>
    <x v="0"/>
    <x v="16"/>
    <x v="10"/>
    <n v="38925"/>
    <n v="80753.47"/>
    <n v="6.7"/>
    <n v="5834.1"/>
    <n v="0.48099999999999998"/>
    <n v="6.7"/>
  </r>
  <r>
    <x v="0"/>
    <x v="17"/>
    <x v="8"/>
    <n v="25040"/>
    <n v="48233.25"/>
    <n v="6.62"/>
    <n v="3889.6"/>
    <n v="0.5"/>
    <n v="6.3"/>
  </r>
  <r>
    <x v="0"/>
    <x v="18"/>
    <x v="11"/>
    <n v="33112"/>
    <n v="71219.63"/>
    <n v="6.41"/>
    <n v="5208.3999999999996"/>
    <n v="0.41699999999999998"/>
    <n v="7.2"/>
  </r>
  <r>
    <x v="0"/>
    <x v="19"/>
    <x v="12"/>
    <n v="23507"/>
    <n v="50546.35"/>
    <n v="6.57"/>
    <n v="3637.3"/>
    <n v="0.5"/>
    <n v="7.7"/>
  </r>
  <r>
    <x v="0"/>
    <x v="20"/>
    <x v="8"/>
    <n v="26151"/>
    <n v="57939.38"/>
    <n v="6.27"/>
    <n v="4183.3999999999996"/>
    <n v="0.438"/>
    <n v="7.5"/>
  </r>
  <r>
    <x v="0"/>
    <x v="21"/>
    <x v="4"/>
    <n v="15481"/>
    <n v="32072.26"/>
    <n v="6.37"/>
    <n v="2495.6"/>
    <n v="0.42899999999999999"/>
    <n v="6.3"/>
  </r>
  <r>
    <x v="0"/>
    <x v="22"/>
    <x v="9"/>
    <n v="27676"/>
    <n v="56540.65"/>
    <n v="6.62"/>
    <n v="4265.6000000000004"/>
    <n v="0.35299999999999998"/>
    <n v="6.6"/>
  </r>
  <r>
    <x v="0"/>
    <x v="23"/>
    <x v="12"/>
    <n v="25415"/>
    <n v="59509.14"/>
    <n v="6.24"/>
    <n v="4132.2"/>
    <n v="0.38900000000000001"/>
    <n v="6.8"/>
  </r>
  <r>
    <x v="0"/>
    <x v="24"/>
    <x v="13"/>
    <n v="36993"/>
    <n v="79177.37"/>
    <n v="6.36"/>
    <n v="5830"/>
    <n v="0.27300000000000002"/>
    <n v="6.7"/>
  </r>
  <r>
    <x v="0"/>
    <x v="25"/>
    <x v="14"/>
    <n v="25006"/>
    <n v="53929.55"/>
    <n v="6.51"/>
    <n v="3922.4"/>
    <n v="0.4"/>
    <n v="6.8"/>
  </r>
  <r>
    <x v="0"/>
    <x v="26"/>
    <x v="10"/>
    <n v="36821"/>
    <n v="77435.61"/>
    <n v="6.4"/>
    <n v="5817.9"/>
    <n v="0.33300000000000002"/>
    <n v="6.9"/>
  </r>
  <r>
    <x v="0"/>
    <x v="27"/>
    <x v="9"/>
    <n v="25192"/>
    <n v="50274.69"/>
    <n v="6.32"/>
    <n v="3967.3"/>
    <n v="0.52900000000000003"/>
    <n v="7"/>
  </r>
  <r>
    <x v="0"/>
    <x v="28"/>
    <x v="15"/>
    <n v="36131"/>
    <n v="75314.62"/>
    <n v="6.61"/>
    <n v="5454.6"/>
    <n v="0.60899999999999999"/>
    <n v="6.4"/>
  </r>
  <r>
    <x v="0"/>
    <x v="29"/>
    <x v="3"/>
    <n v="29615"/>
    <n v="58603.31"/>
    <n v="6.86"/>
    <n v="4296.5"/>
    <n v="0.52600000000000002"/>
    <n v="7.2"/>
  </r>
  <r>
    <x v="0"/>
    <x v="30"/>
    <x v="13"/>
    <n v="34260"/>
    <n v="74397.86"/>
    <n v="6.75"/>
    <n v="5192"/>
    <n v="0.63600000000000001"/>
    <n v="6.3"/>
  </r>
  <r>
    <x v="0"/>
    <x v="31"/>
    <x v="7"/>
    <n v="16488"/>
    <n v="38977.620000000003"/>
    <n v="6.39"/>
    <n v="2618.1999999999998"/>
    <n v="0.41699999999999998"/>
    <n v="8.1999999999999993"/>
  </r>
  <r>
    <x v="0"/>
    <x v="32"/>
    <x v="4"/>
    <n v="13838"/>
    <n v="26526.61"/>
    <n v="6.48"/>
    <n v="2167.3000000000002"/>
    <n v="0.42899999999999999"/>
    <n v="7.5"/>
  </r>
  <r>
    <x v="0"/>
    <x v="33"/>
    <x v="3"/>
    <n v="26301"/>
    <n v="57856.54"/>
    <n v="6.62"/>
    <n v="3996.9"/>
    <n v="0.52600000000000002"/>
    <n v="7.6"/>
  </r>
  <r>
    <x v="0"/>
    <x v="34"/>
    <x v="12"/>
    <n v="22320"/>
    <n v="51436.61"/>
    <n v="6.35"/>
    <n v="3563.1"/>
    <n v="0.55600000000000005"/>
    <n v="7.3"/>
  </r>
  <r>
    <x v="0"/>
    <x v="35"/>
    <x v="16"/>
    <n v="12031"/>
    <n v="22559.21"/>
    <n v="7"/>
    <n v="1716.9"/>
    <n v="0.2"/>
    <n v="8.1"/>
  </r>
  <r>
    <x v="1"/>
    <x v="0"/>
    <x v="9"/>
    <n v="20662"/>
    <n v="46531.02"/>
    <n v="6.41"/>
    <n v="3361.4"/>
    <n v="0.47099999999999997"/>
    <n v="6.7"/>
  </r>
  <r>
    <x v="1"/>
    <x v="1"/>
    <x v="6"/>
    <n v="30205"/>
    <n v="66503.009999999995"/>
    <n v="6.35"/>
    <n v="4887.8"/>
    <n v="0.47599999999999998"/>
    <n v="7.2"/>
  </r>
  <r>
    <x v="1"/>
    <x v="2"/>
    <x v="17"/>
    <n v="41306"/>
    <n v="90097.62"/>
    <n v="6.47"/>
    <n v="6438.9"/>
    <n v="0.28000000000000003"/>
    <n v="7.6"/>
  </r>
  <r>
    <x v="1"/>
    <x v="3"/>
    <x v="4"/>
    <n v="23754"/>
    <n v="57494.21"/>
    <n v="6.71"/>
    <n v="3569.3"/>
    <n v="0.64300000000000002"/>
    <n v="7.8"/>
  </r>
  <r>
    <x v="1"/>
    <x v="4"/>
    <x v="9"/>
    <n v="15562"/>
    <n v="34853.67"/>
    <n v="6.45"/>
    <n v="2416"/>
    <n v="0.52900000000000003"/>
    <n v="8.5"/>
  </r>
  <r>
    <x v="1"/>
    <x v="5"/>
    <x v="3"/>
    <n v="21552"/>
    <n v="43571.05"/>
    <n v="6.23"/>
    <n v="3461.7"/>
    <n v="0.52600000000000002"/>
    <n v="7.5"/>
  </r>
  <r>
    <x v="1"/>
    <x v="6"/>
    <x v="12"/>
    <n v="26283"/>
    <n v="55906.29"/>
    <n v="6.79"/>
    <n v="3926.3"/>
    <n v="0.38900000000000001"/>
    <n v="6.5"/>
  </r>
  <r>
    <x v="1"/>
    <x v="7"/>
    <x v="11"/>
    <n v="28940"/>
    <n v="68562.52"/>
    <n v="6.42"/>
    <n v="4516.8"/>
    <n v="0.58299999999999996"/>
    <n v="7.6"/>
  </r>
  <r>
    <x v="1"/>
    <x v="8"/>
    <x v="7"/>
    <n v="16681"/>
    <n v="40369.83"/>
    <n v="7.01"/>
    <n v="2351"/>
    <n v="0.58299999999999996"/>
    <n v="6.7"/>
  </r>
  <r>
    <x v="1"/>
    <x v="9"/>
    <x v="6"/>
    <n v="28784"/>
    <n v="66240.28"/>
    <n v="6.57"/>
    <n v="4400.6000000000004"/>
    <n v="0.38100000000000001"/>
    <n v="6.5"/>
  </r>
  <r>
    <x v="1"/>
    <x v="10"/>
    <x v="7"/>
    <n v="20269"/>
    <n v="48935.040000000001"/>
    <n v="6.39"/>
    <n v="3180.9"/>
    <n v="0.58299999999999996"/>
    <n v="7.7"/>
  </r>
  <r>
    <x v="1"/>
    <x v="11"/>
    <x v="8"/>
    <n v="23807"/>
    <n v="54110.29"/>
    <n v="6.42"/>
    <n v="3761.5"/>
    <n v="0.438"/>
    <n v="6.3"/>
  </r>
  <r>
    <x v="1"/>
    <x v="12"/>
    <x v="0"/>
    <n v="34745"/>
    <n v="73042.320000000007"/>
    <n v="6.54"/>
    <n v="5347.7"/>
    <n v="0.42299999999999999"/>
    <n v="7.2"/>
  </r>
  <r>
    <x v="1"/>
    <x v="13"/>
    <x v="7"/>
    <n v="11271"/>
    <n v="24298.34"/>
    <n v="6.51"/>
    <n v="1733.4"/>
    <n v="0.16700000000000001"/>
    <n v="7.6"/>
  </r>
  <r>
    <x v="1"/>
    <x v="14"/>
    <x v="9"/>
    <n v="26229"/>
    <n v="59592.12"/>
    <n v="6.36"/>
    <n v="4219.8"/>
    <n v="0.41199999999999998"/>
    <n v="7.2"/>
  </r>
  <r>
    <x v="1"/>
    <x v="15"/>
    <x v="9"/>
    <n v="22020"/>
    <n v="47419.59"/>
    <n v="6.55"/>
    <n v="3365.5"/>
    <n v="0.58799999999999997"/>
    <n v="6.5"/>
  </r>
  <r>
    <x v="1"/>
    <x v="16"/>
    <x v="6"/>
    <n v="29881"/>
    <n v="58427.21"/>
    <n v="6.5"/>
    <n v="4646.6000000000004"/>
    <n v="0.42899999999999999"/>
    <n v="7.1"/>
  </r>
  <r>
    <x v="1"/>
    <x v="17"/>
    <x v="9"/>
    <n v="28383"/>
    <n v="57375.17"/>
    <n v="6.45"/>
    <n v="4456.3999999999996"/>
    <n v="0.41199999999999998"/>
    <n v="7.4"/>
  </r>
  <r>
    <x v="1"/>
    <x v="18"/>
    <x v="3"/>
    <n v="30581"/>
    <n v="67743.360000000001"/>
    <n v="6.36"/>
    <n v="4823.1000000000004"/>
    <n v="0.68400000000000005"/>
    <n v="6.7"/>
  </r>
  <r>
    <x v="1"/>
    <x v="19"/>
    <x v="12"/>
    <n v="26499"/>
    <n v="57555.28"/>
    <n v="6.52"/>
    <n v="4144.1000000000004"/>
    <n v="0.55600000000000005"/>
    <n v="7.2"/>
  </r>
  <r>
    <x v="1"/>
    <x v="20"/>
    <x v="3"/>
    <n v="27792"/>
    <n v="53829.75"/>
    <n v="6.36"/>
    <n v="4451.8999999999996"/>
    <n v="0.47399999999999998"/>
    <n v="6.3"/>
  </r>
  <r>
    <x v="1"/>
    <x v="21"/>
    <x v="13"/>
    <n v="38132"/>
    <n v="89077.9"/>
    <n v="6.22"/>
    <n v="6158.7"/>
    <n v="0.318"/>
    <n v="7"/>
  </r>
  <r>
    <x v="1"/>
    <x v="22"/>
    <x v="5"/>
    <n v="17276"/>
    <n v="36515.89"/>
    <n v="6.76"/>
    <n v="2530.1"/>
    <n v="0.53800000000000003"/>
    <n v="7.3"/>
  </r>
  <r>
    <x v="1"/>
    <x v="23"/>
    <x v="3"/>
    <n v="34149"/>
    <n v="82666.62"/>
    <n v="6.48"/>
    <n v="5319.9"/>
    <n v="0.57899999999999996"/>
    <n v="6.5"/>
  </r>
  <r>
    <x v="1"/>
    <x v="24"/>
    <x v="9"/>
    <n v="24126"/>
    <n v="51538.93"/>
    <n v="6.34"/>
    <n v="3767.8"/>
    <n v="0.47099999999999997"/>
    <n v="6"/>
  </r>
  <r>
    <x v="1"/>
    <x v="25"/>
    <x v="6"/>
    <n v="34284"/>
    <n v="70980.639999999999"/>
    <n v="6.67"/>
    <n v="5102.6000000000004"/>
    <n v="0.52400000000000002"/>
    <n v="7"/>
  </r>
  <r>
    <x v="1"/>
    <x v="26"/>
    <x v="15"/>
    <n v="35945"/>
    <n v="82267.56"/>
    <n v="6.54"/>
    <n v="5612.7"/>
    <n v="0.435"/>
    <n v="7.4"/>
  </r>
  <r>
    <x v="1"/>
    <x v="27"/>
    <x v="5"/>
    <n v="16575"/>
    <n v="33590.269999999997"/>
    <n v="6.59"/>
    <n v="2546.1999999999998"/>
    <n v="0.61499999999999999"/>
    <n v="7.1"/>
  </r>
  <r>
    <x v="1"/>
    <x v="28"/>
    <x v="13"/>
    <n v="31972"/>
    <n v="68833.320000000007"/>
    <n v="6.56"/>
    <n v="4912.8"/>
    <n v="0.63600000000000001"/>
    <n v="8.1"/>
  </r>
  <r>
    <x v="1"/>
    <x v="29"/>
    <x v="15"/>
    <n v="30576"/>
    <n v="71484.02"/>
    <n v="6.42"/>
    <n v="4792.2"/>
    <n v="0.13"/>
    <n v="7.2"/>
  </r>
  <r>
    <x v="1"/>
    <x v="30"/>
    <x v="9"/>
    <n v="23816"/>
    <n v="52840.18"/>
    <n v="6.41"/>
    <n v="3714"/>
    <n v="0.23499999999999999"/>
    <n v="6.5"/>
  </r>
  <r>
    <x v="1"/>
    <x v="31"/>
    <x v="2"/>
    <n v="22245"/>
    <n v="48566.92"/>
    <n v="6.62"/>
    <n v="3354.2"/>
    <n v="0.35"/>
    <n v="7.6"/>
  </r>
  <r>
    <x v="1"/>
    <x v="32"/>
    <x v="3"/>
    <n v="33327"/>
    <n v="72301.58"/>
    <n v="6.51"/>
    <n v="5216.1000000000004"/>
    <n v="0.42099999999999999"/>
    <n v="6.3"/>
  </r>
  <r>
    <x v="1"/>
    <x v="33"/>
    <x v="7"/>
    <n v="13142"/>
    <n v="25096.16"/>
    <n v="6.68"/>
    <n v="1902.8"/>
    <n v="0.66700000000000004"/>
    <n v="7.5"/>
  </r>
  <r>
    <x v="1"/>
    <x v="34"/>
    <x v="8"/>
    <n v="24940"/>
    <n v="55906.29"/>
    <n v="6.43"/>
    <n v="3962"/>
    <n v="0.438"/>
    <n v="7.6"/>
  </r>
  <r>
    <x v="1"/>
    <x v="35"/>
    <x v="15"/>
    <n v="27535"/>
    <n v="59497.25"/>
    <n v="6.58"/>
    <n v="4247.8999999999996"/>
    <n v="0.47799999999999998"/>
    <n v="7"/>
  </r>
  <r>
    <x v="2"/>
    <x v="0"/>
    <x v="12"/>
    <n v="30348"/>
    <n v="56159.199999999997"/>
    <n v="6.51"/>
    <n v="4727.3999999999996"/>
    <n v="0.38900000000000001"/>
    <n v="7.1"/>
  </r>
  <r>
    <x v="2"/>
    <x v="1"/>
    <x v="8"/>
    <n v="19714"/>
    <n v="42029.18"/>
    <n v="6.31"/>
    <n v="3147.6"/>
    <n v="0.25"/>
    <n v="7.7"/>
  </r>
  <r>
    <x v="2"/>
    <x v="2"/>
    <x v="11"/>
    <n v="41699"/>
    <n v="92042.26"/>
    <n v="6.54"/>
    <n v="6485"/>
    <n v="0.5"/>
    <n v="7.1"/>
  </r>
  <r>
    <x v="2"/>
    <x v="3"/>
    <x v="3"/>
    <n v="30529"/>
    <n v="61318.97"/>
    <n v="6.4"/>
    <n v="4788.6000000000004"/>
    <n v="0.36799999999999999"/>
    <n v="6.5"/>
  </r>
  <r>
    <x v="2"/>
    <x v="4"/>
    <x v="3"/>
    <n v="25441"/>
    <n v="57944.75"/>
    <n v="6.41"/>
    <n v="3981.4"/>
    <n v="0.57899999999999996"/>
    <n v="7.1"/>
  </r>
  <r>
    <x v="2"/>
    <x v="5"/>
    <x v="9"/>
    <n v="25925"/>
    <n v="61446.66"/>
    <n v="6.5"/>
    <n v="4035.4"/>
    <n v="0.35299999999999998"/>
    <n v="6.7"/>
  </r>
  <r>
    <x v="2"/>
    <x v="6"/>
    <x v="15"/>
    <n v="31212"/>
    <n v="68986.36"/>
    <n v="6.77"/>
    <n v="4686.2"/>
    <n v="0.435"/>
    <n v="7.5"/>
  </r>
  <r>
    <x v="2"/>
    <x v="7"/>
    <x v="8"/>
    <n v="22070"/>
    <n v="47136.33"/>
    <n v="6.44"/>
    <n v="3410.6"/>
    <n v="0.375"/>
    <n v="7.3"/>
  </r>
  <r>
    <x v="2"/>
    <x v="8"/>
    <x v="9"/>
    <n v="26166"/>
    <n v="52823.54"/>
    <n v="6.58"/>
    <n v="4011.8"/>
    <n v="0.17599999999999999"/>
    <n v="7.1"/>
  </r>
  <r>
    <x v="2"/>
    <x v="9"/>
    <x v="3"/>
    <n v="28311"/>
    <n v="61837.97"/>
    <n v="6.5"/>
    <n v="4423.8999999999996"/>
    <n v="0.47399999999999998"/>
    <n v="6.3"/>
  </r>
  <r>
    <x v="2"/>
    <x v="10"/>
    <x v="3"/>
    <n v="34196"/>
    <n v="73564.05"/>
    <n v="6.47"/>
    <n v="5292.8"/>
    <n v="0.36799999999999999"/>
    <n v="8.8000000000000007"/>
  </r>
  <r>
    <x v="2"/>
    <x v="11"/>
    <x v="6"/>
    <n v="28346"/>
    <n v="66510.53"/>
    <n v="6.52"/>
    <n v="4398.3999999999996"/>
    <n v="0.47599999999999998"/>
    <n v="6.4"/>
  </r>
  <r>
    <x v="2"/>
    <x v="12"/>
    <x v="6"/>
    <n v="31027"/>
    <n v="64371.74"/>
    <n v="6.47"/>
    <n v="4914.1000000000004"/>
    <n v="0.42899999999999999"/>
    <n v="6.4"/>
  </r>
  <r>
    <x v="2"/>
    <x v="13"/>
    <x v="17"/>
    <n v="36532"/>
    <n v="77105.48"/>
    <n v="6.51"/>
    <n v="5621.2"/>
    <n v="0.48"/>
    <n v="7.6"/>
  </r>
  <r>
    <x v="2"/>
    <x v="14"/>
    <x v="17"/>
    <n v="33699"/>
    <n v="73001.320000000007"/>
    <n v="6.76"/>
    <n v="4965.6000000000004"/>
    <n v="0.48"/>
    <n v="5.9"/>
  </r>
  <r>
    <x v="2"/>
    <x v="15"/>
    <x v="11"/>
    <n v="36781"/>
    <n v="79394.58"/>
    <n v="6.56"/>
    <n v="5606.1"/>
    <n v="0.375"/>
    <n v="7.1"/>
  </r>
  <r>
    <x v="2"/>
    <x v="16"/>
    <x v="12"/>
    <n v="22131"/>
    <n v="47256.71"/>
    <n v="6.48"/>
    <n v="3504.2"/>
    <n v="0.222"/>
    <n v="5.8"/>
  </r>
  <r>
    <x v="2"/>
    <x v="17"/>
    <x v="6"/>
    <n v="26977"/>
    <n v="56730.39"/>
    <n v="6.43"/>
    <n v="4219.3"/>
    <n v="0.61899999999999999"/>
    <n v="6.7"/>
  </r>
  <r>
    <x v="2"/>
    <x v="18"/>
    <x v="13"/>
    <n v="32889"/>
    <n v="67379.16"/>
    <n v="6.59"/>
    <n v="5000"/>
    <n v="0.22700000000000001"/>
    <n v="7.5"/>
  </r>
  <r>
    <x v="2"/>
    <x v="19"/>
    <x v="12"/>
    <n v="28262"/>
    <n v="57450.89"/>
    <n v="6.54"/>
    <n v="4325.1000000000004"/>
    <n v="0.72199999999999998"/>
    <n v="7.3"/>
  </r>
  <r>
    <x v="2"/>
    <x v="20"/>
    <x v="9"/>
    <n v="30267"/>
    <n v="61036.69"/>
    <n v="6.38"/>
    <n v="4761.3"/>
    <n v="0.64700000000000002"/>
    <n v="6.8"/>
  </r>
  <r>
    <x v="2"/>
    <x v="21"/>
    <x v="2"/>
    <n v="32471"/>
    <n v="73604.44"/>
    <n v="6.69"/>
    <n v="4878.3999999999996"/>
    <n v="0.55000000000000004"/>
    <n v="7.5"/>
  </r>
  <r>
    <x v="2"/>
    <x v="22"/>
    <x v="5"/>
    <n v="24084"/>
    <n v="45235.01"/>
    <n v="6.7"/>
    <n v="3655.5"/>
    <n v="0.46200000000000002"/>
    <n v="5.9"/>
  </r>
  <r>
    <x v="2"/>
    <x v="23"/>
    <x v="17"/>
    <n v="32958"/>
    <n v="66313.179999999993"/>
    <n v="6.59"/>
    <n v="5101.8999999999996"/>
    <n v="0.6"/>
    <n v="7.1"/>
  </r>
  <r>
    <x v="2"/>
    <x v="24"/>
    <x v="14"/>
    <n v="29027"/>
    <n v="55474.99"/>
    <n v="6.38"/>
    <n v="4620.7"/>
    <n v="0.4"/>
    <n v="7.4"/>
  </r>
  <r>
    <x v="2"/>
    <x v="25"/>
    <x v="9"/>
    <n v="23829"/>
    <n v="52033.919999999998"/>
    <n v="6.59"/>
    <n v="3719.6"/>
    <n v="0.82399999999999995"/>
    <n v="6.2"/>
  </r>
  <r>
    <x v="2"/>
    <x v="26"/>
    <x v="5"/>
    <n v="23946"/>
    <n v="50357.71"/>
    <n v="6.65"/>
    <n v="3658.5"/>
    <n v="0.308"/>
    <n v="5.2"/>
  </r>
  <r>
    <x v="2"/>
    <x v="27"/>
    <x v="12"/>
    <n v="21932"/>
    <n v="47461.61"/>
    <n v="6.7"/>
    <n v="3276.9"/>
    <n v="0.44400000000000001"/>
    <n v="6.2"/>
  </r>
  <r>
    <x v="2"/>
    <x v="28"/>
    <x v="6"/>
    <n v="34917"/>
    <n v="73607.55"/>
    <n v="6.36"/>
    <n v="5574.2"/>
    <n v="0.38100000000000001"/>
    <n v="7"/>
  </r>
  <r>
    <x v="2"/>
    <x v="29"/>
    <x v="2"/>
    <n v="27858"/>
    <n v="60776.31"/>
    <n v="6.57"/>
    <n v="4280.6000000000004"/>
    <n v="0.3"/>
    <n v="6.4"/>
  </r>
  <r>
    <x v="2"/>
    <x v="30"/>
    <x v="7"/>
    <n v="19643"/>
    <n v="42888.42"/>
    <n v="6.35"/>
    <n v="3036.2"/>
    <n v="0.33300000000000002"/>
    <n v="5.4"/>
  </r>
  <r>
    <x v="2"/>
    <x v="31"/>
    <x v="14"/>
    <n v="19860"/>
    <n v="41098.080000000002"/>
    <n v="6.38"/>
    <n v="3139.7"/>
    <n v="0.6"/>
    <n v="6.9"/>
  </r>
  <r>
    <x v="2"/>
    <x v="32"/>
    <x v="6"/>
    <n v="29353"/>
    <n v="71046.17"/>
    <n v="6.72"/>
    <n v="4409.7"/>
    <n v="0.61899999999999999"/>
    <n v="6.9"/>
  </r>
  <r>
    <x v="2"/>
    <x v="33"/>
    <x v="4"/>
    <n v="19798"/>
    <n v="37210.68"/>
    <n v="6.78"/>
    <n v="2944.4"/>
    <n v="0.64300000000000002"/>
    <n v="6.2"/>
  </r>
  <r>
    <x v="2"/>
    <x v="34"/>
    <x v="14"/>
    <n v="20087"/>
    <n v="43927.83"/>
    <n v="6.64"/>
    <n v="3076.6"/>
    <n v="0.4"/>
    <n v="6.3"/>
  </r>
  <r>
    <x v="2"/>
    <x v="35"/>
    <x v="3"/>
    <n v="27950"/>
    <n v="60414.81"/>
    <n v="6.65"/>
    <n v="4218.8999999999996"/>
    <n v="0.42099999999999999"/>
    <n v="7.4"/>
  </r>
  <r>
    <x v="3"/>
    <x v="0"/>
    <x v="12"/>
    <n v="30923"/>
    <n v="60405.56"/>
    <n v="6.46"/>
    <n v="4792.8"/>
    <n v="0.222"/>
    <n v="6.5"/>
  </r>
  <r>
    <x v="3"/>
    <x v="1"/>
    <x v="5"/>
    <n v="13242"/>
    <n v="27380.91"/>
    <n v="6.55"/>
    <n v="2054"/>
    <n v="0.308"/>
    <n v="8"/>
  </r>
  <r>
    <x v="3"/>
    <x v="2"/>
    <x v="5"/>
    <n v="19765"/>
    <n v="42002.18"/>
    <n v="6.54"/>
    <n v="3067.3"/>
    <n v="0.61499999999999999"/>
    <n v="6.7"/>
  </r>
  <r>
    <x v="3"/>
    <x v="3"/>
    <x v="11"/>
    <n v="40087"/>
    <n v="84580.160000000003"/>
    <n v="6.7"/>
    <n v="6096.6"/>
    <n v="0.58299999999999996"/>
    <n v="6.8"/>
  </r>
  <r>
    <x v="3"/>
    <x v="4"/>
    <x v="7"/>
    <n v="14291"/>
    <n v="33118.410000000003"/>
    <n v="6.53"/>
    <n v="2238.6"/>
    <n v="0.58299999999999996"/>
    <n v="8.1"/>
  </r>
  <r>
    <x v="3"/>
    <x v="5"/>
    <x v="15"/>
    <n v="35468"/>
    <n v="77895.039999999994"/>
    <n v="6.78"/>
    <n v="5307.7"/>
    <n v="0.435"/>
    <n v="6.9"/>
  </r>
  <r>
    <x v="3"/>
    <x v="6"/>
    <x v="18"/>
    <n v="46186"/>
    <n v="98176.320000000007"/>
    <n v="6.2"/>
    <n v="7503.4"/>
    <n v="0.28100000000000003"/>
    <n v="6.6"/>
  </r>
  <r>
    <x v="3"/>
    <x v="7"/>
    <x v="17"/>
    <n v="38640"/>
    <n v="82802.95"/>
    <n v="6.59"/>
    <n v="6037.9"/>
    <n v="0.36"/>
    <n v="7.5"/>
  </r>
  <r>
    <x v="3"/>
    <x v="8"/>
    <x v="12"/>
    <n v="24375"/>
    <n v="50300.66"/>
    <n v="6.58"/>
    <n v="3673.1"/>
    <n v="0.5"/>
    <n v="6.1"/>
  </r>
  <r>
    <x v="3"/>
    <x v="9"/>
    <x v="15"/>
    <n v="34614"/>
    <n v="74551.259999999995"/>
    <n v="6.5"/>
    <n v="5264"/>
    <n v="0.26100000000000001"/>
    <n v="6.9"/>
  </r>
  <r>
    <x v="3"/>
    <x v="10"/>
    <x v="2"/>
    <n v="33749"/>
    <n v="73988.31"/>
    <n v="6.67"/>
    <n v="5188.8999999999996"/>
    <n v="0.5"/>
    <n v="5.9"/>
  </r>
  <r>
    <x v="3"/>
    <x v="11"/>
    <x v="8"/>
    <n v="23810"/>
    <n v="54245.78"/>
    <n v="6.52"/>
    <n v="3703.2"/>
    <n v="0.312"/>
    <n v="7.4"/>
  </r>
  <r>
    <x v="3"/>
    <x v="12"/>
    <x v="3"/>
    <n v="21930"/>
    <n v="52982.66"/>
    <n v="6.53"/>
    <n v="3411.5"/>
    <n v="0.36799999999999999"/>
    <n v="7"/>
  </r>
  <r>
    <x v="3"/>
    <x v="13"/>
    <x v="3"/>
    <n v="31222"/>
    <n v="68199.06"/>
    <n v="6.46"/>
    <n v="4803.1000000000004"/>
    <n v="0.316"/>
    <n v="7.8"/>
  </r>
  <r>
    <x v="3"/>
    <x v="14"/>
    <x v="13"/>
    <n v="35225"/>
    <n v="85107.77"/>
    <n v="6.39"/>
    <n v="5560.2"/>
    <n v="0.27300000000000002"/>
    <n v="7.6"/>
  </r>
  <r>
    <x v="3"/>
    <x v="15"/>
    <x v="4"/>
    <n v="24847"/>
    <n v="53051.37"/>
    <n v="6.41"/>
    <n v="3900.3"/>
    <n v="0.42899999999999999"/>
    <n v="6.8"/>
  </r>
  <r>
    <x v="3"/>
    <x v="16"/>
    <x v="2"/>
    <n v="30328"/>
    <n v="62313.89"/>
    <n v="6.34"/>
    <n v="4778.3999999999996"/>
    <n v="0.35"/>
    <n v="7.5"/>
  </r>
  <r>
    <x v="3"/>
    <x v="17"/>
    <x v="17"/>
    <n v="31591"/>
    <n v="67905.77"/>
    <n v="6.68"/>
    <n v="4789.5"/>
    <n v="0.44"/>
    <n v="8.5"/>
  </r>
  <r>
    <x v="3"/>
    <x v="18"/>
    <x v="9"/>
    <n v="25839"/>
    <n v="53080.75"/>
    <n v="6.6"/>
    <n v="3975.9"/>
    <n v="0.29399999999999998"/>
    <n v="6.8"/>
  </r>
  <r>
    <x v="3"/>
    <x v="19"/>
    <x v="14"/>
    <n v="27499"/>
    <n v="58630.07"/>
    <n v="6.75"/>
    <n v="4033.5"/>
    <n v="0.46700000000000003"/>
    <n v="5.6"/>
  </r>
  <r>
    <x v="3"/>
    <x v="20"/>
    <x v="19"/>
    <n v="11978"/>
    <n v="26290.26"/>
    <n v="6.27"/>
    <n v="1968.3"/>
    <n v="0.5"/>
    <n v="8.1"/>
  </r>
  <r>
    <x v="3"/>
    <x v="21"/>
    <x v="9"/>
    <n v="22049"/>
    <n v="45593.81"/>
    <n v="6.61"/>
    <n v="3370.1"/>
    <n v="0.41199999999999998"/>
    <n v="6.5"/>
  </r>
  <r>
    <x v="3"/>
    <x v="22"/>
    <x v="5"/>
    <n v="18825"/>
    <n v="42706.62"/>
    <n v="6.49"/>
    <n v="2855.8"/>
    <n v="0.61499999999999999"/>
    <n v="6.1"/>
  </r>
  <r>
    <x v="3"/>
    <x v="23"/>
    <x v="9"/>
    <n v="21918"/>
    <n v="48060.04"/>
    <n v="6.65"/>
    <n v="3397.1"/>
    <n v="0.35299999999999998"/>
    <n v="8"/>
  </r>
  <r>
    <x v="3"/>
    <x v="24"/>
    <x v="8"/>
    <n v="26987"/>
    <n v="61090.13"/>
    <n v="6.55"/>
    <n v="4140.3"/>
    <n v="0.438"/>
    <n v="6"/>
  </r>
  <r>
    <x v="3"/>
    <x v="25"/>
    <x v="3"/>
    <n v="26858"/>
    <n v="55363.26"/>
    <n v="6.42"/>
    <n v="4131.6000000000004"/>
    <n v="0.63200000000000001"/>
    <n v="6.6"/>
  </r>
  <r>
    <x v="3"/>
    <x v="26"/>
    <x v="8"/>
    <n v="24462"/>
    <n v="50887.43"/>
    <n v="6.55"/>
    <n v="3680.6"/>
    <n v="0.438"/>
    <n v="7.5"/>
  </r>
  <r>
    <x v="3"/>
    <x v="27"/>
    <x v="3"/>
    <n v="24999"/>
    <n v="53180.31"/>
    <n v="6.43"/>
    <n v="3978.4"/>
    <n v="0.47399999999999998"/>
    <n v="5.8"/>
  </r>
  <r>
    <x v="3"/>
    <x v="28"/>
    <x v="15"/>
    <n v="39140"/>
    <n v="81970.05"/>
    <n v="6.38"/>
    <n v="6179.7"/>
    <n v="0.47799999999999998"/>
    <n v="6.8"/>
  </r>
  <r>
    <x v="3"/>
    <x v="29"/>
    <x v="13"/>
    <n v="33289"/>
    <n v="74763.05"/>
    <n v="6.53"/>
    <n v="5130.7"/>
    <n v="0.40899999999999997"/>
    <n v="6.7"/>
  </r>
  <r>
    <x v="3"/>
    <x v="30"/>
    <x v="5"/>
    <n v="24149"/>
    <n v="51317.32"/>
    <n v="6.53"/>
    <n v="3780.6"/>
    <n v="0.46200000000000002"/>
    <n v="6.8"/>
  </r>
  <r>
    <x v="3"/>
    <x v="31"/>
    <x v="14"/>
    <n v="22208"/>
    <n v="48013.38"/>
    <n v="6.59"/>
    <n v="3357.3"/>
    <n v="0.6"/>
    <n v="6.8"/>
  </r>
  <r>
    <x v="3"/>
    <x v="32"/>
    <x v="14"/>
    <n v="22853"/>
    <n v="52137.1"/>
    <n v="6.61"/>
    <n v="3493.6"/>
    <n v="0.33300000000000002"/>
    <n v="8.6"/>
  </r>
  <r>
    <x v="3"/>
    <x v="33"/>
    <x v="4"/>
    <n v="24403"/>
    <n v="56373.440000000002"/>
    <n v="6.54"/>
    <n v="3796.1"/>
    <n v="0.42899999999999999"/>
    <n v="7.4"/>
  </r>
  <r>
    <x v="3"/>
    <x v="34"/>
    <x v="2"/>
    <n v="21348"/>
    <n v="45568.61"/>
    <n v="6.19"/>
    <n v="3563.3"/>
    <n v="0.45"/>
    <n v="6.3"/>
  </r>
  <r>
    <x v="3"/>
    <x v="35"/>
    <x v="13"/>
    <n v="33528"/>
    <n v="65327.76"/>
    <n v="6.5"/>
    <n v="5139.6000000000004"/>
    <n v="0.5"/>
    <n v="7.1"/>
  </r>
  <r>
    <x v="4"/>
    <x v="0"/>
    <x v="7"/>
    <n v="19991"/>
    <n v="46330.99"/>
    <n v="6.7"/>
    <n v="3000.2"/>
    <n v="0.41699999999999998"/>
    <n v="7.7"/>
  </r>
  <r>
    <x v="4"/>
    <x v="1"/>
    <x v="12"/>
    <n v="26539"/>
    <n v="61396.36"/>
    <n v="6.73"/>
    <n v="4020.2"/>
    <n v="0.33300000000000002"/>
    <n v="7.4"/>
  </r>
  <r>
    <x v="4"/>
    <x v="2"/>
    <x v="20"/>
    <n v="6650"/>
    <n v="14941.63"/>
    <n v="6.38"/>
    <n v="1093.5"/>
    <n v="0.16700000000000001"/>
    <n v="9"/>
  </r>
  <r>
    <x v="4"/>
    <x v="3"/>
    <x v="8"/>
    <n v="22560"/>
    <n v="46274.55"/>
    <n v="6.37"/>
    <n v="3596.7"/>
    <n v="0.5"/>
    <n v="7.4"/>
  </r>
  <r>
    <x v="4"/>
    <x v="4"/>
    <x v="12"/>
    <n v="23591"/>
    <n v="52354.68"/>
    <n v="6.39"/>
    <n v="3766.4"/>
    <n v="0.5"/>
    <n v="7.9"/>
  </r>
  <r>
    <x v="4"/>
    <x v="5"/>
    <x v="21"/>
    <n v="19077"/>
    <n v="35535.72"/>
    <n v="6.56"/>
    <n v="3027.6"/>
    <n v="0.27300000000000002"/>
    <n v="7.8"/>
  </r>
  <r>
    <x v="4"/>
    <x v="6"/>
    <x v="3"/>
    <n v="31144"/>
    <n v="74032.7"/>
    <n v="6.39"/>
    <n v="4967.8999999999996"/>
    <n v="0.21099999999999999"/>
    <n v="6.4"/>
  </r>
  <r>
    <x v="4"/>
    <x v="7"/>
    <x v="14"/>
    <n v="20109"/>
    <n v="42488.97"/>
    <n v="6.39"/>
    <n v="3172.4"/>
    <n v="0.53300000000000003"/>
    <n v="7.2"/>
  </r>
  <r>
    <x v="4"/>
    <x v="8"/>
    <x v="6"/>
    <n v="26898"/>
    <n v="60586.16"/>
    <n v="6.55"/>
    <n v="4124"/>
    <n v="0.52400000000000002"/>
    <n v="7.3"/>
  </r>
  <r>
    <x v="4"/>
    <x v="9"/>
    <x v="12"/>
    <n v="24616"/>
    <n v="55463.15"/>
    <n v="6.82"/>
    <n v="3571.7"/>
    <n v="0.33300000000000002"/>
    <n v="6.6"/>
  </r>
  <r>
    <x v="4"/>
    <x v="10"/>
    <x v="17"/>
    <n v="31381"/>
    <n v="71489.8"/>
    <n v="6.56"/>
    <n v="4849.5"/>
    <n v="0.32"/>
    <n v="7"/>
  </r>
  <r>
    <x v="4"/>
    <x v="11"/>
    <x v="6"/>
    <n v="32946"/>
    <n v="72696.62"/>
    <n v="6.59"/>
    <n v="5057.8"/>
    <n v="0.71399999999999997"/>
    <n v="6.7"/>
  </r>
  <r>
    <x v="4"/>
    <x v="12"/>
    <x v="4"/>
    <n v="21137"/>
    <n v="44953.17"/>
    <n v="6.42"/>
    <n v="3315.4"/>
    <n v="0.57099999999999995"/>
    <n v="7.7"/>
  </r>
  <r>
    <x v="4"/>
    <x v="13"/>
    <x v="12"/>
    <n v="26363"/>
    <n v="55393.87"/>
    <n v="6.55"/>
    <n v="3993.7"/>
    <n v="0.61099999999999999"/>
    <n v="6.7"/>
  </r>
  <r>
    <x v="4"/>
    <x v="14"/>
    <x v="15"/>
    <n v="36955"/>
    <n v="75313.91"/>
    <n v="6.49"/>
    <n v="5677.5"/>
    <n v="0.34799999999999998"/>
    <n v="7"/>
  </r>
  <r>
    <x v="4"/>
    <x v="15"/>
    <x v="7"/>
    <n v="16688"/>
    <n v="41887.949999999997"/>
    <n v="6.08"/>
    <n v="2767"/>
    <n v="0.41699999999999998"/>
    <n v="5.8"/>
  </r>
  <r>
    <x v="4"/>
    <x v="16"/>
    <x v="12"/>
    <n v="28366"/>
    <n v="63576.51"/>
    <n v="6.36"/>
    <n v="4518"/>
    <n v="0.38900000000000001"/>
    <n v="6.4"/>
  </r>
  <r>
    <x v="4"/>
    <x v="17"/>
    <x v="2"/>
    <n v="24124"/>
    <n v="48696.35"/>
    <n v="6.8"/>
    <n v="3624.4"/>
    <n v="0.3"/>
    <n v="7.6"/>
  </r>
  <r>
    <x v="4"/>
    <x v="18"/>
    <x v="4"/>
    <n v="20578"/>
    <n v="42266.39"/>
    <n v="6.67"/>
    <n v="3162.9"/>
    <n v="0.64300000000000002"/>
    <n v="7.2"/>
  </r>
  <r>
    <x v="4"/>
    <x v="19"/>
    <x v="0"/>
    <n v="34172"/>
    <n v="74170.5"/>
    <n v="6.35"/>
    <n v="5468.1"/>
    <n v="0.42299999999999999"/>
    <n v="7.5"/>
  </r>
  <r>
    <x v="4"/>
    <x v="20"/>
    <x v="20"/>
    <n v="12146"/>
    <n v="26490.09"/>
    <n v="6.64"/>
    <n v="1879.6"/>
    <n v="0.83299999999999996"/>
    <n v="7.2"/>
  </r>
  <r>
    <x v="4"/>
    <x v="21"/>
    <x v="7"/>
    <n v="15390"/>
    <n v="33322.01"/>
    <n v="6.52"/>
    <n v="2344.8000000000002"/>
    <n v="0.58299999999999996"/>
    <n v="5.5"/>
  </r>
  <r>
    <x v="4"/>
    <x v="22"/>
    <x v="2"/>
    <n v="27873"/>
    <n v="62447.23"/>
    <n v="6.3"/>
    <n v="4575.6000000000004"/>
    <n v="0.35"/>
    <n v="7"/>
  </r>
  <r>
    <x v="4"/>
    <x v="23"/>
    <x v="7"/>
    <n v="12841"/>
    <n v="26320.87"/>
    <n v="6.42"/>
    <n v="2110.1999999999998"/>
    <n v="0.41699999999999998"/>
    <n v="6.8"/>
  </r>
  <r>
    <x v="4"/>
    <x v="24"/>
    <x v="17"/>
    <n v="33791"/>
    <n v="71025.77"/>
    <n v="6.64"/>
    <n v="5126.3"/>
    <n v="0.48"/>
    <n v="6.6"/>
  </r>
  <r>
    <x v="4"/>
    <x v="25"/>
    <x v="9"/>
    <n v="28600"/>
    <n v="67074.259999999995"/>
    <n v="6.59"/>
    <n v="4376.7"/>
    <n v="0.64700000000000002"/>
    <n v="7.5"/>
  </r>
  <r>
    <x v="4"/>
    <x v="26"/>
    <x v="3"/>
    <n v="20814"/>
    <n v="44390.58"/>
    <n v="6.48"/>
    <n v="3265.8"/>
    <n v="0.47399999999999998"/>
    <n v="7.4"/>
  </r>
  <r>
    <x v="4"/>
    <x v="27"/>
    <x v="14"/>
    <n v="18689"/>
    <n v="43614.28"/>
    <n v="6.51"/>
    <n v="2879.3"/>
    <n v="0.53300000000000003"/>
    <n v="7.9"/>
  </r>
  <r>
    <x v="4"/>
    <x v="28"/>
    <x v="9"/>
    <n v="28626"/>
    <n v="65196.35"/>
    <n v="6.52"/>
    <n v="4344.2"/>
    <n v="0.47099999999999997"/>
    <n v="6.6"/>
  </r>
  <r>
    <x v="4"/>
    <x v="29"/>
    <x v="22"/>
    <n v="52104"/>
    <n v="120214.94"/>
    <n v="6.37"/>
    <n v="8178.5"/>
    <n v="0.32100000000000001"/>
    <n v="7.3"/>
  </r>
  <r>
    <x v="4"/>
    <x v="30"/>
    <x v="13"/>
    <n v="24975"/>
    <n v="53665.120000000003"/>
    <n v="6.31"/>
    <n v="4012"/>
    <n v="0.59099999999999997"/>
    <n v="8.1999999999999993"/>
  </r>
  <r>
    <x v="4"/>
    <x v="31"/>
    <x v="12"/>
    <n v="21382"/>
    <n v="45835.05"/>
    <n v="6.6"/>
    <n v="3299.3"/>
    <n v="0.5"/>
    <n v="7.7"/>
  </r>
  <r>
    <x v="4"/>
    <x v="32"/>
    <x v="4"/>
    <n v="20320"/>
    <n v="42954.52"/>
    <n v="6.73"/>
    <n v="3053.8"/>
    <n v="0.35699999999999998"/>
    <n v="6.2"/>
  </r>
  <r>
    <x v="4"/>
    <x v="33"/>
    <x v="17"/>
    <n v="37545"/>
    <n v="82433.09"/>
    <n v="6.51"/>
    <n v="5847.3"/>
    <n v="0.4"/>
    <n v="6.7"/>
  </r>
  <r>
    <x v="4"/>
    <x v="34"/>
    <x v="6"/>
    <n v="29654"/>
    <n v="62971.9"/>
    <n v="6.52"/>
    <n v="4615.8999999999996"/>
    <n v="0.38100000000000001"/>
    <n v="6.8"/>
  </r>
  <r>
    <x v="4"/>
    <x v="35"/>
    <x v="10"/>
    <n v="44493"/>
    <n v="94551.42"/>
    <n v="6.63"/>
    <n v="6788.6"/>
    <n v="0.48099999999999998"/>
    <n v="7.2"/>
  </r>
  <r>
    <x v="5"/>
    <x v="0"/>
    <x v="8"/>
    <n v="19612"/>
    <n v="42338.96"/>
    <n v="6.53"/>
    <n v="3024.2"/>
    <n v="0.56200000000000006"/>
    <n v="6.8"/>
  </r>
  <r>
    <x v="5"/>
    <x v="1"/>
    <x v="7"/>
    <n v="19275"/>
    <n v="44546.74"/>
    <n v="6.55"/>
    <n v="2993.9"/>
    <n v="0.25"/>
    <n v="7.3"/>
  </r>
  <r>
    <x v="5"/>
    <x v="2"/>
    <x v="17"/>
    <n v="48242"/>
    <n v="95210.6"/>
    <n v="6.21"/>
    <n v="7786.8"/>
    <n v="0.44"/>
    <n v="7.7"/>
  </r>
  <r>
    <x v="5"/>
    <x v="3"/>
    <x v="12"/>
    <n v="19869"/>
    <n v="43120.94"/>
    <n v="6.55"/>
    <n v="3039.8"/>
    <n v="0.38900000000000001"/>
    <n v="7.9"/>
  </r>
  <r>
    <x v="5"/>
    <x v="4"/>
    <x v="8"/>
    <n v="22115"/>
    <n v="47419.85"/>
    <n v="6.46"/>
    <n v="3488.6"/>
    <n v="0.5"/>
    <n v="7.1"/>
  </r>
  <r>
    <x v="5"/>
    <x v="5"/>
    <x v="4"/>
    <n v="20483"/>
    <n v="39331.730000000003"/>
    <n v="6.71"/>
    <n v="3130.1"/>
    <n v="0.28599999999999998"/>
    <n v="6.4"/>
  </r>
  <r>
    <x v="5"/>
    <x v="6"/>
    <x v="21"/>
    <n v="15897"/>
    <n v="33470.15"/>
    <n v="6.33"/>
    <n v="2546.9"/>
    <n v="0.63600000000000001"/>
    <n v="7"/>
  </r>
  <r>
    <x v="5"/>
    <x v="7"/>
    <x v="10"/>
    <n v="37778"/>
    <n v="75850.62"/>
    <n v="6.24"/>
    <n v="6113.5"/>
    <n v="0.66700000000000004"/>
    <n v="7.6"/>
  </r>
  <r>
    <x v="5"/>
    <x v="8"/>
    <x v="2"/>
    <n v="26615"/>
    <n v="60215.72"/>
    <n v="6.41"/>
    <n v="4241"/>
    <n v="0.45"/>
    <n v="7.5"/>
  </r>
  <r>
    <x v="5"/>
    <x v="9"/>
    <x v="2"/>
    <n v="25150"/>
    <n v="50076.97"/>
    <n v="6.51"/>
    <n v="3887"/>
    <n v="0.3"/>
    <n v="7.2"/>
  </r>
  <r>
    <x v="5"/>
    <x v="10"/>
    <x v="6"/>
    <n v="29876"/>
    <n v="68893.56"/>
    <n v="6.51"/>
    <n v="4607.5"/>
    <n v="0.38100000000000001"/>
    <n v="6.5"/>
  </r>
  <r>
    <x v="5"/>
    <x v="11"/>
    <x v="10"/>
    <n v="31148"/>
    <n v="67733.16"/>
    <n v="6.55"/>
    <n v="4883.3999999999996"/>
    <n v="0.40699999999999997"/>
    <n v="7.5"/>
  </r>
  <r>
    <x v="5"/>
    <x v="12"/>
    <x v="6"/>
    <n v="33078"/>
    <n v="69630.58"/>
    <n v="6.54"/>
    <n v="5069.3999999999996"/>
    <n v="0.42899999999999999"/>
    <n v="6.6"/>
  </r>
  <r>
    <x v="5"/>
    <x v="13"/>
    <x v="4"/>
    <n v="23258"/>
    <n v="49989.25"/>
    <n v="6.48"/>
    <n v="3587"/>
    <n v="0.35699999999999998"/>
    <n v="8"/>
  </r>
  <r>
    <x v="5"/>
    <x v="14"/>
    <x v="14"/>
    <n v="21068"/>
    <n v="41064.269999999997"/>
    <n v="6.82"/>
    <n v="3072.9"/>
    <n v="0.53300000000000003"/>
    <n v="7.7"/>
  </r>
  <r>
    <x v="5"/>
    <x v="15"/>
    <x v="8"/>
    <n v="25883"/>
    <n v="51532.05"/>
    <n v="6.68"/>
    <n v="3853.7"/>
    <n v="0.438"/>
    <n v="7.2"/>
  </r>
  <r>
    <x v="5"/>
    <x v="16"/>
    <x v="4"/>
    <n v="19152"/>
    <n v="34518.639999999999"/>
    <n v="6.76"/>
    <n v="2876.9"/>
    <n v="0.28599999999999998"/>
    <n v="7.5"/>
  </r>
  <r>
    <x v="5"/>
    <x v="17"/>
    <x v="3"/>
    <n v="27531"/>
    <n v="62402.2"/>
    <n v="6.4"/>
    <n v="4321.3999999999996"/>
    <n v="0.57899999999999996"/>
    <n v="6.3"/>
  </r>
  <r>
    <x v="5"/>
    <x v="18"/>
    <x v="8"/>
    <n v="27061"/>
    <n v="55323.09"/>
    <n v="6.7"/>
    <n v="4081.2"/>
    <n v="0.438"/>
    <n v="6.8"/>
  </r>
  <r>
    <x v="5"/>
    <x v="19"/>
    <x v="8"/>
    <n v="28173"/>
    <n v="57600.38"/>
    <n v="6.16"/>
    <n v="4534.7"/>
    <n v="0.375"/>
    <n v="6.7"/>
  </r>
  <r>
    <x v="5"/>
    <x v="20"/>
    <x v="4"/>
    <n v="19307"/>
    <n v="45115.43"/>
    <n v="6.67"/>
    <n v="2897"/>
    <n v="0.42899999999999999"/>
    <n v="7.7"/>
  </r>
  <r>
    <x v="5"/>
    <x v="21"/>
    <x v="12"/>
    <n v="26832"/>
    <n v="53987.63"/>
    <n v="6.61"/>
    <n v="4041.2"/>
    <n v="0.55600000000000005"/>
    <n v="6.5"/>
  </r>
  <r>
    <x v="5"/>
    <x v="22"/>
    <x v="2"/>
    <n v="27060"/>
    <n v="58150.48"/>
    <n v="6.42"/>
    <n v="4244.2"/>
    <n v="0.55000000000000004"/>
    <n v="7.3"/>
  </r>
  <r>
    <x v="5"/>
    <x v="23"/>
    <x v="7"/>
    <n v="17318"/>
    <n v="35157.629999999997"/>
    <n v="6.4"/>
    <n v="2722.5"/>
    <n v="0.41699999999999998"/>
    <n v="9"/>
  </r>
  <r>
    <x v="5"/>
    <x v="24"/>
    <x v="15"/>
    <n v="37177"/>
    <n v="76191.64"/>
    <n v="6.43"/>
    <n v="5786.1"/>
    <n v="0.60899999999999999"/>
    <n v="7"/>
  </r>
  <r>
    <x v="5"/>
    <x v="25"/>
    <x v="19"/>
    <n v="14485"/>
    <n v="30920.77"/>
    <n v="6.37"/>
    <n v="2267.4"/>
    <n v="0.4"/>
    <n v="7.5"/>
  </r>
  <r>
    <x v="5"/>
    <x v="26"/>
    <x v="12"/>
    <n v="23001"/>
    <n v="48649.03"/>
    <n v="6.31"/>
    <n v="3691"/>
    <n v="0.72199999999999998"/>
    <n v="7"/>
  </r>
  <r>
    <x v="5"/>
    <x v="27"/>
    <x v="8"/>
    <n v="25344"/>
    <n v="54992.66"/>
    <n v="6.51"/>
    <n v="3932.1"/>
    <n v="0.25"/>
    <n v="6"/>
  </r>
  <r>
    <x v="5"/>
    <x v="28"/>
    <x v="3"/>
    <n v="28682"/>
    <n v="60608.35"/>
    <n v="6.53"/>
    <n v="4401.3"/>
    <n v="0.42099999999999999"/>
    <n v="7.8"/>
  </r>
  <r>
    <x v="5"/>
    <x v="29"/>
    <x v="15"/>
    <n v="34855"/>
    <n v="75115.839999999997"/>
    <n v="6.49"/>
    <n v="5438.8"/>
    <n v="0.435"/>
    <n v="7.5"/>
  </r>
  <r>
    <x v="5"/>
    <x v="30"/>
    <x v="9"/>
    <n v="17316"/>
    <n v="38195.599999999999"/>
    <n v="6.69"/>
    <n v="2693.8"/>
    <n v="0.23499999999999999"/>
    <n v="4.5"/>
  </r>
  <r>
    <x v="5"/>
    <x v="31"/>
    <x v="12"/>
    <n v="22572"/>
    <n v="45362.19"/>
    <n v="6.65"/>
    <n v="3419.6"/>
    <n v="0.5"/>
    <n v="6.8"/>
  </r>
  <r>
    <x v="5"/>
    <x v="32"/>
    <x v="11"/>
    <n v="31956"/>
    <n v="67402.89"/>
    <n v="6.57"/>
    <n v="4871.3"/>
    <n v="0.25"/>
    <n v="7.7"/>
  </r>
  <r>
    <x v="5"/>
    <x v="33"/>
    <x v="13"/>
    <n v="30277"/>
    <n v="70921.960000000006"/>
    <n v="6.34"/>
    <n v="4919.1000000000004"/>
    <n v="0.45500000000000002"/>
    <n v="7.9"/>
  </r>
  <r>
    <x v="5"/>
    <x v="34"/>
    <x v="14"/>
    <n v="17219"/>
    <n v="38096.769999999997"/>
    <n v="6.51"/>
    <n v="2630.5"/>
    <n v="0.46700000000000003"/>
    <n v="7"/>
  </r>
  <r>
    <x v="5"/>
    <x v="35"/>
    <x v="2"/>
    <n v="27485"/>
    <n v="59073.14"/>
    <n v="6.37"/>
    <n v="4357.3"/>
    <n v="0.4"/>
    <n v="6.4"/>
  </r>
  <r>
    <x v="6"/>
    <x v="0"/>
    <x v="6"/>
    <n v="34357"/>
    <n v="68595.81"/>
    <n v="6.5"/>
    <n v="5369.4"/>
    <n v="0.66700000000000004"/>
    <n v="7.1"/>
  </r>
  <r>
    <x v="6"/>
    <x v="1"/>
    <x v="21"/>
    <n v="12195"/>
    <n v="25666.57"/>
    <n v="6.5"/>
    <n v="1892.7"/>
    <n v="0.54500000000000004"/>
    <n v="7.5"/>
  </r>
  <r>
    <x v="6"/>
    <x v="2"/>
    <x v="17"/>
    <n v="39127"/>
    <n v="86215.11"/>
    <n v="6.62"/>
    <n v="5893.1"/>
    <n v="0.52"/>
    <n v="6.9"/>
  </r>
  <r>
    <x v="6"/>
    <x v="3"/>
    <x v="3"/>
    <n v="26013"/>
    <n v="54918.17"/>
    <n v="6.62"/>
    <n v="4002.8"/>
    <n v="0.316"/>
    <n v="7.2"/>
  </r>
  <r>
    <x v="6"/>
    <x v="4"/>
    <x v="15"/>
    <n v="39216"/>
    <n v="86018.91"/>
    <n v="6.52"/>
    <n v="6034.6"/>
    <n v="0.435"/>
    <n v="7.8"/>
  </r>
  <r>
    <x v="6"/>
    <x v="5"/>
    <x v="13"/>
    <n v="30965"/>
    <n v="63157.35"/>
    <n v="6.46"/>
    <n v="4763.3"/>
    <n v="0.40899999999999997"/>
    <n v="7.8"/>
  </r>
  <r>
    <x v="6"/>
    <x v="6"/>
    <x v="13"/>
    <n v="34221"/>
    <n v="77546.880000000005"/>
    <n v="6.58"/>
    <n v="5224.8"/>
    <n v="0.54500000000000004"/>
    <n v="6.7"/>
  </r>
  <r>
    <x v="6"/>
    <x v="7"/>
    <x v="0"/>
    <n v="42235"/>
    <n v="92559.77"/>
    <n v="6.43"/>
    <n v="6697.1"/>
    <n v="0.308"/>
    <n v="7.2"/>
  </r>
  <r>
    <x v="6"/>
    <x v="8"/>
    <x v="21"/>
    <n v="18496"/>
    <n v="35592.57"/>
    <n v="6.57"/>
    <n v="2894.1"/>
    <n v="0.27300000000000002"/>
    <n v="7"/>
  </r>
  <r>
    <x v="6"/>
    <x v="9"/>
    <x v="4"/>
    <n v="18471"/>
    <n v="41148.32"/>
    <n v="6.36"/>
    <n v="2945.5"/>
    <n v="0.42899999999999999"/>
    <n v="7.2"/>
  </r>
  <r>
    <x v="6"/>
    <x v="10"/>
    <x v="13"/>
    <n v="28225"/>
    <n v="61191.07"/>
    <n v="6.43"/>
    <n v="4486.6000000000004"/>
    <n v="0.45500000000000002"/>
    <n v="7.5"/>
  </r>
  <r>
    <x v="6"/>
    <x v="11"/>
    <x v="11"/>
    <n v="25607"/>
    <n v="52289.96"/>
    <n v="6.44"/>
    <n v="3975.3"/>
    <n v="0.45800000000000002"/>
    <n v="8.1"/>
  </r>
  <r>
    <x v="6"/>
    <x v="12"/>
    <x v="2"/>
    <n v="27105"/>
    <n v="60127.57"/>
    <n v="6.55"/>
    <n v="4283"/>
    <n v="0.3"/>
    <n v="6.8"/>
  </r>
  <r>
    <x v="6"/>
    <x v="13"/>
    <x v="5"/>
    <n v="15892"/>
    <n v="30331.94"/>
    <n v="6.52"/>
    <n v="2503.1"/>
    <n v="0.53800000000000003"/>
    <n v="8.1999999999999993"/>
  </r>
  <r>
    <x v="6"/>
    <x v="14"/>
    <x v="21"/>
    <n v="15586"/>
    <n v="36384.120000000003"/>
    <n v="6.32"/>
    <n v="2408.6"/>
    <n v="0.36399999999999999"/>
    <n v="6.6"/>
  </r>
  <r>
    <x v="6"/>
    <x v="15"/>
    <x v="1"/>
    <n v="10502"/>
    <n v="23649.5"/>
    <n v="6.6"/>
    <n v="1629.7"/>
    <n v="0.55600000000000005"/>
    <n v="7.3"/>
  </r>
  <r>
    <x v="6"/>
    <x v="16"/>
    <x v="4"/>
    <n v="21034"/>
    <n v="44369.06"/>
    <n v="6.48"/>
    <n v="3281.7"/>
    <n v="0.214"/>
    <n v="7.5"/>
  </r>
  <r>
    <x v="6"/>
    <x v="17"/>
    <x v="6"/>
    <n v="27353"/>
    <n v="57103.89"/>
    <n v="6.48"/>
    <n v="4428.5"/>
    <n v="0.42899999999999999"/>
    <n v="5.8"/>
  </r>
  <r>
    <x v="6"/>
    <x v="18"/>
    <x v="6"/>
    <n v="29631"/>
    <n v="68637.56"/>
    <n v="6.49"/>
    <n v="4656.8"/>
    <n v="0.47599999999999998"/>
    <n v="6"/>
  </r>
  <r>
    <x v="6"/>
    <x v="19"/>
    <x v="17"/>
    <n v="43603"/>
    <n v="98052.800000000003"/>
    <n v="6.31"/>
    <n v="6954.8"/>
    <n v="0.36"/>
    <n v="7.5"/>
  </r>
  <r>
    <x v="6"/>
    <x v="20"/>
    <x v="10"/>
    <n v="35366"/>
    <n v="71332.759999999995"/>
    <n v="6.46"/>
    <n v="5515"/>
    <n v="0.44400000000000001"/>
    <n v="7"/>
  </r>
  <r>
    <x v="6"/>
    <x v="21"/>
    <x v="17"/>
    <n v="37253"/>
    <n v="75862.83"/>
    <n v="6.58"/>
    <n v="5773.8"/>
    <n v="0.52"/>
    <n v="6.5"/>
  </r>
  <r>
    <x v="6"/>
    <x v="22"/>
    <x v="8"/>
    <n v="24603"/>
    <n v="58382.22"/>
    <n v="6.55"/>
    <n v="3783.8"/>
    <n v="0.438"/>
    <n v="6.8"/>
  </r>
  <r>
    <x v="6"/>
    <x v="23"/>
    <x v="15"/>
    <n v="34725"/>
    <n v="75533.37"/>
    <n v="6.63"/>
    <n v="5307.4"/>
    <n v="0.65200000000000002"/>
    <n v="6.9"/>
  </r>
  <r>
    <x v="6"/>
    <x v="24"/>
    <x v="21"/>
    <n v="11660"/>
    <n v="22942.639999999999"/>
    <n v="6.52"/>
    <n v="1866.6"/>
    <n v="0.54500000000000004"/>
    <n v="6.5"/>
  </r>
  <r>
    <x v="6"/>
    <x v="25"/>
    <x v="23"/>
    <n v="43973"/>
    <n v="89998.17"/>
    <n v="6.35"/>
    <n v="7020.3"/>
    <n v="0.46700000000000003"/>
    <n v="6.5"/>
  </r>
  <r>
    <x v="6"/>
    <x v="26"/>
    <x v="4"/>
    <n v="15148"/>
    <n v="34613.97"/>
    <n v="6.46"/>
    <n v="2373.1"/>
    <n v="0.42899999999999999"/>
    <n v="6.3"/>
  </r>
  <r>
    <x v="6"/>
    <x v="27"/>
    <x v="2"/>
    <n v="28248"/>
    <n v="60161.2"/>
    <n v="6.27"/>
    <n v="4509.3"/>
    <n v="0.4"/>
    <n v="7.6"/>
  </r>
  <r>
    <x v="6"/>
    <x v="28"/>
    <x v="21"/>
    <n v="14551"/>
    <n v="30500.74"/>
    <n v="6.72"/>
    <n v="2188.1"/>
    <n v="0.81799999999999995"/>
    <n v="5.6"/>
  </r>
  <r>
    <x v="6"/>
    <x v="29"/>
    <x v="21"/>
    <n v="13907"/>
    <n v="32211.43"/>
    <n v="6.5"/>
    <n v="2200.6999999999998"/>
    <n v="0.36399999999999999"/>
    <n v="8.1999999999999993"/>
  </r>
  <r>
    <x v="6"/>
    <x v="30"/>
    <x v="2"/>
    <n v="29787"/>
    <n v="62996.06"/>
    <n v="6.3"/>
    <n v="4739"/>
    <n v="0.25"/>
    <n v="7.2"/>
  </r>
  <r>
    <x v="6"/>
    <x v="31"/>
    <x v="3"/>
    <n v="31647"/>
    <n v="65720.36"/>
    <n v="6.44"/>
    <n v="4986.8999999999996"/>
    <n v="0.47399999999999998"/>
    <n v="5.5"/>
  </r>
  <r>
    <x v="6"/>
    <x v="32"/>
    <x v="14"/>
    <n v="20340"/>
    <n v="41921.06"/>
    <n v="6.68"/>
    <n v="3042.2"/>
    <n v="0.46700000000000003"/>
    <n v="5.2"/>
  </r>
  <r>
    <x v="6"/>
    <x v="33"/>
    <x v="9"/>
    <n v="23793"/>
    <n v="50332.9"/>
    <n v="6.64"/>
    <n v="3589.7"/>
    <n v="0.23499999999999999"/>
    <n v="7.2"/>
  </r>
  <r>
    <x v="6"/>
    <x v="34"/>
    <x v="2"/>
    <n v="32777"/>
    <n v="72533.72"/>
    <n v="6.44"/>
    <n v="5097.5"/>
    <n v="0.3"/>
    <n v="8.6999999999999993"/>
  </r>
  <r>
    <x v="6"/>
    <x v="35"/>
    <x v="8"/>
    <n v="28904"/>
    <n v="65198.58"/>
    <n v="6.41"/>
    <n v="4569.2"/>
    <n v="0.56200000000000006"/>
    <n v="7.6"/>
  </r>
  <r>
    <x v="7"/>
    <x v="0"/>
    <x v="14"/>
    <n v="21517"/>
    <n v="52197.33"/>
    <n v="6.5"/>
    <n v="3381.9"/>
    <n v="0.6"/>
    <n v="6.7"/>
  </r>
  <r>
    <x v="7"/>
    <x v="1"/>
    <x v="12"/>
    <n v="20614"/>
    <n v="41574.18"/>
    <n v="6.45"/>
    <n v="3250"/>
    <n v="0.66700000000000004"/>
    <n v="7.4"/>
  </r>
  <r>
    <x v="7"/>
    <x v="2"/>
    <x v="17"/>
    <n v="34627"/>
    <n v="74999.41"/>
    <n v="6.44"/>
    <n v="5417.7"/>
    <n v="0.44"/>
    <n v="6.7"/>
  </r>
  <r>
    <x v="7"/>
    <x v="3"/>
    <x v="17"/>
    <n v="34990"/>
    <n v="73654.240000000005"/>
    <n v="6.39"/>
    <n v="5450.7"/>
    <n v="0.6"/>
    <n v="7.7"/>
  </r>
  <r>
    <x v="7"/>
    <x v="4"/>
    <x v="2"/>
    <n v="23857"/>
    <n v="55206.06"/>
    <n v="6.53"/>
    <n v="3615.9"/>
    <n v="0.3"/>
    <n v="7.3"/>
  </r>
  <r>
    <x v="7"/>
    <x v="5"/>
    <x v="3"/>
    <n v="30349"/>
    <n v="67262.91"/>
    <n v="6.39"/>
    <n v="4798.3999999999996"/>
    <n v="0.36799999999999999"/>
    <n v="6.7"/>
  </r>
  <r>
    <x v="7"/>
    <x v="6"/>
    <x v="17"/>
    <n v="30833"/>
    <n v="65811.009999999995"/>
    <n v="6.53"/>
    <n v="4785.1000000000004"/>
    <n v="0.36"/>
    <n v="6.9"/>
  </r>
  <r>
    <x v="7"/>
    <x v="7"/>
    <x v="3"/>
    <n v="26176"/>
    <n v="59032.15"/>
    <n v="6.58"/>
    <n v="4043"/>
    <n v="0.47399999999999998"/>
    <n v="6"/>
  </r>
  <r>
    <x v="7"/>
    <x v="8"/>
    <x v="7"/>
    <n v="13784"/>
    <n v="28282.14"/>
    <n v="6.57"/>
    <n v="2130.6999999999998"/>
    <n v="0.25"/>
    <n v="7.6"/>
  </r>
  <r>
    <x v="7"/>
    <x v="9"/>
    <x v="15"/>
    <n v="32015"/>
    <n v="70765.94"/>
    <n v="6.38"/>
    <n v="5056.8"/>
    <n v="0.47799999999999998"/>
    <n v="6.4"/>
  </r>
  <r>
    <x v="7"/>
    <x v="10"/>
    <x v="17"/>
    <n v="37412"/>
    <n v="81258.34"/>
    <n v="6.36"/>
    <n v="5827.9"/>
    <n v="0.68"/>
    <n v="7.1"/>
  </r>
  <r>
    <x v="7"/>
    <x v="11"/>
    <x v="4"/>
    <n v="20940"/>
    <n v="44257.37"/>
    <n v="6.4"/>
    <n v="3317.4"/>
    <n v="0.28599999999999998"/>
    <n v="6.5"/>
  </r>
  <r>
    <x v="7"/>
    <x v="12"/>
    <x v="6"/>
    <n v="38306"/>
    <n v="77449.95"/>
    <n v="6.47"/>
    <n v="6003.5"/>
    <n v="0.47599999999999998"/>
    <n v="6.7"/>
  </r>
  <r>
    <x v="7"/>
    <x v="13"/>
    <x v="5"/>
    <n v="18595"/>
    <n v="39718.410000000003"/>
    <n v="6.68"/>
    <n v="2871.6"/>
    <n v="0.38500000000000001"/>
    <n v="5.0999999999999996"/>
  </r>
  <r>
    <x v="7"/>
    <x v="14"/>
    <x v="6"/>
    <n v="35515"/>
    <n v="72798.039999999994"/>
    <n v="6.65"/>
    <n v="5325.4"/>
    <n v="0.42899999999999999"/>
    <n v="6.5"/>
  </r>
  <r>
    <x v="7"/>
    <x v="15"/>
    <x v="13"/>
    <n v="35533"/>
    <n v="73586.58"/>
    <n v="6.36"/>
    <n v="5640.3"/>
    <n v="0.5"/>
    <n v="7"/>
  </r>
  <r>
    <x v="7"/>
    <x v="16"/>
    <x v="13"/>
    <n v="32326"/>
    <n v="67476.22"/>
    <n v="6.45"/>
    <n v="5101.8999999999996"/>
    <n v="0.54500000000000004"/>
    <n v="8.1"/>
  </r>
  <r>
    <x v="7"/>
    <x v="17"/>
    <x v="8"/>
    <n v="23400"/>
    <n v="47431.53"/>
    <n v="6.46"/>
    <n v="3709.5"/>
    <n v="0.438"/>
    <n v="7.8"/>
  </r>
  <r>
    <x v="7"/>
    <x v="18"/>
    <x v="15"/>
    <n v="35597"/>
    <n v="79055.100000000006"/>
    <n v="6.55"/>
    <n v="5425.3"/>
    <n v="0.34799999999999998"/>
    <n v="6.9"/>
  </r>
  <r>
    <x v="7"/>
    <x v="19"/>
    <x v="15"/>
    <n v="36483"/>
    <n v="81202.75"/>
    <n v="6.14"/>
    <n v="5971.2"/>
    <n v="0.47799999999999998"/>
    <n v="6.8"/>
  </r>
  <r>
    <x v="7"/>
    <x v="20"/>
    <x v="3"/>
    <n v="24310"/>
    <n v="56157.46"/>
    <n v="6.4"/>
    <n v="3801.7"/>
    <n v="0.316"/>
    <n v="6.3"/>
  </r>
  <r>
    <x v="7"/>
    <x v="21"/>
    <x v="3"/>
    <n v="25649"/>
    <n v="52674.46"/>
    <n v="6.25"/>
    <n v="4149"/>
    <n v="0.21099999999999999"/>
    <n v="7.1"/>
  </r>
  <r>
    <x v="7"/>
    <x v="22"/>
    <x v="14"/>
    <n v="17799"/>
    <n v="37796.080000000002"/>
    <n v="6.41"/>
    <n v="2771.2"/>
    <n v="0.46700000000000003"/>
    <n v="7.1"/>
  </r>
  <r>
    <x v="7"/>
    <x v="23"/>
    <x v="13"/>
    <n v="27179"/>
    <n v="57754.01"/>
    <n v="6.6"/>
    <n v="4213.1000000000004"/>
    <n v="0.5"/>
    <n v="7.3"/>
  </r>
  <r>
    <x v="7"/>
    <x v="24"/>
    <x v="8"/>
    <n v="21368"/>
    <n v="39551.31"/>
    <n v="6.46"/>
    <n v="3373.3"/>
    <n v="0.625"/>
    <n v="5.7"/>
  </r>
  <r>
    <x v="7"/>
    <x v="25"/>
    <x v="5"/>
    <n v="16656"/>
    <n v="35414.44"/>
    <n v="6.49"/>
    <n v="2549.8000000000002"/>
    <n v="0.23100000000000001"/>
    <n v="6.6"/>
  </r>
  <r>
    <x v="7"/>
    <x v="26"/>
    <x v="6"/>
    <n v="22196"/>
    <n v="50243.69"/>
    <n v="6.47"/>
    <n v="3493.6"/>
    <n v="0.47599999999999998"/>
    <n v="8.1"/>
  </r>
  <r>
    <x v="7"/>
    <x v="27"/>
    <x v="12"/>
    <n v="27186"/>
    <n v="61790.2"/>
    <n v="6.57"/>
    <n v="4162.2"/>
    <n v="0.44400000000000001"/>
    <n v="7.7"/>
  </r>
  <r>
    <x v="7"/>
    <x v="28"/>
    <x v="14"/>
    <n v="19804"/>
    <n v="39870.94"/>
    <n v="7.04"/>
    <n v="2807.5"/>
    <n v="0.46700000000000003"/>
    <n v="8.6999999999999993"/>
  </r>
  <r>
    <x v="7"/>
    <x v="29"/>
    <x v="3"/>
    <n v="25800"/>
    <n v="54226.2"/>
    <n v="6.67"/>
    <n v="3927.8"/>
    <n v="0.57899999999999996"/>
    <n v="7.3"/>
  </r>
  <r>
    <x v="7"/>
    <x v="30"/>
    <x v="10"/>
    <n v="43427"/>
    <n v="93092.85"/>
    <n v="6.45"/>
    <n v="6772.3"/>
    <n v="0.37"/>
    <n v="7.5"/>
  </r>
  <r>
    <x v="7"/>
    <x v="31"/>
    <x v="17"/>
    <n v="33412"/>
    <n v="73906.5"/>
    <n v="6.58"/>
    <n v="5111.8999999999996"/>
    <n v="0.32"/>
    <n v="7.2"/>
  </r>
  <r>
    <x v="7"/>
    <x v="32"/>
    <x v="15"/>
    <n v="38773"/>
    <n v="81136.56"/>
    <n v="6.56"/>
    <n v="5964.4"/>
    <n v="0.39100000000000001"/>
    <n v="7"/>
  </r>
  <r>
    <x v="7"/>
    <x v="33"/>
    <x v="2"/>
    <n v="26674"/>
    <n v="58230.75"/>
    <n v="6.63"/>
    <n v="4059.3"/>
    <n v="0.45"/>
    <n v="6.1"/>
  </r>
  <r>
    <x v="7"/>
    <x v="34"/>
    <x v="2"/>
    <n v="24908"/>
    <n v="53222.38"/>
    <n v="6.59"/>
    <n v="3846"/>
    <n v="0.55000000000000004"/>
    <n v="6.1"/>
  </r>
  <r>
    <x v="7"/>
    <x v="35"/>
    <x v="8"/>
    <n v="20106"/>
    <n v="46571.44"/>
    <n v="6.47"/>
    <n v="3064.2"/>
    <n v="0.25"/>
    <n v="7.5"/>
  </r>
  <r>
    <x v="8"/>
    <x v="0"/>
    <x v="1"/>
    <n v="12200"/>
    <n v="23019.41"/>
    <n v="6.46"/>
    <n v="1863.4"/>
    <n v="0.55600000000000005"/>
    <n v="5"/>
  </r>
  <r>
    <x v="8"/>
    <x v="1"/>
    <x v="8"/>
    <n v="21051"/>
    <n v="42789.66"/>
    <n v="6.59"/>
    <n v="3230.3"/>
    <n v="0.375"/>
    <n v="5.7"/>
  </r>
  <r>
    <x v="8"/>
    <x v="2"/>
    <x v="9"/>
    <n v="28277"/>
    <n v="60414.58"/>
    <n v="6.57"/>
    <n v="4300.2"/>
    <n v="0.23499999999999999"/>
    <n v="6.8"/>
  </r>
  <r>
    <x v="8"/>
    <x v="3"/>
    <x v="15"/>
    <n v="33593"/>
    <n v="78642.95"/>
    <n v="6.36"/>
    <n v="5309.6"/>
    <n v="0.60899999999999999"/>
    <n v="7.5"/>
  </r>
  <r>
    <x v="8"/>
    <x v="4"/>
    <x v="14"/>
    <n v="21152"/>
    <n v="45907.32"/>
    <n v="6.49"/>
    <n v="3256.7"/>
    <n v="0.6"/>
    <n v="8.1"/>
  </r>
  <r>
    <x v="8"/>
    <x v="5"/>
    <x v="12"/>
    <n v="26511"/>
    <n v="61930"/>
    <n v="6.56"/>
    <n v="4069.1"/>
    <n v="0.33300000000000002"/>
    <n v="6.3"/>
  </r>
  <r>
    <x v="8"/>
    <x v="6"/>
    <x v="17"/>
    <n v="35152"/>
    <n v="71823.59"/>
    <n v="6.44"/>
    <n v="5457.8"/>
    <n v="0.6"/>
    <n v="7.3"/>
  </r>
  <r>
    <x v="8"/>
    <x v="7"/>
    <x v="6"/>
    <n v="29507"/>
    <n v="65280.72"/>
    <n v="6.39"/>
    <n v="4679.6000000000004"/>
    <n v="0.38100000000000001"/>
    <n v="6.1"/>
  </r>
  <r>
    <x v="8"/>
    <x v="8"/>
    <x v="15"/>
    <n v="29041"/>
    <n v="62837.67"/>
    <n v="6.55"/>
    <n v="4403.7"/>
    <n v="0.34799999999999998"/>
    <n v="6"/>
  </r>
  <r>
    <x v="8"/>
    <x v="9"/>
    <x v="13"/>
    <n v="30534"/>
    <n v="65221.5"/>
    <n v="6.64"/>
    <n v="4647"/>
    <n v="0.27300000000000002"/>
    <n v="7.7"/>
  </r>
  <r>
    <x v="8"/>
    <x v="10"/>
    <x v="0"/>
    <n v="36696"/>
    <n v="78049.070000000007"/>
    <n v="6.59"/>
    <n v="5706.5"/>
    <n v="0.34599999999999997"/>
    <n v="8.1"/>
  </r>
  <r>
    <x v="8"/>
    <x v="11"/>
    <x v="6"/>
    <n v="31649"/>
    <n v="72190.97"/>
    <n v="6.32"/>
    <n v="4967.7"/>
    <n v="0.38100000000000001"/>
    <n v="6.7"/>
  </r>
  <r>
    <x v="8"/>
    <x v="12"/>
    <x v="2"/>
    <n v="32873"/>
    <n v="66589.31"/>
    <n v="6.43"/>
    <n v="5098.3999999999996"/>
    <n v="0.55000000000000004"/>
    <n v="7.1"/>
  </r>
  <r>
    <x v="8"/>
    <x v="13"/>
    <x v="4"/>
    <n v="20669"/>
    <n v="43559"/>
    <n v="6.69"/>
    <n v="3087.5"/>
    <n v="0.42899999999999999"/>
    <n v="7.1"/>
  </r>
  <r>
    <x v="8"/>
    <x v="14"/>
    <x v="13"/>
    <n v="26346"/>
    <n v="52878.92"/>
    <n v="6.4"/>
    <n v="4070.3"/>
    <n v="0.45500000000000002"/>
    <n v="7.1"/>
  </r>
  <r>
    <x v="8"/>
    <x v="15"/>
    <x v="3"/>
    <n v="24121"/>
    <n v="56056.85"/>
    <n v="6.42"/>
    <n v="3793.9"/>
    <n v="0.42099999999999999"/>
    <n v="7.4"/>
  </r>
  <r>
    <x v="8"/>
    <x v="16"/>
    <x v="6"/>
    <n v="37392"/>
    <n v="84380.51"/>
    <n v="6.38"/>
    <n v="5921.9"/>
    <n v="0.47599999999999998"/>
    <n v="8.4"/>
  </r>
  <r>
    <x v="8"/>
    <x v="17"/>
    <x v="14"/>
    <n v="22786"/>
    <n v="53514.080000000002"/>
    <n v="6.62"/>
    <n v="3516"/>
    <n v="0.53300000000000003"/>
    <n v="6.2"/>
  </r>
  <r>
    <x v="8"/>
    <x v="18"/>
    <x v="0"/>
    <n v="34707"/>
    <n v="69301.58"/>
    <n v="6.55"/>
    <n v="5322"/>
    <n v="0.46200000000000002"/>
    <n v="7.7"/>
  </r>
  <r>
    <x v="8"/>
    <x v="19"/>
    <x v="14"/>
    <n v="20158"/>
    <n v="43059.76"/>
    <n v="6.5"/>
    <n v="3102.3"/>
    <n v="0.46700000000000003"/>
    <n v="8"/>
  </r>
  <r>
    <x v="8"/>
    <x v="20"/>
    <x v="15"/>
    <n v="33717"/>
    <n v="66910.320000000007"/>
    <n v="6.35"/>
    <n v="5314.4"/>
    <n v="0.39100000000000001"/>
    <n v="8"/>
  </r>
  <r>
    <x v="8"/>
    <x v="21"/>
    <x v="14"/>
    <n v="23814"/>
    <n v="54882.09"/>
    <n v="6.65"/>
    <n v="3618.7"/>
    <n v="0.46700000000000003"/>
    <n v="7.5"/>
  </r>
  <r>
    <x v="8"/>
    <x v="22"/>
    <x v="12"/>
    <n v="28327"/>
    <n v="60227.35"/>
    <n v="6.44"/>
    <n v="4421.6000000000004"/>
    <n v="0.5"/>
    <n v="6.4"/>
  </r>
  <r>
    <x v="8"/>
    <x v="23"/>
    <x v="5"/>
    <n v="18664"/>
    <n v="36058.47"/>
    <n v="6.72"/>
    <n v="2749.8"/>
    <n v="0.23100000000000001"/>
    <n v="7"/>
  </r>
  <r>
    <x v="8"/>
    <x v="24"/>
    <x v="13"/>
    <n v="30880"/>
    <n v="64664.31"/>
    <n v="6.61"/>
    <n v="4659.3"/>
    <n v="0.45500000000000002"/>
    <n v="7.3"/>
  </r>
  <r>
    <x v="8"/>
    <x v="25"/>
    <x v="8"/>
    <n v="19018"/>
    <n v="41239.39"/>
    <n v="6.39"/>
    <n v="2962.6"/>
    <n v="0.25"/>
    <n v="6.9"/>
  </r>
  <r>
    <x v="8"/>
    <x v="26"/>
    <x v="14"/>
    <n v="22964"/>
    <n v="50309.4"/>
    <n v="6.68"/>
    <n v="3404.1"/>
    <n v="0.33300000000000002"/>
    <n v="6.8"/>
  </r>
  <r>
    <x v="8"/>
    <x v="27"/>
    <x v="11"/>
    <n v="30604"/>
    <n v="67750.070000000007"/>
    <n v="6.32"/>
    <n v="4787.3"/>
    <n v="0.58299999999999996"/>
    <n v="6.5"/>
  </r>
  <r>
    <x v="8"/>
    <x v="28"/>
    <x v="0"/>
    <n v="32808"/>
    <n v="71107.28"/>
    <n v="6.46"/>
    <n v="5088.8999999999996"/>
    <n v="0.57699999999999996"/>
    <n v="6.9"/>
  </r>
  <r>
    <x v="8"/>
    <x v="29"/>
    <x v="22"/>
    <n v="44778"/>
    <n v="100841.93"/>
    <n v="6.53"/>
    <n v="6941.2"/>
    <n v="0.53600000000000003"/>
    <n v="6.8"/>
  </r>
  <r>
    <x v="8"/>
    <x v="30"/>
    <x v="21"/>
    <n v="13185"/>
    <n v="25457.5"/>
    <n v="6.24"/>
    <n v="2127.4"/>
    <n v="0.36399999999999999"/>
    <n v="7.3"/>
  </r>
  <r>
    <x v="8"/>
    <x v="31"/>
    <x v="12"/>
    <n v="27523"/>
    <n v="58668.04"/>
    <n v="6.64"/>
    <n v="4204.3"/>
    <n v="0.61099999999999999"/>
    <n v="6.7"/>
  </r>
  <r>
    <x v="8"/>
    <x v="32"/>
    <x v="12"/>
    <n v="23879"/>
    <n v="51482.46"/>
    <n v="6.69"/>
    <n v="3582.8"/>
    <n v="0.38900000000000001"/>
    <n v="6.9"/>
  </r>
  <r>
    <x v="8"/>
    <x v="33"/>
    <x v="8"/>
    <n v="22897"/>
    <n v="46139.76"/>
    <n v="6.32"/>
    <n v="3556.1"/>
    <n v="0.5"/>
    <n v="7.7"/>
  </r>
  <r>
    <x v="8"/>
    <x v="34"/>
    <x v="11"/>
    <n v="37923"/>
    <n v="87866.86"/>
    <n v="6.61"/>
    <n v="5735.9"/>
    <n v="0.20799999999999999"/>
    <n v="7"/>
  </r>
  <r>
    <x v="8"/>
    <x v="35"/>
    <x v="6"/>
    <n v="32709"/>
    <n v="72343.87"/>
    <n v="6.43"/>
    <n v="5159.2"/>
    <n v="0.57099999999999995"/>
    <n v="7"/>
  </r>
  <r>
    <x v="9"/>
    <x v="0"/>
    <x v="17"/>
    <n v="31234"/>
    <n v="66400.81"/>
    <n v="6.64"/>
    <n v="4765.3999999999996"/>
    <n v="0.52"/>
    <n v="7.6"/>
  </r>
  <r>
    <x v="9"/>
    <x v="1"/>
    <x v="5"/>
    <n v="18129"/>
    <n v="37129.230000000003"/>
    <n v="6.64"/>
    <n v="2800.9"/>
    <n v="0.46200000000000002"/>
    <n v="5.4"/>
  </r>
  <r>
    <x v="9"/>
    <x v="2"/>
    <x v="6"/>
    <n v="23292"/>
    <n v="48726.14"/>
    <n v="6.46"/>
    <n v="3696.4"/>
    <n v="0.42899999999999999"/>
    <n v="7.3"/>
  </r>
  <r>
    <x v="9"/>
    <x v="3"/>
    <x v="12"/>
    <n v="32552"/>
    <n v="62400.03"/>
    <n v="6.39"/>
    <n v="5172"/>
    <n v="0.55600000000000005"/>
    <n v="7.3"/>
  </r>
  <r>
    <x v="9"/>
    <x v="4"/>
    <x v="12"/>
    <n v="19862"/>
    <n v="40914.54"/>
    <n v="6.72"/>
    <n v="2954.2"/>
    <n v="0.222"/>
    <n v="7"/>
  </r>
  <r>
    <x v="9"/>
    <x v="5"/>
    <x v="13"/>
    <n v="30444"/>
    <n v="64982.69"/>
    <n v="6.39"/>
    <n v="4838.1000000000004"/>
    <n v="0.27300000000000002"/>
    <n v="6.5"/>
  </r>
  <r>
    <x v="9"/>
    <x v="6"/>
    <x v="8"/>
    <n v="24979"/>
    <n v="48720.2"/>
    <n v="6.53"/>
    <n v="3846.2"/>
    <n v="0.56200000000000006"/>
    <n v="6.9"/>
  </r>
  <r>
    <x v="9"/>
    <x v="7"/>
    <x v="6"/>
    <n v="27354"/>
    <n v="61921.08"/>
    <n v="6.45"/>
    <n v="4337.2"/>
    <n v="0.47599999999999998"/>
    <n v="6.8"/>
  </r>
  <r>
    <x v="9"/>
    <x v="8"/>
    <x v="5"/>
    <n v="21068"/>
    <n v="47805.71"/>
    <n v="6.5"/>
    <n v="3247"/>
    <n v="0.46200000000000002"/>
    <n v="7.5"/>
  </r>
  <r>
    <x v="9"/>
    <x v="9"/>
    <x v="3"/>
    <n v="22751"/>
    <n v="50412.59"/>
    <n v="6.54"/>
    <n v="3548.5"/>
    <n v="0.52600000000000002"/>
    <n v="7.1"/>
  </r>
  <r>
    <x v="9"/>
    <x v="10"/>
    <x v="9"/>
    <n v="27457"/>
    <n v="56719.96"/>
    <n v="6.36"/>
    <n v="4390.2"/>
    <n v="0.41199999999999998"/>
    <n v="5.8"/>
  </r>
  <r>
    <x v="9"/>
    <x v="11"/>
    <x v="8"/>
    <n v="22882"/>
    <n v="53134.43"/>
    <n v="6.71"/>
    <n v="3474.5"/>
    <n v="0.25"/>
    <n v="8.1999999999999993"/>
  </r>
  <r>
    <x v="9"/>
    <x v="12"/>
    <x v="1"/>
    <n v="10574"/>
    <n v="21680.73"/>
    <n v="6.32"/>
    <n v="1720.2"/>
    <n v="0.222"/>
    <n v="7.4"/>
  </r>
  <r>
    <x v="9"/>
    <x v="13"/>
    <x v="4"/>
    <n v="18213"/>
    <n v="42889.4"/>
    <n v="6.44"/>
    <n v="2813.7"/>
    <n v="0.5"/>
    <n v="7.5"/>
  </r>
  <r>
    <x v="9"/>
    <x v="14"/>
    <x v="3"/>
    <n v="24697"/>
    <n v="52451.47"/>
    <n v="6.68"/>
    <n v="3759.8"/>
    <n v="0.47399999999999998"/>
    <n v="6.8"/>
  </r>
  <r>
    <x v="9"/>
    <x v="15"/>
    <x v="8"/>
    <n v="27952"/>
    <n v="52280.71"/>
    <n v="6.43"/>
    <n v="4411.2"/>
    <n v="0.68799999999999994"/>
    <n v="5.8"/>
  </r>
  <r>
    <x v="9"/>
    <x v="16"/>
    <x v="21"/>
    <n v="11567"/>
    <n v="22635.97"/>
    <n v="6.35"/>
    <n v="1858.4"/>
    <n v="0.45500000000000002"/>
    <n v="7.9"/>
  </r>
  <r>
    <x v="9"/>
    <x v="17"/>
    <x v="21"/>
    <n v="15485"/>
    <n v="33845.69"/>
    <n v="6.73"/>
    <n v="2304.4"/>
    <n v="0.54500000000000004"/>
    <n v="6.1"/>
  </r>
  <r>
    <x v="9"/>
    <x v="18"/>
    <x v="4"/>
    <n v="16808"/>
    <n v="35800.43"/>
    <n v="6.46"/>
    <n v="2713.3"/>
    <n v="0.14299999999999999"/>
    <n v="6.1"/>
  </r>
  <r>
    <x v="9"/>
    <x v="19"/>
    <x v="2"/>
    <n v="27350"/>
    <n v="53931.35"/>
    <n v="6.45"/>
    <n v="4277.8"/>
    <n v="0.55000000000000004"/>
    <n v="7.1"/>
  </r>
  <r>
    <x v="9"/>
    <x v="20"/>
    <x v="4"/>
    <n v="21780"/>
    <n v="48296.72"/>
    <n v="6.47"/>
    <n v="3377.4"/>
    <n v="0.57099999999999995"/>
    <n v="7.7"/>
  </r>
  <r>
    <x v="9"/>
    <x v="21"/>
    <x v="14"/>
    <n v="20640"/>
    <n v="44493.75"/>
    <n v="6.61"/>
    <n v="3139.5"/>
    <n v="0.6"/>
    <n v="5.2"/>
  </r>
  <r>
    <x v="9"/>
    <x v="22"/>
    <x v="6"/>
    <n v="24931"/>
    <n v="55292.63"/>
    <n v="6.52"/>
    <n v="3915.7"/>
    <n v="0.28599999999999998"/>
    <n v="6.1"/>
  </r>
  <r>
    <x v="9"/>
    <x v="23"/>
    <x v="21"/>
    <n v="17107"/>
    <n v="39445.42"/>
    <n v="6.65"/>
    <n v="2619.4"/>
    <n v="0.27300000000000002"/>
    <n v="6.5"/>
  </r>
  <r>
    <x v="9"/>
    <x v="24"/>
    <x v="12"/>
    <n v="28684"/>
    <n v="51984.14"/>
    <n v="6.58"/>
    <n v="4385"/>
    <n v="0.5"/>
    <n v="8.3000000000000007"/>
  </r>
  <r>
    <x v="9"/>
    <x v="25"/>
    <x v="5"/>
    <n v="17097"/>
    <n v="38002.94"/>
    <n v="6.51"/>
    <n v="2605.1999999999998"/>
    <n v="0.38500000000000001"/>
    <n v="6.5"/>
  </r>
  <r>
    <x v="9"/>
    <x v="26"/>
    <x v="1"/>
    <n v="15187"/>
    <n v="33475.550000000003"/>
    <n v="6.42"/>
    <n v="2443.9"/>
    <n v="0.55600000000000005"/>
    <n v="7.5"/>
  </r>
  <r>
    <x v="9"/>
    <x v="27"/>
    <x v="15"/>
    <n v="27025"/>
    <n v="58005.1"/>
    <n v="6.54"/>
    <n v="4151.5"/>
    <n v="0.39100000000000001"/>
    <n v="6.3"/>
  </r>
  <r>
    <x v="9"/>
    <x v="28"/>
    <x v="11"/>
    <n v="34551"/>
    <n v="68122.850000000006"/>
    <n v="6.51"/>
    <n v="5364.7"/>
    <n v="0.33300000000000002"/>
    <n v="6.4"/>
  </r>
  <r>
    <x v="9"/>
    <x v="29"/>
    <x v="13"/>
    <n v="31407"/>
    <n v="67628.759999999995"/>
    <n v="6.69"/>
    <n v="4708.1000000000004"/>
    <n v="0.36399999999999999"/>
    <n v="7.8"/>
  </r>
  <r>
    <x v="9"/>
    <x v="30"/>
    <x v="1"/>
    <n v="10342"/>
    <n v="22178.41"/>
    <n v="6.09"/>
    <n v="1675.8"/>
    <n v="0.44400000000000001"/>
    <n v="8.5"/>
  </r>
  <r>
    <x v="9"/>
    <x v="31"/>
    <x v="17"/>
    <n v="33543"/>
    <n v="67163.22"/>
    <n v="6.43"/>
    <n v="5222.3999999999996"/>
    <n v="0.24"/>
    <n v="7.5"/>
  </r>
  <r>
    <x v="9"/>
    <x v="32"/>
    <x v="13"/>
    <n v="25621"/>
    <n v="53780.44"/>
    <n v="6.46"/>
    <n v="3964.8"/>
    <n v="0.59099999999999997"/>
    <n v="6.7"/>
  </r>
  <r>
    <x v="9"/>
    <x v="33"/>
    <x v="14"/>
    <n v="27451"/>
    <n v="52823.23"/>
    <n v="6.55"/>
    <n v="4219.5"/>
    <n v="0.66700000000000004"/>
    <n v="5.8"/>
  </r>
  <r>
    <x v="9"/>
    <x v="34"/>
    <x v="3"/>
    <n v="23642"/>
    <n v="46675.040000000001"/>
    <n v="6.56"/>
    <n v="3708.6"/>
    <n v="0.42099999999999999"/>
    <n v="6.3"/>
  </r>
  <r>
    <x v="9"/>
    <x v="35"/>
    <x v="14"/>
    <n v="22529"/>
    <n v="47714.3"/>
    <n v="6.5"/>
    <n v="3465.8"/>
    <n v="0.4"/>
    <n v="7.5"/>
  </r>
  <r>
    <x v="10"/>
    <x v="0"/>
    <x v="6"/>
    <n v="27602"/>
    <n v="62320.82"/>
    <n v="6.36"/>
    <n v="4345.6000000000004"/>
    <n v="0.42899999999999999"/>
    <n v="6.2"/>
  </r>
  <r>
    <x v="10"/>
    <x v="1"/>
    <x v="6"/>
    <n v="29124"/>
    <n v="65041.68"/>
    <n v="6.6"/>
    <n v="4375.6000000000004"/>
    <n v="0.38100000000000001"/>
    <n v="6.9"/>
  </r>
  <r>
    <x v="10"/>
    <x v="2"/>
    <x v="2"/>
    <n v="26709"/>
    <n v="58805.67"/>
    <n v="6.69"/>
    <n v="4007.8"/>
    <n v="0.45"/>
    <n v="7"/>
  </r>
  <r>
    <x v="10"/>
    <x v="3"/>
    <x v="15"/>
    <n v="31829"/>
    <n v="66649.679999999993"/>
    <n v="6.66"/>
    <n v="4904.8"/>
    <n v="0.34799999999999998"/>
    <n v="6.7"/>
  </r>
  <r>
    <x v="10"/>
    <x v="4"/>
    <x v="3"/>
    <n v="25280"/>
    <n v="52132.68"/>
    <n v="6.43"/>
    <n v="3898.4"/>
    <n v="0.26300000000000001"/>
    <n v="5.8"/>
  </r>
  <r>
    <x v="10"/>
    <x v="5"/>
    <x v="13"/>
    <n v="28186"/>
    <n v="60252.97"/>
    <n v="6.67"/>
    <n v="4355"/>
    <n v="0.54500000000000004"/>
    <n v="7.2"/>
  </r>
  <r>
    <x v="10"/>
    <x v="6"/>
    <x v="7"/>
    <n v="19565"/>
    <n v="41783.82"/>
    <n v="6.23"/>
    <n v="3136"/>
    <n v="0.41699999999999998"/>
    <n v="6.5"/>
  </r>
  <r>
    <x v="10"/>
    <x v="7"/>
    <x v="6"/>
    <n v="29884"/>
    <n v="65515.35"/>
    <n v="6.77"/>
    <n v="4510.1000000000004"/>
    <n v="0.66700000000000004"/>
    <n v="5.6"/>
  </r>
  <r>
    <x v="10"/>
    <x v="8"/>
    <x v="24"/>
    <n v="46775"/>
    <n v="101009.38"/>
    <n v="6.37"/>
    <n v="7477.9"/>
    <n v="0.51500000000000001"/>
    <n v="7.2"/>
  </r>
  <r>
    <x v="10"/>
    <x v="9"/>
    <x v="8"/>
    <n v="25580"/>
    <n v="59254.91"/>
    <n v="6.63"/>
    <n v="3859.3"/>
    <n v="0.438"/>
    <n v="7.3"/>
  </r>
  <r>
    <x v="10"/>
    <x v="10"/>
    <x v="12"/>
    <n v="23651"/>
    <n v="48774.52"/>
    <n v="6.32"/>
    <n v="3697.4"/>
    <n v="0.44400000000000001"/>
    <n v="6.7"/>
  </r>
  <r>
    <x v="10"/>
    <x v="11"/>
    <x v="17"/>
    <n v="36200"/>
    <n v="77175.28"/>
    <n v="6.48"/>
    <n v="5674.7"/>
    <n v="0.28000000000000003"/>
    <n v="6.3"/>
  </r>
  <r>
    <x v="10"/>
    <x v="12"/>
    <x v="15"/>
    <n v="38145"/>
    <n v="80646.11"/>
    <n v="6.32"/>
    <n v="6037.9"/>
    <n v="0.39100000000000001"/>
    <n v="6.7"/>
  </r>
  <r>
    <x v="10"/>
    <x v="13"/>
    <x v="7"/>
    <n v="15489"/>
    <n v="34599.94"/>
    <n v="6.45"/>
    <n v="2396.5"/>
    <n v="0.58299999999999996"/>
    <n v="6.6"/>
  </r>
  <r>
    <x v="10"/>
    <x v="14"/>
    <x v="8"/>
    <n v="16383"/>
    <n v="37321.78"/>
    <n v="6.53"/>
    <n v="2508.8000000000002"/>
    <n v="0.375"/>
    <n v="5.9"/>
  </r>
  <r>
    <x v="10"/>
    <x v="15"/>
    <x v="8"/>
    <n v="23825"/>
    <n v="50881.88"/>
    <n v="6.42"/>
    <n v="3769.4"/>
    <n v="0.375"/>
    <n v="7.1"/>
  </r>
  <r>
    <x v="10"/>
    <x v="16"/>
    <x v="15"/>
    <n v="30923"/>
    <n v="68178.63"/>
    <n v="6.67"/>
    <n v="4632.8"/>
    <n v="0.65200000000000002"/>
    <n v="7.8"/>
  </r>
  <r>
    <x v="10"/>
    <x v="17"/>
    <x v="9"/>
    <n v="29745"/>
    <n v="58831.79"/>
    <n v="6.66"/>
    <n v="4539.8"/>
    <n v="0.41199999999999998"/>
    <n v="7.2"/>
  </r>
  <r>
    <x v="10"/>
    <x v="18"/>
    <x v="17"/>
    <n v="40750"/>
    <n v="87614.2"/>
    <n v="6.46"/>
    <n v="6404.8"/>
    <n v="0.56000000000000005"/>
    <n v="6.9"/>
  </r>
  <r>
    <x v="10"/>
    <x v="19"/>
    <x v="4"/>
    <n v="14879"/>
    <n v="34024.54"/>
    <n v="6.47"/>
    <n v="2278.6999999999998"/>
    <n v="0.64300000000000002"/>
    <n v="7.2"/>
  </r>
  <r>
    <x v="10"/>
    <x v="20"/>
    <x v="9"/>
    <n v="22698"/>
    <n v="46663.82"/>
    <n v="6.7"/>
    <n v="3457.9"/>
    <n v="0.58799999999999997"/>
    <n v="6.9"/>
  </r>
  <r>
    <x v="10"/>
    <x v="21"/>
    <x v="5"/>
    <n v="20941"/>
    <n v="47003.03"/>
    <n v="6.3"/>
    <n v="3382.7"/>
    <n v="0.23100000000000001"/>
    <n v="8.1999999999999993"/>
  </r>
  <r>
    <x v="10"/>
    <x v="22"/>
    <x v="21"/>
    <n v="15706"/>
    <n v="39896.519999999997"/>
    <n v="6.3"/>
    <n v="2486"/>
    <n v="0.36399999999999999"/>
    <n v="6.7"/>
  </r>
  <r>
    <x v="10"/>
    <x v="23"/>
    <x v="10"/>
    <n v="34058"/>
    <n v="71528.22"/>
    <n v="6.26"/>
    <n v="5542.2"/>
    <n v="0.51900000000000002"/>
    <n v="6"/>
  </r>
  <r>
    <x v="10"/>
    <x v="24"/>
    <x v="9"/>
    <n v="21049"/>
    <n v="47247.68"/>
    <n v="6.43"/>
    <n v="3318.4"/>
    <n v="0.47099999999999997"/>
    <n v="7.1"/>
  </r>
  <r>
    <x v="10"/>
    <x v="25"/>
    <x v="9"/>
    <n v="22108"/>
    <n v="48422.65"/>
    <n v="6.41"/>
    <n v="3451.8"/>
    <n v="0.35299999999999998"/>
    <n v="6.7"/>
  </r>
  <r>
    <x v="10"/>
    <x v="26"/>
    <x v="15"/>
    <n v="30427"/>
    <n v="60927.82"/>
    <n v="6.6"/>
    <n v="4612.3"/>
    <n v="0.30399999999999999"/>
    <n v="6.7"/>
  </r>
  <r>
    <x v="10"/>
    <x v="27"/>
    <x v="4"/>
    <n v="26766"/>
    <n v="55771.16"/>
    <n v="6.65"/>
    <n v="4146.2"/>
    <n v="0.35699999999999998"/>
    <n v="5.3"/>
  </r>
  <r>
    <x v="10"/>
    <x v="28"/>
    <x v="8"/>
    <n v="20439"/>
    <n v="42927.12"/>
    <n v="6.38"/>
    <n v="3246.6"/>
    <n v="0.375"/>
    <n v="6.5"/>
  </r>
  <r>
    <x v="10"/>
    <x v="29"/>
    <x v="2"/>
    <n v="35492"/>
    <n v="81686.320000000007"/>
    <n v="6.2"/>
    <n v="5759.8"/>
    <n v="0.4"/>
    <n v="5.8"/>
  </r>
  <r>
    <x v="10"/>
    <x v="30"/>
    <x v="14"/>
    <n v="20298"/>
    <n v="43728.22"/>
    <n v="6.51"/>
    <n v="3193.4"/>
    <n v="0.33300000000000002"/>
    <n v="7.7"/>
  </r>
  <r>
    <x v="10"/>
    <x v="31"/>
    <x v="15"/>
    <n v="36418"/>
    <n v="75706.53"/>
    <n v="6.47"/>
    <n v="5825.2"/>
    <n v="0.52200000000000002"/>
    <n v="7.7"/>
  </r>
  <r>
    <x v="10"/>
    <x v="32"/>
    <x v="9"/>
    <n v="31887"/>
    <n v="72219.399999999994"/>
    <n v="6.25"/>
    <n v="5141.1000000000004"/>
    <n v="0.35299999999999998"/>
    <n v="6.4"/>
  </r>
  <r>
    <x v="10"/>
    <x v="33"/>
    <x v="3"/>
    <n v="27150"/>
    <n v="57413.29"/>
    <n v="6.48"/>
    <n v="4254.8999999999996"/>
    <n v="0.57899999999999996"/>
    <n v="7.1"/>
  </r>
  <r>
    <x v="10"/>
    <x v="34"/>
    <x v="11"/>
    <n v="28869"/>
    <n v="60699.3"/>
    <n v="6.74"/>
    <n v="4288.1000000000004"/>
    <n v="0.33300000000000002"/>
    <n v="6.8"/>
  </r>
  <r>
    <x v="10"/>
    <x v="35"/>
    <x v="9"/>
    <n v="31385"/>
    <n v="57548.26"/>
    <n v="6.52"/>
    <n v="4937.1000000000004"/>
    <n v="0.29399999999999998"/>
    <n v="7.5"/>
  </r>
  <r>
    <x v="11"/>
    <x v="0"/>
    <x v="13"/>
    <n v="29766"/>
    <n v="67144.25"/>
    <n v="6.43"/>
    <n v="4552.8999999999996"/>
    <n v="0.27300000000000002"/>
    <n v="6.4"/>
  </r>
  <r>
    <x v="11"/>
    <x v="1"/>
    <x v="15"/>
    <n v="33077"/>
    <n v="67575.16"/>
    <n v="6.29"/>
    <n v="5354.3"/>
    <n v="0.39100000000000001"/>
    <n v="7.4"/>
  </r>
  <r>
    <x v="11"/>
    <x v="2"/>
    <x v="22"/>
    <n v="43452"/>
    <n v="92897.18"/>
    <n v="6.32"/>
    <n v="6969.9"/>
    <n v="0.39300000000000002"/>
    <n v="7.6"/>
  </r>
  <r>
    <x v="11"/>
    <x v="3"/>
    <x v="6"/>
    <n v="25848"/>
    <n v="53607.1"/>
    <n v="6.68"/>
    <n v="3952.9"/>
    <n v="0.23799999999999999"/>
    <n v="6.2"/>
  </r>
  <r>
    <x v="11"/>
    <x v="4"/>
    <x v="2"/>
    <n v="32107"/>
    <n v="70804.63"/>
    <n v="6.58"/>
    <n v="4936.1000000000004"/>
    <n v="0.5"/>
    <n v="7.4"/>
  </r>
  <r>
    <x v="11"/>
    <x v="5"/>
    <x v="14"/>
    <n v="23241"/>
    <n v="50445.39"/>
    <n v="6.58"/>
    <n v="3514.1"/>
    <n v="0.46700000000000003"/>
    <n v="8.3000000000000007"/>
  </r>
  <r>
    <x v="11"/>
    <x v="6"/>
    <x v="12"/>
    <n v="20554"/>
    <n v="45220.27"/>
    <n v="6.79"/>
    <n v="3057.3"/>
    <n v="0.5"/>
    <n v="7.6"/>
  </r>
  <r>
    <x v="11"/>
    <x v="7"/>
    <x v="11"/>
    <n v="33387"/>
    <n v="72245.08"/>
    <n v="6.62"/>
    <n v="5057.8999999999996"/>
    <n v="0.58299999999999996"/>
    <n v="6.1"/>
  </r>
  <r>
    <x v="11"/>
    <x v="8"/>
    <x v="8"/>
    <n v="28647"/>
    <n v="59240.49"/>
    <n v="6.57"/>
    <n v="4340.5"/>
    <n v="0.375"/>
    <n v="6.7"/>
  </r>
  <r>
    <x v="11"/>
    <x v="9"/>
    <x v="3"/>
    <n v="28344"/>
    <n v="61186.73"/>
    <n v="6.35"/>
    <n v="4564.1000000000004"/>
    <n v="0.36799999999999999"/>
    <n v="7"/>
  </r>
  <r>
    <x v="11"/>
    <x v="10"/>
    <x v="8"/>
    <n v="26205"/>
    <n v="52919.8"/>
    <n v="6.5"/>
    <n v="4069.1"/>
    <n v="0.188"/>
    <n v="7.9"/>
  </r>
  <r>
    <x v="11"/>
    <x v="11"/>
    <x v="10"/>
    <n v="41337"/>
    <n v="87456.95"/>
    <n v="6.47"/>
    <n v="6416.4"/>
    <n v="0.40699999999999997"/>
    <n v="7.7"/>
  </r>
  <r>
    <x v="11"/>
    <x v="12"/>
    <x v="7"/>
    <n v="17984"/>
    <n v="39256.480000000003"/>
    <n v="6.53"/>
    <n v="2794.8"/>
    <n v="0.58299999999999996"/>
    <n v="6"/>
  </r>
  <r>
    <x v="11"/>
    <x v="13"/>
    <x v="6"/>
    <n v="31260"/>
    <n v="72551.09"/>
    <n v="6.31"/>
    <n v="5135.8999999999996"/>
    <n v="0.38100000000000001"/>
    <n v="7"/>
  </r>
  <r>
    <x v="11"/>
    <x v="14"/>
    <x v="11"/>
    <n v="40884"/>
    <n v="94016.36"/>
    <n v="6.6"/>
    <n v="6290.7"/>
    <n v="0.33300000000000002"/>
    <n v="6.2"/>
  </r>
  <r>
    <x v="11"/>
    <x v="15"/>
    <x v="8"/>
    <n v="27617"/>
    <n v="59552.21"/>
    <n v="6.3"/>
    <n v="4428.8999999999996"/>
    <n v="0.56200000000000006"/>
    <n v="7.3"/>
  </r>
  <r>
    <x v="11"/>
    <x v="16"/>
    <x v="6"/>
    <n v="28626"/>
    <n v="59351.72"/>
    <n v="6.58"/>
    <n v="4390.3"/>
    <n v="0.57099999999999995"/>
    <n v="7.4"/>
  </r>
  <r>
    <x v="11"/>
    <x v="17"/>
    <x v="17"/>
    <n v="37209"/>
    <n v="83349.240000000005"/>
    <n v="6.25"/>
    <n v="6066.4"/>
    <n v="0.44"/>
    <n v="7.4"/>
  </r>
  <r>
    <x v="11"/>
    <x v="18"/>
    <x v="12"/>
    <n v="24025"/>
    <n v="54350.11"/>
    <n v="6.6"/>
    <n v="3693.4"/>
    <n v="0.33300000000000002"/>
    <n v="7.5"/>
  </r>
  <r>
    <x v="11"/>
    <x v="19"/>
    <x v="3"/>
    <n v="29993"/>
    <n v="63100.51"/>
    <n v="6.54"/>
    <n v="4568.3"/>
    <n v="0.26300000000000001"/>
    <n v="6.9"/>
  </r>
  <r>
    <x v="11"/>
    <x v="20"/>
    <x v="2"/>
    <n v="28459"/>
    <n v="62424.72"/>
    <n v="6.55"/>
    <n v="4345.8999999999996"/>
    <n v="0.25"/>
    <n v="7"/>
  </r>
  <r>
    <x v="11"/>
    <x v="21"/>
    <x v="3"/>
    <n v="32989"/>
    <n v="71025.990000000005"/>
    <n v="6.31"/>
    <n v="5247.7"/>
    <n v="0.47399999999999998"/>
    <n v="7.8"/>
  </r>
  <r>
    <x v="11"/>
    <x v="22"/>
    <x v="11"/>
    <n v="31930"/>
    <n v="68391.09"/>
    <n v="6.46"/>
    <n v="4926.7"/>
    <n v="0.41699999999999998"/>
    <n v="7.2"/>
  </r>
  <r>
    <x v="11"/>
    <x v="23"/>
    <x v="15"/>
    <n v="29402"/>
    <n v="67209.7"/>
    <n v="6.62"/>
    <n v="4326.3999999999996"/>
    <n v="0.47799999999999998"/>
    <n v="7.3"/>
  </r>
  <r>
    <x v="11"/>
    <x v="24"/>
    <x v="3"/>
    <n v="22042"/>
    <n v="42219.69"/>
    <n v="6.5"/>
    <n v="3371.2"/>
    <n v="0.42099999999999999"/>
    <n v="7.3"/>
  </r>
  <r>
    <x v="11"/>
    <x v="25"/>
    <x v="2"/>
    <n v="28957"/>
    <n v="59184.3"/>
    <n v="6.62"/>
    <n v="4481.8999999999996"/>
    <n v="0.45"/>
    <n v="7.5"/>
  </r>
  <r>
    <x v="11"/>
    <x v="26"/>
    <x v="14"/>
    <n v="16958"/>
    <n v="33711.67"/>
    <n v="6.36"/>
    <n v="2643.3"/>
    <n v="0.53300000000000003"/>
    <n v="6.9"/>
  </r>
  <r>
    <x v="11"/>
    <x v="27"/>
    <x v="6"/>
    <n v="35858"/>
    <n v="76660.460000000006"/>
    <n v="6.45"/>
    <n v="5650.1"/>
    <n v="0.47599999999999998"/>
    <n v="8.5"/>
  </r>
  <r>
    <x v="11"/>
    <x v="28"/>
    <x v="12"/>
    <n v="25228"/>
    <n v="58044.42"/>
    <n v="6.65"/>
    <n v="3766.3"/>
    <n v="0.44400000000000001"/>
    <n v="6.4"/>
  </r>
  <r>
    <x v="11"/>
    <x v="29"/>
    <x v="13"/>
    <n v="29877"/>
    <n v="63590.57"/>
    <n v="6.38"/>
    <n v="4742.6000000000004"/>
    <n v="0.45500000000000002"/>
    <n v="6.6"/>
  </r>
  <r>
    <x v="11"/>
    <x v="30"/>
    <x v="7"/>
    <n v="14468"/>
    <n v="30413.599999999999"/>
    <n v="6.38"/>
    <n v="2235.3000000000002"/>
    <n v="0.58299999999999996"/>
    <n v="6.6"/>
  </r>
  <r>
    <x v="11"/>
    <x v="31"/>
    <x v="9"/>
    <n v="26132"/>
    <n v="54155.11"/>
    <n v="6.78"/>
    <n v="3855.1"/>
    <n v="0.35299999999999998"/>
    <n v="7.5"/>
  </r>
  <r>
    <x v="11"/>
    <x v="32"/>
    <x v="14"/>
    <n v="16716"/>
    <n v="36228.17"/>
    <n v="6.72"/>
    <n v="2479"/>
    <n v="0.46700000000000003"/>
    <n v="7.9"/>
  </r>
  <r>
    <x v="11"/>
    <x v="33"/>
    <x v="12"/>
    <n v="22883"/>
    <n v="46316.800000000003"/>
    <n v="6.56"/>
    <n v="3472.2"/>
    <n v="0.66700000000000004"/>
    <n v="6.5"/>
  </r>
  <r>
    <x v="11"/>
    <x v="34"/>
    <x v="14"/>
    <n v="16364"/>
    <n v="30880.6"/>
    <n v="6.49"/>
    <n v="2532"/>
    <n v="0.46700000000000003"/>
    <n v="6.2"/>
  </r>
  <r>
    <x v="11"/>
    <x v="35"/>
    <x v="11"/>
    <n v="31690"/>
    <n v="67698.22"/>
    <n v="6.5"/>
    <n v="4825.6000000000004"/>
    <n v="0.5"/>
    <n v="7.4"/>
  </r>
  <r>
    <x v="12"/>
    <x v="0"/>
    <x v="17"/>
    <n v="41730"/>
    <n v="90162.99"/>
    <n v="6.43"/>
    <n v="6487"/>
    <n v="0.28000000000000003"/>
    <n v="6.9"/>
  </r>
  <r>
    <x v="12"/>
    <x v="1"/>
    <x v="9"/>
    <n v="24069"/>
    <n v="50159.839999999997"/>
    <n v="6.55"/>
    <n v="3758.7"/>
    <n v="0.41199999999999998"/>
    <n v="7.1"/>
  </r>
  <r>
    <x v="12"/>
    <x v="2"/>
    <x v="2"/>
    <n v="22815"/>
    <n v="49097.84"/>
    <n v="6.26"/>
    <n v="3657.6"/>
    <n v="0.4"/>
    <n v="5.8"/>
  </r>
  <r>
    <x v="12"/>
    <x v="3"/>
    <x v="6"/>
    <n v="28761"/>
    <n v="63494.77"/>
    <n v="6.57"/>
    <n v="4424.3"/>
    <n v="0.57099999999999995"/>
    <n v="6.7"/>
  </r>
  <r>
    <x v="12"/>
    <x v="4"/>
    <x v="19"/>
    <n v="21735"/>
    <n v="45725.98"/>
    <n v="6.51"/>
    <n v="3417.8"/>
    <n v="0.3"/>
    <n v="6.4"/>
  </r>
  <r>
    <x v="12"/>
    <x v="5"/>
    <x v="2"/>
    <n v="33406"/>
    <n v="69324.210000000006"/>
    <n v="6.76"/>
    <n v="5023.8"/>
    <n v="0.7"/>
    <n v="7.7"/>
  </r>
  <r>
    <x v="12"/>
    <x v="6"/>
    <x v="3"/>
    <n v="26623"/>
    <n v="48800.6"/>
    <n v="6.47"/>
    <n v="4137.6000000000004"/>
    <n v="0.52600000000000002"/>
    <n v="7.7"/>
  </r>
  <r>
    <x v="12"/>
    <x v="7"/>
    <x v="17"/>
    <n v="37963"/>
    <n v="81911.89"/>
    <n v="6.51"/>
    <n v="5849.5"/>
    <n v="0.28000000000000003"/>
    <n v="5.7"/>
  </r>
  <r>
    <x v="12"/>
    <x v="8"/>
    <x v="8"/>
    <n v="20619"/>
    <n v="44688.800000000003"/>
    <n v="6.53"/>
    <n v="3175.1"/>
    <n v="0.312"/>
    <n v="7.6"/>
  </r>
  <r>
    <x v="12"/>
    <x v="9"/>
    <x v="15"/>
    <n v="46012"/>
    <n v="102518.83"/>
    <n v="6.45"/>
    <n v="7166"/>
    <n v="0.56499999999999995"/>
    <n v="7.4"/>
  </r>
  <r>
    <x v="12"/>
    <x v="10"/>
    <x v="6"/>
    <n v="39853"/>
    <n v="88717.86"/>
    <n v="6.39"/>
    <n v="6303.9"/>
    <n v="0.47599999999999998"/>
    <n v="6.7"/>
  </r>
  <r>
    <x v="12"/>
    <x v="11"/>
    <x v="2"/>
    <n v="34229"/>
    <n v="75447.350000000006"/>
    <n v="6.42"/>
    <n v="5291.2"/>
    <n v="0.45"/>
    <n v="6.6"/>
  </r>
  <r>
    <x v="12"/>
    <x v="12"/>
    <x v="15"/>
    <n v="33523"/>
    <n v="68015.92"/>
    <n v="6.64"/>
    <n v="5106.2"/>
    <n v="0.39100000000000001"/>
    <n v="7.1"/>
  </r>
  <r>
    <x v="12"/>
    <x v="13"/>
    <x v="12"/>
    <n v="21428"/>
    <n v="44647.9"/>
    <n v="6.36"/>
    <n v="3371.8"/>
    <n v="0.33300000000000002"/>
    <n v="7.4"/>
  </r>
  <r>
    <x v="12"/>
    <x v="14"/>
    <x v="0"/>
    <n v="38382"/>
    <n v="87003.26"/>
    <n v="6.76"/>
    <n v="5736.8"/>
    <n v="0.53800000000000003"/>
    <n v="7.3"/>
  </r>
  <r>
    <x v="12"/>
    <x v="15"/>
    <x v="9"/>
    <n v="23666"/>
    <n v="54546.78"/>
    <n v="6.3"/>
    <n v="3841.2"/>
    <n v="0.23499999999999999"/>
    <n v="6.6"/>
  </r>
  <r>
    <x v="12"/>
    <x v="16"/>
    <x v="9"/>
    <n v="23951"/>
    <n v="54491.57"/>
    <n v="6.51"/>
    <n v="3674.5"/>
    <n v="0.52900000000000003"/>
    <n v="7.2"/>
  </r>
  <r>
    <x v="12"/>
    <x v="17"/>
    <x v="12"/>
    <n v="19725"/>
    <n v="42083.040000000001"/>
    <n v="6.46"/>
    <n v="3160.9"/>
    <n v="0.33300000000000002"/>
    <n v="6.5"/>
  </r>
  <r>
    <x v="12"/>
    <x v="18"/>
    <x v="11"/>
    <n v="28986"/>
    <n v="64443.89"/>
    <n v="6.2"/>
    <n v="4650.8"/>
    <n v="0.625"/>
    <n v="6.6"/>
  </r>
  <r>
    <x v="12"/>
    <x v="19"/>
    <x v="19"/>
    <n v="15552"/>
    <n v="31663.61"/>
    <n v="6.26"/>
    <n v="2462.4"/>
    <n v="0.6"/>
    <n v="7.9"/>
  </r>
  <r>
    <x v="12"/>
    <x v="20"/>
    <x v="7"/>
    <n v="14367"/>
    <n v="28678.93"/>
    <n v="6.43"/>
    <n v="2268.6"/>
    <n v="0.33300000000000002"/>
    <n v="6.3"/>
  </r>
  <r>
    <x v="12"/>
    <x v="21"/>
    <x v="14"/>
    <n v="21295"/>
    <n v="49894.67"/>
    <n v="6.55"/>
    <n v="3262"/>
    <n v="0.26700000000000002"/>
    <n v="7.3"/>
  </r>
  <r>
    <x v="12"/>
    <x v="22"/>
    <x v="15"/>
    <n v="35498"/>
    <n v="75750.33"/>
    <n v="6.26"/>
    <n v="5730.7"/>
    <n v="0.26100000000000001"/>
    <n v="6.9"/>
  </r>
  <r>
    <x v="12"/>
    <x v="23"/>
    <x v="13"/>
    <n v="24676"/>
    <n v="51733.47"/>
    <n v="6.76"/>
    <n v="3666.9"/>
    <n v="0.5"/>
    <n v="6.3"/>
  </r>
  <r>
    <x v="12"/>
    <x v="24"/>
    <x v="12"/>
    <n v="25497"/>
    <n v="51336.31"/>
    <n v="6.56"/>
    <n v="3887.6"/>
    <n v="0.61099999999999999"/>
    <n v="7.5"/>
  </r>
  <r>
    <x v="12"/>
    <x v="25"/>
    <x v="2"/>
    <n v="21685"/>
    <n v="44463.16"/>
    <n v="6.67"/>
    <n v="3283"/>
    <n v="0.65"/>
    <n v="7.8"/>
  </r>
  <r>
    <x v="12"/>
    <x v="26"/>
    <x v="0"/>
    <n v="45810"/>
    <n v="103177.58"/>
    <n v="6.59"/>
    <n v="6994.7"/>
    <n v="0.38500000000000001"/>
    <n v="7.1"/>
  </r>
  <r>
    <x v="12"/>
    <x v="27"/>
    <x v="12"/>
    <n v="27901"/>
    <n v="62259.13"/>
    <n v="6.79"/>
    <n v="4114"/>
    <n v="0.33300000000000002"/>
    <n v="6.3"/>
  </r>
  <r>
    <x v="12"/>
    <x v="28"/>
    <x v="9"/>
    <n v="25976"/>
    <n v="54818.17"/>
    <n v="6.58"/>
    <n v="3963.3"/>
    <n v="0.41199999999999998"/>
    <n v="7.7"/>
  </r>
  <r>
    <x v="12"/>
    <x v="29"/>
    <x v="3"/>
    <n v="27852"/>
    <n v="61535.96"/>
    <n v="6.57"/>
    <n v="4250.8999999999996"/>
    <n v="0.36799999999999999"/>
    <n v="6.3"/>
  </r>
  <r>
    <x v="12"/>
    <x v="30"/>
    <x v="6"/>
    <n v="29918"/>
    <n v="67815.33"/>
    <n v="6.34"/>
    <n v="4736.8"/>
    <n v="0.38100000000000001"/>
    <n v="5.9"/>
  </r>
  <r>
    <x v="12"/>
    <x v="31"/>
    <x v="4"/>
    <n v="21192"/>
    <n v="48667.57"/>
    <n v="6.51"/>
    <n v="3191.9"/>
    <n v="0.35699999999999998"/>
    <n v="6.5"/>
  </r>
  <r>
    <x v="12"/>
    <x v="32"/>
    <x v="2"/>
    <n v="27504"/>
    <n v="65332.82"/>
    <n v="6.41"/>
    <n v="4380.6000000000004"/>
    <n v="0.3"/>
    <n v="6"/>
  </r>
  <r>
    <x v="12"/>
    <x v="33"/>
    <x v="12"/>
    <n v="22214"/>
    <n v="49696.11"/>
    <n v="6.45"/>
    <n v="3457.6"/>
    <n v="0.44400000000000001"/>
    <n v="7.3"/>
  </r>
  <r>
    <x v="12"/>
    <x v="34"/>
    <x v="9"/>
    <n v="24117"/>
    <n v="48364.05"/>
    <n v="6.38"/>
    <n v="3868.8"/>
    <n v="0.35299999999999998"/>
    <n v="6.4"/>
  </r>
  <r>
    <x v="12"/>
    <x v="35"/>
    <x v="6"/>
    <n v="26516"/>
    <n v="57680.160000000003"/>
    <n v="6.39"/>
    <n v="4151.1000000000004"/>
    <n v="0.47599999999999998"/>
    <n v="7.3"/>
  </r>
  <r>
    <x v="13"/>
    <x v="0"/>
    <x v="2"/>
    <n v="30167"/>
    <n v="71044.509999999995"/>
    <n v="6.69"/>
    <n v="4566.8999999999996"/>
    <n v="0.4"/>
    <n v="6.5"/>
  </r>
  <r>
    <x v="13"/>
    <x v="1"/>
    <x v="21"/>
    <n v="14700"/>
    <n v="28262.75"/>
    <n v="6.41"/>
    <n v="2265.9"/>
    <n v="0.54500000000000004"/>
    <n v="6.4"/>
  </r>
  <r>
    <x v="13"/>
    <x v="2"/>
    <x v="10"/>
    <n v="40641"/>
    <n v="87125.35"/>
    <n v="6.54"/>
    <n v="6245"/>
    <n v="0.44400000000000001"/>
    <n v="6.6"/>
  </r>
  <r>
    <x v="13"/>
    <x v="3"/>
    <x v="9"/>
    <n v="23843"/>
    <n v="53500.72"/>
    <n v="6.4"/>
    <n v="3774.3"/>
    <n v="0.23499999999999999"/>
    <n v="8"/>
  </r>
  <r>
    <x v="13"/>
    <x v="4"/>
    <x v="0"/>
    <n v="38455"/>
    <n v="86316.6"/>
    <n v="6.71"/>
    <n v="5805.9"/>
    <n v="0.46200000000000002"/>
    <n v="6.6"/>
  </r>
  <r>
    <x v="13"/>
    <x v="5"/>
    <x v="9"/>
    <n v="25745"/>
    <n v="56002.59"/>
    <n v="6.69"/>
    <n v="3872"/>
    <n v="0.47099999999999997"/>
    <n v="8.1"/>
  </r>
  <r>
    <x v="13"/>
    <x v="6"/>
    <x v="12"/>
    <n v="26460"/>
    <n v="58997.74"/>
    <n v="6.68"/>
    <n v="3998.8"/>
    <n v="0.5"/>
    <n v="6.4"/>
  </r>
  <r>
    <x v="13"/>
    <x v="7"/>
    <x v="11"/>
    <n v="31643"/>
    <n v="72993.490000000005"/>
    <n v="6.41"/>
    <n v="5001.6000000000004"/>
    <n v="0.5"/>
    <n v="6.7"/>
  </r>
  <r>
    <x v="13"/>
    <x v="8"/>
    <x v="13"/>
    <n v="24613"/>
    <n v="51084.13"/>
    <n v="6.61"/>
    <n v="3742.8"/>
    <n v="0.45500000000000002"/>
    <n v="7.6"/>
  </r>
  <r>
    <x v="13"/>
    <x v="9"/>
    <x v="4"/>
    <n v="23483"/>
    <n v="51584.53"/>
    <n v="6.14"/>
    <n v="3896.3"/>
    <n v="0.42899999999999999"/>
    <n v="8.1999999999999993"/>
  </r>
  <r>
    <x v="13"/>
    <x v="10"/>
    <x v="11"/>
    <n v="24597"/>
    <n v="52370.29"/>
    <n v="6.45"/>
    <n v="3771"/>
    <n v="0.54200000000000004"/>
    <n v="7.1"/>
  </r>
  <r>
    <x v="13"/>
    <x v="11"/>
    <x v="2"/>
    <n v="33853"/>
    <n v="79541.53"/>
    <n v="6.35"/>
    <n v="5375.4"/>
    <n v="0.35"/>
    <n v="7.1"/>
  </r>
  <r>
    <x v="13"/>
    <x v="12"/>
    <x v="14"/>
    <n v="24783"/>
    <n v="51630.26"/>
    <n v="6.42"/>
    <n v="3829.1"/>
    <n v="0.4"/>
    <n v="6.3"/>
  </r>
  <r>
    <x v="13"/>
    <x v="13"/>
    <x v="9"/>
    <n v="16474"/>
    <n v="33446.559999999998"/>
    <n v="6.6"/>
    <n v="2528.9"/>
    <n v="0.47099999999999997"/>
    <n v="8"/>
  </r>
  <r>
    <x v="13"/>
    <x v="14"/>
    <x v="14"/>
    <n v="23050"/>
    <n v="45204.98"/>
    <n v="6.39"/>
    <n v="3577.4"/>
    <n v="0.46700000000000003"/>
    <n v="7.1"/>
  </r>
  <r>
    <x v="13"/>
    <x v="15"/>
    <x v="9"/>
    <n v="22124"/>
    <n v="52147.96"/>
    <n v="6.14"/>
    <n v="3568.1"/>
    <n v="0.47099999999999997"/>
    <n v="7.4"/>
  </r>
  <r>
    <x v="13"/>
    <x v="16"/>
    <x v="13"/>
    <n v="28937"/>
    <n v="59349.74"/>
    <n v="6.59"/>
    <n v="4374.2"/>
    <n v="0.59099999999999997"/>
    <n v="6.9"/>
  </r>
  <r>
    <x v="13"/>
    <x v="17"/>
    <x v="10"/>
    <n v="47073"/>
    <n v="97848.46"/>
    <n v="6.58"/>
    <n v="7122"/>
    <n v="0.51900000000000002"/>
    <n v="7.3"/>
  </r>
  <r>
    <x v="13"/>
    <x v="18"/>
    <x v="14"/>
    <n v="18968"/>
    <n v="44655.56"/>
    <n v="6.46"/>
    <n v="3020.2"/>
    <n v="0.4"/>
    <n v="6.9"/>
  </r>
  <r>
    <x v="13"/>
    <x v="19"/>
    <x v="2"/>
    <n v="30629"/>
    <n v="66568.240000000005"/>
    <n v="6.72"/>
    <n v="4539.5"/>
    <n v="0.45"/>
    <n v="7.4"/>
  </r>
  <r>
    <x v="13"/>
    <x v="20"/>
    <x v="2"/>
    <n v="29507"/>
    <n v="67059.100000000006"/>
    <n v="6.66"/>
    <n v="4455.3999999999996"/>
    <n v="0.35"/>
    <n v="6.6"/>
  </r>
  <r>
    <x v="13"/>
    <x v="21"/>
    <x v="3"/>
    <n v="31025"/>
    <n v="68824.47"/>
    <n v="6.37"/>
    <n v="4832.8999999999996"/>
    <n v="0.52600000000000002"/>
    <n v="6.6"/>
  </r>
  <r>
    <x v="13"/>
    <x v="22"/>
    <x v="4"/>
    <n v="25748"/>
    <n v="56767.08"/>
    <n v="6.22"/>
    <n v="4128.1000000000004"/>
    <n v="0.64300000000000002"/>
    <n v="6.5"/>
  </r>
  <r>
    <x v="13"/>
    <x v="23"/>
    <x v="13"/>
    <n v="30245"/>
    <n v="65736.38"/>
    <n v="6.38"/>
    <n v="4764.1000000000004"/>
    <n v="0.40899999999999997"/>
    <n v="6.4"/>
  </r>
  <r>
    <x v="13"/>
    <x v="24"/>
    <x v="22"/>
    <n v="50837"/>
    <n v="104855.72"/>
    <n v="6.46"/>
    <n v="7967.7"/>
    <n v="0.39300000000000002"/>
    <n v="7.8"/>
  </r>
  <r>
    <x v="13"/>
    <x v="25"/>
    <x v="12"/>
    <n v="21684"/>
    <n v="45517.61"/>
    <n v="6.42"/>
    <n v="3492.8"/>
    <n v="0.27800000000000002"/>
    <n v="7.7"/>
  </r>
  <r>
    <x v="13"/>
    <x v="26"/>
    <x v="11"/>
    <n v="26633"/>
    <n v="60750"/>
    <n v="6.4"/>
    <n v="4132.3"/>
    <n v="0.41699999999999998"/>
    <n v="6.9"/>
  </r>
  <r>
    <x v="13"/>
    <x v="27"/>
    <x v="15"/>
    <n v="39148"/>
    <n v="87033.42"/>
    <n v="6.43"/>
    <n v="6162.8"/>
    <n v="0.34799999999999998"/>
    <n v="7.2"/>
  </r>
  <r>
    <x v="13"/>
    <x v="28"/>
    <x v="15"/>
    <n v="37417"/>
    <n v="80155.94"/>
    <n v="6.47"/>
    <n v="5861.1"/>
    <n v="0.435"/>
    <n v="7.6"/>
  </r>
  <r>
    <x v="13"/>
    <x v="29"/>
    <x v="12"/>
    <n v="27486"/>
    <n v="59100.3"/>
    <n v="6.54"/>
    <n v="4267.1000000000004"/>
    <n v="0.33300000000000002"/>
    <n v="8.6"/>
  </r>
  <r>
    <x v="13"/>
    <x v="30"/>
    <x v="6"/>
    <n v="29909"/>
    <n v="62553.98"/>
    <n v="6.5"/>
    <n v="4611.3"/>
    <n v="0.52400000000000002"/>
    <n v="5.8"/>
  </r>
  <r>
    <x v="13"/>
    <x v="31"/>
    <x v="9"/>
    <n v="21906"/>
    <n v="50151.25"/>
    <n v="6.39"/>
    <n v="3477.5"/>
    <n v="0.41199999999999998"/>
    <n v="7.7"/>
  </r>
  <r>
    <x v="13"/>
    <x v="32"/>
    <x v="8"/>
    <n v="23976"/>
    <n v="56859.1"/>
    <n v="6.66"/>
    <n v="3669.6"/>
    <n v="0.56200000000000006"/>
    <n v="7.4"/>
  </r>
  <r>
    <x v="13"/>
    <x v="33"/>
    <x v="17"/>
    <n v="40400"/>
    <n v="88223.88"/>
    <n v="6.55"/>
    <n v="6290.2"/>
    <n v="0.52"/>
    <n v="6.5"/>
  </r>
  <r>
    <x v="13"/>
    <x v="34"/>
    <x v="6"/>
    <n v="34232"/>
    <n v="76679.55"/>
    <n v="6.46"/>
    <n v="5338.1"/>
    <n v="0.61899999999999999"/>
    <n v="7.7"/>
  </r>
  <r>
    <x v="13"/>
    <x v="35"/>
    <x v="14"/>
    <n v="22240"/>
    <n v="48631.11"/>
    <n v="6.76"/>
    <n v="3352.8"/>
    <n v="0.33300000000000002"/>
    <n v="6.1"/>
  </r>
  <r>
    <x v="14"/>
    <x v="0"/>
    <x v="14"/>
    <n v="17802"/>
    <n v="39663.56"/>
    <n v="6.74"/>
    <n v="2685.5"/>
    <n v="0.4"/>
    <n v="8.1"/>
  </r>
  <r>
    <x v="14"/>
    <x v="1"/>
    <x v="3"/>
    <n v="29814"/>
    <n v="61524.160000000003"/>
    <n v="6.59"/>
    <n v="4549.6000000000004"/>
    <n v="0.42099999999999999"/>
    <n v="7.5"/>
  </r>
  <r>
    <x v="14"/>
    <x v="2"/>
    <x v="3"/>
    <n v="26557"/>
    <n v="54634.47"/>
    <n v="6.39"/>
    <n v="4188.3"/>
    <n v="0.63200000000000001"/>
    <n v="7.9"/>
  </r>
  <r>
    <x v="14"/>
    <x v="3"/>
    <x v="4"/>
    <n v="21970"/>
    <n v="49846.89"/>
    <n v="6.47"/>
    <n v="3445.2"/>
    <n v="0.5"/>
    <n v="7.4"/>
  </r>
  <r>
    <x v="14"/>
    <x v="4"/>
    <x v="10"/>
    <n v="43302"/>
    <n v="96016.48"/>
    <n v="6.36"/>
    <n v="6925.1"/>
    <n v="0.40699999999999997"/>
    <n v="7.9"/>
  </r>
  <r>
    <x v="14"/>
    <x v="5"/>
    <x v="6"/>
    <n v="32197"/>
    <n v="72195.31"/>
    <n v="6.42"/>
    <n v="5016.3999999999996"/>
    <n v="0.52400000000000002"/>
    <n v="7.1"/>
  </r>
  <r>
    <x v="14"/>
    <x v="6"/>
    <x v="5"/>
    <n v="19124"/>
    <n v="44656.22"/>
    <n v="6.47"/>
    <n v="2945.7"/>
    <n v="0.53800000000000003"/>
    <n v="7.8"/>
  </r>
  <r>
    <x v="14"/>
    <x v="7"/>
    <x v="3"/>
    <n v="26628"/>
    <n v="56447.59"/>
    <n v="6.41"/>
    <n v="4216.8999999999996"/>
    <n v="0.36799999999999999"/>
    <n v="6.9"/>
  </r>
  <r>
    <x v="14"/>
    <x v="8"/>
    <x v="5"/>
    <n v="18199"/>
    <n v="35927.620000000003"/>
    <n v="6.49"/>
    <n v="2822.2"/>
    <n v="0.46200000000000002"/>
    <n v="6.5"/>
  </r>
  <r>
    <x v="14"/>
    <x v="9"/>
    <x v="7"/>
    <n v="19609"/>
    <n v="43107.16"/>
    <n v="6.26"/>
    <n v="3138.9"/>
    <n v="0.25"/>
    <n v="7.6"/>
  </r>
  <r>
    <x v="14"/>
    <x v="10"/>
    <x v="14"/>
    <n v="22124"/>
    <n v="49211.33"/>
    <n v="6.36"/>
    <n v="3491.5"/>
    <n v="0.4"/>
    <n v="8"/>
  </r>
  <r>
    <x v="14"/>
    <x v="11"/>
    <x v="18"/>
    <n v="46228"/>
    <n v="102164.17"/>
    <n v="6.63"/>
    <n v="7088.7"/>
    <n v="0.438"/>
    <n v="7.5"/>
  </r>
  <r>
    <x v="14"/>
    <x v="12"/>
    <x v="8"/>
    <n v="22311"/>
    <n v="38855.24"/>
    <n v="6.32"/>
    <n v="3556.1"/>
    <n v="0.375"/>
    <n v="5.8"/>
  </r>
  <r>
    <x v="14"/>
    <x v="13"/>
    <x v="5"/>
    <n v="23752"/>
    <n v="52788.74"/>
    <n v="6.52"/>
    <n v="3683.8"/>
    <n v="0.308"/>
    <n v="7.9"/>
  </r>
  <r>
    <x v="14"/>
    <x v="14"/>
    <x v="3"/>
    <n v="23226"/>
    <n v="50803.12"/>
    <n v="6.55"/>
    <n v="3532.2"/>
    <n v="0.42099999999999999"/>
    <n v="7.7"/>
  </r>
  <r>
    <x v="14"/>
    <x v="15"/>
    <x v="8"/>
    <n v="23485"/>
    <n v="48559.66"/>
    <n v="6.37"/>
    <n v="3715.9"/>
    <n v="0.68799999999999994"/>
    <n v="6.2"/>
  </r>
  <r>
    <x v="14"/>
    <x v="16"/>
    <x v="12"/>
    <n v="29875"/>
    <n v="63024.3"/>
    <n v="6.31"/>
    <n v="4841.6000000000004"/>
    <n v="0.5"/>
    <n v="6.9"/>
  </r>
  <r>
    <x v="14"/>
    <x v="17"/>
    <x v="9"/>
    <n v="26947"/>
    <n v="59850.96"/>
    <n v="6.62"/>
    <n v="4022.5"/>
    <n v="0.35299999999999998"/>
    <n v="7.2"/>
  </r>
  <r>
    <x v="14"/>
    <x v="18"/>
    <x v="21"/>
    <n v="9864"/>
    <n v="21466.3"/>
    <n v="6.42"/>
    <n v="1510.2"/>
    <n v="0.36399999999999999"/>
    <n v="8.8000000000000007"/>
  </r>
  <r>
    <x v="14"/>
    <x v="19"/>
    <x v="4"/>
    <n v="18265"/>
    <n v="34975.339999999997"/>
    <n v="6.41"/>
    <n v="2944.6"/>
    <n v="0.5"/>
    <n v="7"/>
  </r>
  <r>
    <x v="14"/>
    <x v="20"/>
    <x v="9"/>
    <n v="20424"/>
    <n v="42247.81"/>
    <n v="6.47"/>
    <n v="3173.1"/>
    <n v="0.64700000000000002"/>
    <n v="7.8"/>
  </r>
  <r>
    <x v="14"/>
    <x v="21"/>
    <x v="2"/>
    <n v="29624"/>
    <n v="63360.78"/>
    <n v="6.49"/>
    <n v="4582.2"/>
    <n v="0.2"/>
    <n v="7.7"/>
  </r>
  <r>
    <x v="14"/>
    <x v="22"/>
    <x v="21"/>
    <n v="15036"/>
    <n v="36776.050000000003"/>
    <n v="6.56"/>
    <n v="2331.8000000000002"/>
    <n v="0.63600000000000001"/>
    <n v="6.4"/>
  </r>
  <r>
    <x v="14"/>
    <x v="23"/>
    <x v="11"/>
    <n v="36319"/>
    <n v="71380.070000000007"/>
    <n v="6.54"/>
    <n v="5577.5"/>
    <n v="0.33300000000000002"/>
    <n v="7.6"/>
  </r>
  <r>
    <x v="14"/>
    <x v="24"/>
    <x v="9"/>
    <n v="21905"/>
    <n v="49481.02"/>
    <n v="6.55"/>
    <n v="3435.8"/>
    <n v="0.47099999999999997"/>
    <n v="7.7"/>
  </r>
  <r>
    <x v="14"/>
    <x v="25"/>
    <x v="2"/>
    <n v="23780"/>
    <n v="53550.83"/>
    <n v="6.61"/>
    <n v="3676.8"/>
    <n v="0.55000000000000004"/>
    <n v="6.5"/>
  </r>
  <r>
    <x v="14"/>
    <x v="26"/>
    <x v="9"/>
    <n v="23001"/>
    <n v="48699.91"/>
    <n v="6.74"/>
    <n v="3404.7"/>
    <n v="0.47099999999999997"/>
    <n v="6.9"/>
  </r>
  <r>
    <x v="14"/>
    <x v="27"/>
    <x v="17"/>
    <n v="36302"/>
    <n v="78901.55"/>
    <n v="6.52"/>
    <n v="5742.8"/>
    <n v="0.36"/>
    <n v="7.9"/>
  </r>
  <r>
    <x v="14"/>
    <x v="28"/>
    <x v="10"/>
    <n v="35455"/>
    <n v="76033.55"/>
    <n v="6.72"/>
    <n v="5288.4"/>
    <n v="0.40699999999999997"/>
    <n v="6.4"/>
  </r>
  <r>
    <x v="14"/>
    <x v="29"/>
    <x v="8"/>
    <n v="23990"/>
    <n v="51733.96"/>
    <n v="6.62"/>
    <n v="3746.3"/>
    <n v="0.375"/>
    <n v="6.5"/>
  </r>
  <r>
    <x v="14"/>
    <x v="30"/>
    <x v="9"/>
    <n v="30902"/>
    <n v="63050.36"/>
    <n v="6.6"/>
    <n v="4743.7"/>
    <n v="0.58799999999999997"/>
    <n v="7.4"/>
  </r>
  <r>
    <x v="14"/>
    <x v="31"/>
    <x v="3"/>
    <n v="21690"/>
    <n v="43872.54"/>
    <n v="6.68"/>
    <n v="3248.9"/>
    <n v="0.63200000000000001"/>
    <n v="7.9"/>
  </r>
  <r>
    <x v="14"/>
    <x v="32"/>
    <x v="13"/>
    <n v="38143"/>
    <n v="79616.62"/>
    <n v="6.39"/>
    <n v="5987.3"/>
    <n v="0.40899999999999997"/>
    <n v="7.8"/>
  </r>
  <r>
    <x v="14"/>
    <x v="33"/>
    <x v="6"/>
    <n v="23725"/>
    <n v="48250.98"/>
    <n v="6.69"/>
    <n v="3484.2"/>
    <n v="0.47599999999999998"/>
    <n v="6.9"/>
  </r>
  <r>
    <x v="14"/>
    <x v="34"/>
    <x v="4"/>
    <n v="19467"/>
    <n v="43611.99"/>
    <n v="6.51"/>
    <n v="3058.7"/>
    <n v="0.35699999999999998"/>
    <n v="7.8"/>
  </r>
  <r>
    <x v="14"/>
    <x v="35"/>
    <x v="13"/>
    <n v="31686"/>
    <n v="71974.39"/>
    <n v="6.6"/>
    <n v="4888.8999999999996"/>
    <n v="0.72699999999999998"/>
    <n v="7.7"/>
  </r>
  <r>
    <x v="15"/>
    <x v="0"/>
    <x v="14"/>
    <n v="21140"/>
    <n v="45453.13"/>
    <n v="6.55"/>
    <n v="3319.2"/>
    <n v="0.4"/>
    <n v="8"/>
  </r>
  <r>
    <x v="15"/>
    <x v="1"/>
    <x v="12"/>
    <n v="24665"/>
    <n v="52270.44"/>
    <n v="6.52"/>
    <n v="3812.4"/>
    <n v="0.55600000000000005"/>
    <n v="7.1"/>
  </r>
  <r>
    <x v="15"/>
    <x v="2"/>
    <x v="12"/>
    <n v="27733"/>
    <n v="61565.78"/>
    <n v="6.45"/>
    <n v="4382"/>
    <n v="0.55600000000000005"/>
    <n v="5.0999999999999996"/>
  </r>
  <r>
    <x v="15"/>
    <x v="3"/>
    <x v="12"/>
    <n v="16526"/>
    <n v="35617.81"/>
    <n v="6.56"/>
    <n v="2499.5"/>
    <n v="0.55600000000000005"/>
    <n v="7.5"/>
  </r>
  <r>
    <x v="15"/>
    <x v="4"/>
    <x v="3"/>
    <n v="25699"/>
    <n v="57584.74"/>
    <n v="6.42"/>
    <n v="4084.5"/>
    <n v="0.68400000000000005"/>
    <n v="7.2"/>
  </r>
  <r>
    <x v="15"/>
    <x v="5"/>
    <x v="7"/>
    <n v="14119"/>
    <n v="29963.47"/>
    <n v="6.63"/>
    <n v="2144.6"/>
    <n v="0.41699999999999998"/>
    <n v="8.5"/>
  </r>
  <r>
    <x v="15"/>
    <x v="6"/>
    <x v="12"/>
    <n v="28493"/>
    <n v="61634.41"/>
    <n v="6.25"/>
    <n v="4616"/>
    <n v="0.5"/>
    <n v="6.5"/>
  </r>
  <r>
    <x v="15"/>
    <x v="7"/>
    <x v="2"/>
    <n v="32804"/>
    <n v="72407.320000000007"/>
    <n v="6.41"/>
    <n v="5166.3999999999996"/>
    <n v="0.7"/>
    <n v="7.1"/>
  </r>
  <r>
    <x v="15"/>
    <x v="8"/>
    <x v="22"/>
    <n v="45714"/>
    <n v="106386.72"/>
    <n v="6.36"/>
    <n v="7192"/>
    <n v="0.46400000000000002"/>
    <n v="6.7"/>
  </r>
  <r>
    <x v="15"/>
    <x v="9"/>
    <x v="3"/>
    <n v="22032"/>
    <n v="42106.97"/>
    <n v="6.54"/>
    <n v="3306.9"/>
    <n v="0.21099999999999999"/>
    <n v="6.7"/>
  </r>
  <r>
    <x v="15"/>
    <x v="10"/>
    <x v="2"/>
    <n v="31990"/>
    <n v="71887.490000000005"/>
    <n v="6.64"/>
    <n v="4859.1000000000004"/>
    <n v="0.4"/>
    <n v="7.1"/>
  </r>
  <r>
    <x v="15"/>
    <x v="11"/>
    <x v="3"/>
    <n v="18857"/>
    <n v="38263"/>
    <n v="6.5"/>
    <n v="2944.9"/>
    <n v="0.26300000000000001"/>
    <n v="6.1"/>
  </r>
  <r>
    <x v="15"/>
    <x v="12"/>
    <x v="21"/>
    <n v="17670"/>
    <n v="37659.81"/>
    <n v="6.46"/>
    <n v="2719.6"/>
    <n v="0.182"/>
    <n v="7.1"/>
  </r>
  <r>
    <x v="15"/>
    <x v="13"/>
    <x v="12"/>
    <n v="18235"/>
    <n v="36592.67"/>
    <n v="6.51"/>
    <n v="2852.6"/>
    <n v="0.27800000000000002"/>
    <n v="6.7"/>
  </r>
  <r>
    <x v="15"/>
    <x v="14"/>
    <x v="8"/>
    <n v="18254"/>
    <n v="42680.66"/>
    <n v="6.48"/>
    <n v="2799.8"/>
    <n v="0.312"/>
    <n v="7.4"/>
  </r>
  <r>
    <x v="15"/>
    <x v="15"/>
    <x v="6"/>
    <n v="27271"/>
    <n v="58532.95"/>
    <n v="6.67"/>
    <n v="4095.7"/>
    <n v="0.42899999999999999"/>
    <n v="7.1"/>
  </r>
  <r>
    <x v="15"/>
    <x v="16"/>
    <x v="2"/>
    <n v="22743"/>
    <n v="51588.82"/>
    <n v="6.39"/>
    <n v="3627"/>
    <n v="0.35"/>
    <n v="7.6"/>
  </r>
  <r>
    <x v="15"/>
    <x v="17"/>
    <x v="2"/>
    <n v="22451"/>
    <n v="47276.3"/>
    <n v="6.56"/>
    <n v="3481.6"/>
    <n v="0.35"/>
    <n v="7.1"/>
  </r>
  <r>
    <x v="15"/>
    <x v="18"/>
    <x v="17"/>
    <n v="38312"/>
    <n v="79972.100000000006"/>
    <n v="6.48"/>
    <n v="6036.8"/>
    <n v="0.4"/>
    <n v="6.6"/>
  </r>
  <r>
    <x v="15"/>
    <x v="19"/>
    <x v="11"/>
    <n v="44588"/>
    <n v="95126.1"/>
    <n v="6.61"/>
    <n v="6832.8"/>
    <n v="0.58299999999999996"/>
    <n v="7.8"/>
  </r>
  <r>
    <x v="15"/>
    <x v="20"/>
    <x v="4"/>
    <n v="17851"/>
    <n v="39974.89"/>
    <n v="6.74"/>
    <n v="2696.6"/>
    <n v="0.71399999999999997"/>
    <n v="7.7"/>
  </r>
  <r>
    <x v="15"/>
    <x v="21"/>
    <x v="12"/>
    <n v="19501"/>
    <n v="41588.959999999999"/>
    <n v="6.26"/>
    <n v="3135.3"/>
    <n v="0.27800000000000002"/>
    <n v="7.1"/>
  </r>
  <r>
    <x v="15"/>
    <x v="22"/>
    <x v="12"/>
    <n v="26879"/>
    <n v="55411.58"/>
    <n v="6.47"/>
    <n v="4197.6000000000004"/>
    <n v="0.27800000000000002"/>
    <n v="6.5"/>
  </r>
  <r>
    <x v="15"/>
    <x v="23"/>
    <x v="7"/>
    <n v="20851"/>
    <n v="47997.68"/>
    <n v="6.46"/>
    <n v="3239.8"/>
    <n v="0.5"/>
    <n v="7"/>
  </r>
  <r>
    <x v="15"/>
    <x v="24"/>
    <x v="13"/>
    <n v="34515"/>
    <n v="70923.38"/>
    <n v="6.37"/>
    <n v="5516.9"/>
    <n v="0.36399999999999999"/>
    <n v="7.9"/>
  </r>
  <r>
    <x v="15"/>
    <x v="25"/>
    <x v="5"/>
    <n v="19370"/>
    <n v="41256.17"/>
    <n v="6.47"/>
    <n v="3059.9"/>
    <n v="0.38500000000000001"/>
    <n v="8.3000000000000007"/>
  </r>
  <r>
    <x v="15"/>
    <x v="26"/>
    <x v="9"/>
    <n v="25875"/>
    <n v="57245.29"/>
    <n v="6.69"/>
    <n v="3924.1"/>
    <n v="0.47099999999999997"/>
    <n v="5.8"/>
  </r>
  <r>
    <x v="15"/>
    <x v="27"/>
    <x v="4"/>
    <n v="23610"/>
    <n v="54420.93"/>
    <n v="6.49"/>
    <n v="3679.2"/>
    <n v="0.28599999999999998"/>
    <n v="7.2"/>
  </r>
  <r>
    <x v="15"/>
    <x v="28"/>
    <x v="6"/>
    <n v="36068"/>
    <n v="77124.12"/>
    <n v="6.29"/>
    <n v="5768.8"/>
    <n v="0.38100000000000001"/>
    <n v="7.4"/>
  </r>
  <r>
    <x v="15"/>
    <x v="29"/>
    <x v="8"/>
    <n v="23371"/>
    <n v="48653.73"/>
    <n v="6.66"/>
    <n v="3570"/>
    <n v="0.438"/>
    <n v="6.5"/>
  </r>
  <r>
    <x v="15"/>
    <x v="30"/>
    <x v="3"/>
    <n v="27610"/>
    <n v="60649.83"/>
    <n v="6.57"/>
    <n v="4276.1000000000004"/>
    <n v="0.42099999999999999"/>
    <n v="5.6"/>
  </r>
  <r>
    <x v="15"/>
    <x v="31"/>
    <x v="14"/>
    <n v="23279"/>
    <n v="50775.83"/>
    <n v="6.62"/>
    <n v="3506.3"/>
    <n v="0.46700000000000003"/>
    <n v="6.4"/>
  </r>
  <r>
    <x v="15"/>
    <x v="32"/>
    <x v="9"/>
    <n v="23198"/>
    <n v="50112.38"/>
    <n v="6.17"/>
    <n v="3824.2"/>
    <n v="0.47099999999999997"/>
    <n v="8"/>
  </r>
  <r>
    <x v="15"/>
    <x v="33"/>
    <x v="12"/>
    <n v="22325"/>
    <n v="47395.95"/>
    <n v="6.29"/>
    <n v="3632.4"/>
    <n v="0.55600000000000005"/>
    <n v="7.9"/>
  </r>
  <r>
    <x v="15"/>
    <x v="34"/>
    <x v="11"/>
    <n v="33936"/>
    <n v="73727.06"/>
    <n v="6.66"/>
    <n v="5126.5"/>
    <n v="0.54200000000000004"/>
    <n v="7.3"/>
  </r>
  <r>
    <x v="15"/>
    <x v="35"/>
    <x v="13"/>
    <n v="33862"/>
    <n v="76179.38"/>
    <n v="6.52"/>
    <n v="5189"/>
    <n v="0.45500000000000002"/>
    <n v="6.9"/>
  </r>
  <r>
    <x v="16"/>
    <x v="0"/>
    <x v="17"/>
    <n v="35862"/>
    <n v="82028.92"/>
    <n v="6.48"/>
    <n v="5528.7"/>
    <n v="0.48"/>
    <n v="6.2"/>
  </r>
  <r>
    <x v="16"/>
    <x v="1"/>
    <x v="7"/>
    <n v="13290"/>
    <n v="32794.42"/>
    <n v="6.45"/>
    <n v="2065.1"/>
    <n v="0.41699999999999998"/>
    <n v="8.5"/>
  </r>
  <r>
    <x v="16"/>
    <x v="2"/>
    <x v="2"/>
    <n v="24607"/>
    <n v="55103.6"/>
    <n v="6.57"/>
    <n v="3757"/>
    <n v="0.35"/>
    <n v="7.4"/>
  </r>
  <r>
    <x v="16"/>
    <x v="3"/>
    <x v="3"/>
    <n v="25281"/>
    <n v="59091.35"/>
    <n v="6.62"/>
    <n v="3788.4"/>
    <n v="0.26300000000000001"/>
    <n v="6.8"/>
  </r>
  <r>
    <x v="16"/>
    <x v="4"/>
    <x v="22"/>
    <n v="37093"/>
    <n v="85848.08"/>
    <n v="6.49"/>
    <n v="5801.2"/>
    <n v="0.39300000000000002"/>
    <n v="7.5"/>
  </r>
  <r>
    <x v="16"/>
    <x v="5"/>
    <x v="12"/>
    <n v="35065"/>
    <n v="74279.48"/>
    <n v="6.35"/>
    <n v="5511.9"/>
    <n v="0.38900000000000001"/>
    <n v="7.3"/>
  </r>
  <r>
    <x v="16"/>
    <x v="6"/>
    <x v="10"/>
    <n v="35882"/>
    <n v="76367.399999999994"/>
    <n v="6.51"/>
    <n v="5602.4"/>
    <n v="0.40699999999999997"/>
    <n v="6.9"/>
  </r>
  <r>
    <x v="16"/>
    <x v="7"/>
    <x v="23"/>
    <n v="44549"/>
    <n v="94378.83"/>
    <n v="6.4"/>
    <n v="7063.7"/>
    <n v="0.4"/>
    <n v="6.4"/>
  </r>
  <r>
    <x v="16"/>
    <x v="8"/>
    <x v="0"/>
    <n v="37793"/>
    <n v="78459.23"/>
    <n v="6.47"/>
    <n v="5887.9"/>
    <n v="0.53800000000000003"/>
    <n v="8"/>
  </r>
  <r>
    <x v="16"/>
    <x v="9"/>
    <x v="13"/>
    <n v="32968"/>
    <n v="67420.710000000006"/>
    <n v="6.55"/>
    <n v="5045.3999999999996"/>
    <n v="0.59099999999999997"/>
    <n v="7.1"/>
  </r>
  <r>
    <x v="16"/>
    <x v="10"/>
    <x v="17"/>
    <n v="32415"/>
    <n v="66135.98"/>
    <n v="6.49"/>
    <n v="4989"/>
    <n v="0.52"/>
    <n v="6.7"/>
  </r>
  <r>
    <x v="16"/>
    <x v="11"/>
    <x v="5"/>
    <n v="19352"/>
    <n v="41035.910000000003"/>
    <n v="6.33"/>
    <n v="3095.2"/>
    <n v="0.46200000000000002"/>
    <n v="6.8"/>
  </r>
  <r>
    <x v="16"/>
    <x v="12"/>
    <x v="3"/>
    <n v="30593"/>
    <n v="64236.01"/>
    <n v="6.59"/>
    <n v="4671.5"/>
    <n v="0.26300000000000001"/>
    <n v="8"/>
  </r>
  <r>
    <x v="16"/>
    <x v="13"/>
    <x v="13"/>
    <n v="37360"/>
    <n v="78401.39"/>
    <n v="6.51"/>
    <n v="5793.7"/>
    <n v="0.36399999999999999"/>
    <n v="6.2"/>
  </r>
  <r>
    <x v="16"/>
    <x v="14"/>
    <x v="13"/>
    <n v="35242"/>
    <n v="76522.720000000001"/>
    <n v="6.35"/>
    <n v="5617.2"/>
    <n v="0.63600000000000001"/>
    <n v="6.6"/>
  </r>
  <r>
    <x v="16"/>
    <x v="15"/>
    <x v="3"/>
    <n v="32157"/>
    <n v="68871.429999999993"/>
    <n v="6.22"/>
    <n v="5181"/>
    <n v="0.36799999999999999"/>
    <n v="8.5"/>
  </r>
  <r>
    <x v="16"/>
    <x v="16"/>
    <x v="25"/>
    <n v="45358"/>
    <n v="96319.23"/>
    <n v="6.22"/>
    <n v="7424.7"/>
    <n v="0.41899999999999998"/>
    <n v="7.2"/>
  </r>
  <r>
    <x v="16"/>
    <x v="17"/>
    <x v="2"/>
    <n v="23642"/>
    <n v="49877.33"/>
    <n v="6.47"/>
    <n v="3686.1"/>
    <n v="0.4"/>
    <n v="7.2"/>
  </r>
  <r>
    <x v="16"/>
    <x v="18"/>
    <x v="0"/>
    <n v="35662"/>
    <n v="75329.66"/>
    <n v="6.55"/>
    <n v="5480.8"/>
    <n v="0.42299999999999999"/>
    <n v="7.6"/>
  </r>
  <r>
    <x v="16"/>
    <x v="19"/>
    <x v="4"/>
    <n v="16343"/>
    <n v="32138.44"/>
    <n v="6.28"/>
    <n v="2603.9"/>
    <n v="0.35699999999999998"/>
    <n v="7.1"/>
  </r>
  <r>
    <x v="16"/>
    <x v="20"/>
    <x v="8"/>
    <n v="22552"/>
    <n v="47857.15"/>
    <n v="6.45"/>
    <n v="3530.1"/>
    <n v="0.625"/>
    <n v="5.7"/>
  </r>
  <r>
    <x v="16"/>
    <x v="21"/>
    <x v="17"/>
    <n v="33218"/>
    <n v="73717.86"/>
    <n v="6.35"/>
    <n v="5280.2"/>
    <n v="0.4"/>
    <n v="7.2"/>
  </r>
  <r>
    <x v="16"/>
    <x v="22"/>
    <x v="8"/>
    <n v="20743"/>
    <n v="49409.41"/>
    <n v="6.52"/>
    <n v="3220.1"/>
    <n v="0.5"/>
    <n v="6.4"/>
  </r>
  <r>
    <x v="16"/>
    <x v="23"/>
    <x v="3"/>
    <n v="24789"/>
    <n v="49107.02"/>
    <n v="6.35"/>
    <n v="4020.5"/>
    <n v="0.52600000000000002"/>
    <n v="8.4"/>
  </r>
  <r>
    <x v="16"/>
    <x v="24"/>
    <x v="6"/>
    <n v="25275"/>
    <n v="56784.2"/>
    <n v="6.45"/>
    <n v="3938.4"/>
    <n v="0.66700000000000004"/>
    <n v="6.3"/>
  </r>
  <r>
    <x v="16"/>
    <x v="25"/>
    <x v="2"/>
    <n v="22119"/>
    <n v="47430.15"/>
    <n v="6.74"/>
    <n v="3310.6"/>
    <n v="0.55000000000000004"/>
    <n v="7.2"/>
  </r>
  <r>
    <x v="16"/>
    <x v="26"/>
    <x v="3"/>
    <n v="26714"/>
    <n v="54371.8"/>
    <n v="6.4"/>
    <n v="4250.8"/>
    <n v="0.21099999999999999"/>
    <n v="6.6"/>
  </r>
  <r>
    <x v="16"/>
    <x v="27"/>
    <x v="6"/>
    <n v="32006"/>
    <n v="70483.47"/>
    <n v="6.33"/>
    <n v="5007.5"/>
    <n v="0.52400000000000002"/>
    <n v="6.7"/>
  </r>
  <r>
    <x v="16"/>
    <x v="28"/>
    <x v="12"/>
    <n v="23856"/>
    <n v="50951.46"/>
    <n v="6.58"/>
    <n v="3559.3"/>
    <n v="0.55600000000000005"/>
    <n v="6.7"/>
  </r>
  <r>
    <x v="16"/>
    <x v="29"/>
    <x v="9"/>
    <n v="23580"/>
    <n v="46229.599999999999"/>
    <n v="6.24"/>
    <n v="3717.5"/>
    <n v="0.29399999999999998"/>
    <n v="6.5"/>
  </r>
  <r>
    <x v="16"/>
    <x v="30"/>
    <x v="0"/>
    <n v="35588"/>
    <n v="76819.69"/>
    <n v="6.5"/>
    <n v="5470.3"/>
    <n v="0.69199999999999995"/>
    <n v="6.8"/>
  </r>
  <r>
    <x v="16"/>
    <x v="31"/>
    <x v="12"/>
    <n v="30875"/>
    <n v="64006.37"/>
    <n v="6.64"/>
    <n v="4676.8999999999996"/>
    <n v="0.55600000000000005"/>
    <n v="7.3"/>
  </r>
  <r>
    <x v="16"/>
    <x v="32"/>
    <x v="12"/>
    <n v="25592"/>
    <n v="53213.21"/>
    <n v="6.45"/>
    <n v="3995.4"/>
    <n v="0.38900000000000001"/>
    <n v="7.6"/>
  </r>
  <r>
    <x v="16"/>
    <x v="33"/>
    <x v="13"/>
    <n v="33639"/>
    <n v="74311.33"/>
    <n v="6.71"/>
    <n v="5005.6000000000004"/>
    <n v="0.63600000000000001"/>
    <n v="7.3"/>
  </r>
  <r>
    <x v="16"/>
    <x v="34"/>
    <x v="3"/>
    <n v="22464"/>
    <n v="48334.21"/>
    <n v="6.63"/>
    <n v="3337.9"/>
    <n v="0.105"/>
    <n v="6.3"/>
  </r>
  <r>
    <x v="16"/>
    <x v="35"/>
    <x v="8"/>
    <n v="26744"/>
    <n v="57987.71"/>
    <n v="6.56"/>
    <n v="4113.8"/>
    <n v="0.5"/>
    <n v="5.8"/>
  </r>
  <r>
    <x v="17"/>
    <x v="0"/>
    <x v="26"/>
    <n v="49784"/>
    <n v="105995.21"/>
    <n v="6.51"/>
    <n v="7741.2"/>
    <n v="0.45900000000000002"/>
    <n v="7.3"/>
  </r>
  <r>
    <x v="17"/>
    <x v="1"/>
    <x v="3"/>
    <n v="25144"/>
    <n v="49848.01"/>
    <n v="6.45"/>
    <n v="3925.6"/>
    <n v="0.57899999999999996"/>
    <n v="6.3"/>
  </r>
  <r>
    <x v="17"/>
    <x v="2"/>
    <x v="12"/>
    <n v="22647"/>
    <n v="49525.42"/>
    <n v="6.26"/>
    <n v="3545.6"/>
    <n v="0.38900000000000001"/>
    <n v="6.6"/>
  </r>
  <r>
    <x v="17"/>
    <x v="3"/>
    <x v="7"/>
    <n v="21156"/>
    <n v="51420.05"/>
    <n v="6.62"/>
    <n v="3193.8"/>
    <n v="0.5"/>
    <n v="6.5"/>
  </r>
  <r>
    <x v="17"/>
    <x v="4"/>
    <x v="3"/>
    <n v="30102"/>
    <n v="64669.21"/>
    <n v="6.36"/>
    <n v="4633.8"/>
    <n v="0.52600000000000002"/>
    <n v="7.2"/>
  </r>
  <r>
    <x v="17"/>
    <x v="5"/>
    <x v="25"/>
    <n v="46282"/>
    <n v="95407.63"/>
    <n v="6.48"/>
    <n v="7133.3"/>
    <n v="0.51600000000000001"/>
    <n v="7.7"/>
  </r>
  <r>
    <x v="17"/>
    <x v="6"/>
    <x v="14"/>
    <n v="22516"/>
    <n v="46973.47"/>
    <n v="6.65"/>
    <n v="3372.6"/>
    <n v="0.46700000000000003"/>
    <n v="7.9"/>
  </r>
  <r>
    <x v="17"/>
    <x v="7"/>
    <x v="11"/>
    <n v="38774"/>
    <n v="84775.09"/>
    <n v="6.55"/>
    <n v="6037.6"/>
    <n v="0.45800000000000002"/>
    <n v="6.9"/>
  </r>
  <r>
    <x v="17"/>
    <x v="8"/>
    <x v="4"/>
    <n v="17513"/>
    <n v="37612.82"/>
    <n v="6.48"/>
    <n v="2764.5"/>
    <n v="0.57099999999999995"/>
    <n v="6.4"/>
  </r>
  <r>
    <x v="17"/>
    <x v="9"/>
    <x v="21"/>
    <n v="18699"/>
    <n v="39826.769999999997"/>
    <n v="6.36"/>
    <n v="2981.7"/>
    <n v="0.45500000000000002"/>
    <n v="7.7"/>
  </r>
  <r>
    <x v="17"/>
    <x v="10"/>
    <x v="9"/>
    <n v="26599"/>
    <n v="58389.74"/>
    <n v="6.3"/>
    <n v="4265.5"/>
    <n v="0.23499999999999999"/>
    <n v="6"/>
  </r>
  <r>
    <x v="17"/>
    <x v="11"/>
    <x v="3"/>
    <n v="26408"/>
    <n v="57839.25"/>
    <n v="6.39"/>
    <n v="4071.7"/>
    <n v="0.52600000000000002"/>
    <n v="6.6"/>
  </r>
  <r>
    <x v="17"/>
    <x v="12"/>
    <x v="15"/>
    <n v="33872"/>
    <n v="69562.86"/>
    <n v="6.71"/>
    <n v="5001.3"/>
    <n v="0.56499999999999995"/>
    <n v="6"/>
  </r>
  <r>
    <x v="17"/>
    <x v="13"/>
    <x v="12"/>
    <n v="29817"/>
    <n v="65392.44"/>
    <n v="6.7"/>
    <n v="4502.7"/>
    <n v="0.61099999999999999"/>
    <n v="7"/>
  </r>
  <r>
    <x v="17"/>
    <x v="14"/>
    <x v="19"/>
    <n v="11907"/>
    <n v="22583.88"/>
    <n v="6.7"/>
    <n v="1779.8"/>
    <n v="0.7"/>
    <n v="7.7"/>
  </r>
  <r>
    <x v="17"/>
    <x v="15"/>
    <x v="10"/>
    <n v="40255"/>
    <n v="79198.759999999995"/>
    <n v="6.41"/>
    <n v="6371.5"/>
    <n v="0.51900000000000002"/>
    <n v="7.4"/>
  </r>
  <r>
    <x v="17"/>
    <x v="16"/>
    <x v="5"/>
    <n v="13250"/>
    <n v="27127.4"/>
    <n v="6.41"/>
    <n v="2107.6"/>
    <n v="0.46200000000000002"/>
    <n v="7.5"/>
  </r>
  <r>
    <x v="17"/>
    <x v="17"/>
    <x v="10"/>
    <n v="41212"/>
    <n v="86665.11"/>
    <n v="6.47"/>
    <n v="6411.6"/>
    <n v="0.44400000000000001"/>
    <n v="6.9"/>
  </r>
  <r>
    <x v="17"/>
    <x v="18"/>
    <x v="2"/>
    <n v="31088"/>
    <n v="64580.21"/>
    <n v="6.74"/>
    <n v="4662.8999999999996"/>
    <n v="0.3"/>
    <n v="7"/>
  </r>
  <r>
    <x v="17"/>
    <x v="19"/>
    <x v="9"/>
    <n v="26835"/>
    <n v="59249.56"/>
    <n v="6.61"/>
    <n v="4080.6"/>
    <n v="0.35299999999999998"/>
    <n v="8.1"/>
  </r>
  <r>
    <x v="17"/>
    <x v="20"/>
    <x v="13"/>
    <n v="29673"/>
    <n v="62996.800000000003"/>
    <n v="6.55"/>
    <n v="4551.8999999999996"/>
    <n v="0.5"/>
    <n v="6.8"/>
  </r>
  <r>
    <x v="17"/>
    <x v="21"/>
    <x v="22"/>
    <n v="41999"/>
    <n v="89251.69"/>
    <n v="6.73"/>
    <n v="6301.1"/>
    <n v="0.67900000000000005"/>
    <n v="6.4"/>
  </r>
  <r>
    <x v="17"/>
    <x v="22"/>
    <x v="4"/>
    <n v="20760"/>
    <n v="46816.480000000003"/>
    <n v="6.48"/>
    <n v="3212.5"/>
    <n v="0.14299999999999999"/>
    <n v="6"/>
  </r>
  <r>
    <x v="17"/>
    <x v="23"/>
    <x v="14"/>
    <n v="19667"/>
    <n v="42503.69"/>
    <n v="6.46"/>
    <n v="3098"/>
    <n v="0.26700000000000002"/>
    <n v="7"/>
  </r>
  <r>
    <x v="17"/>
    <x v="24"/>
    <x v="12"/>
    <n v="24017"/>
    <n v="53518.82"/>
    <n v="6.41"/>
    <n v="3793.5"/>
    <n v="0.61099999999999999"/>
    <n v="8.4"/>
  </r>
  <r>
    <x v="17"/>
    <x v="25"/>
    <x v="4"/>
    <n v="22185"/>
    <n v="52468.52"/>
    <n v="6.42"/>
    <n v="3498.8"/>
    <n v="0.78600000000000003"/>
    <n v="7.4"/>
  </r>
  <r>
    <x v="17"/>
    <x v="26"/>
    <x v="4"/>
    <n v="19208"/>
    <n v="41756.06"/>
    <n v="6.5"/>
    <n v="2982.6"/>
    <n v="0.64300000000000002"/>
    <n v="8.1"/>
  </r>
  <r>
    <x v="17"/>
    <x v="27"/>
    <x v="0"/>
    <n v="26903"/>
    <n v="54555.67"/>
    <n v="6.83"/>
    <n v="3895.1"/>
    <n v="0.46200000000000002"/>
    <n v="6.7"/>
  </r>
  <r>
    <x v="17"/>
    <x v="28"/>
    <x v="13"/>
    <n v="31313"/>
    <n v="64863.06"/>
    <n v="6.65"/>
    <n v="4786.1000000000004"/>
    <n v="0.5"/>
    <n v="7.2"/>
  </r>
  <r>
    <x v="17"/>
    <x v="29"/>
    <x v="6"/>
    <n v="28923"/>
    <n v="62666.05"/>
    <n v="6.55"/>
    <n v="4440.8"/>
    <n v="0.52400000000000002"/>
    <n v="7.6"/>
  </r>
  <r>
    <x v="17"/>
    <x v="30"/>
    <x v="14"/>
    <n v="20139"/>
    <n v="41541.06"/>
    <n v="6.62"/>
    <n v="3083.8"/>
    <n v="0.53300000000000003"/>
    <n v="6.8"/>
  </r>
  <r>
    <x v="17"/>
    <x v="31"/>
    <x v="2"/>
    <n v="21924"/>
    <n v="49225.64"/>
    <n v="6.33"/>
    <n v="3432.9"/>
    <n v="0.3"/>
    <n v="7.3"/>
  </r>
  <r>
    <x v="17"/>
    <x v="32"/>
    <x v="1"/>
    <n v="12339"/>
    <n v="29599.29"/>
    <n v="6.23"/>
    <n v="1987"/>
    <n v="0.222"/>
    <n v="7.6"/>
  </r>
  <r>
    <x v="17"/>
    <x v="33"/>
    <x v="6"/>
    <n v="23237"/>
    <n v="49891.62"/>
    <n v="6.35"/>
    <n v="3677.9"/>
    <n v="0.47599999999999998"/>
    <n v="7"/>
  </r>
  <r>
    <x v="17"/>
    <x v="34"/>
    <x v="13"/>
    <n v="33620"/>
    <n v="69512.52"/>
    <n v="6.4"/>
    <n v="5303.5"/>
    <n v="0.54500000000000004"/>
    <n v="6.6"/>
  </r>
  <r>
    <x v="17"/>
    <x v="35"/>
    <x v="13"/>
    <n v="34486"/>
    <n v="78717.97"/>
    <n v="6.53"/>
    <n v="5339.8"/>
    <n v="0.54500000000000004"/>
    <n v="7"/>
  </r>
  <r>
    <x v="18"/>
    <x v="0"/>
    <x v="9"/>
    <n v="22554"/>
    <n v="51383.47"/>
    <n v="6.38"/>
    <n v="3674.3"/>
    <n v="0.35299999999999998"/>
    <n v="7.4"/>
  </r>
  <r>
    <x v="18"/>
    <x v="1"/>
    <x v="8"/>
    <n v="15925"/>
    <n v="36939.61"/>
    <n v="6.48"/>
    <n v="2447.9"/>
    <n v="0.375"/>
    <n v="5.5"/>
  </r>
  <r>
    <x v="18"/>
    <x v="2"/>
    <x v="17"/>
    <n v="31059"/>
    <n v="66875.62"/>
    <n v="6.65"/>
    <n v="4726.3"/>
    <n v="0.52"/>
    <n v="7.7"/>
  </r>
  <r>
    <x v="18"/>
    <x v="3"/>
    <x v="4"/>
    <n v="22189"/>
    <n v="49948.42"/>
    <n v="6.31"/>
    <n v="3526.4"/>
    <n v="0.5"/>
    <n v="6.7"/>
  </r>
  <r>
    <x v="18"/>
    <x v="4"/>
    <x v="2"/>
    <n v="26668"/>
    <n v="57636.15"/>
    <n v="6.27"/>
    <n v="4322.5"/>
    <n v="0.6"/>
    <n v="7.1"/>
  </r>
  <r>
    <x v="18"/>
    <x v="5"/>
    <x v="13"/>
    <n v="37474"/>
    <n v="77371.73"/>
    <n v="6.55"/>
    <n v="5803"/>
    <n v="0.45500000000000002"/>
    <n v="6.9"/>
  </r>
  <r>
    <x v="18"/>
    <x v="6"/>
    <x v="4"/>
    <n v="22267"/>
    <n v="43442.52"/>
    <n v="6.62"/>
    <n v="3375.3"/>
    <n v="0.5"/>
    <n v="6.8"/>
  </r>
  <r>
    <x v="18"/>
    <x v="7"/>
    <x v="3"/>
    <n v="25226"/>
    <n v="51254.47"/>
    <n v="6.51"/>
    <n v="3839.2"/>
    <n v="0.42099999999999999"/>
    <n v="7.8"/>
  </r>
  <r>
    <x v="18"/>
    <x v="8"/>
    <x v="3"/>
    <n v="23293"/>
    <n v="51174.02"/>
    <n v="6.67"/>
    <n v="3549.4"/>
    <n v="0.316"/>
    <n v="6.1"/>
  </r>
  <r>
    <x v="18"/>
    <x v="9"/>
    <x v="12"/>
    <n v="26609"/>
    <n v="56909.18"/>
    <n v="6.55"/>
    <n v="4125.8999999999996"/>
    <n v="0.61099999999999999"/>
    <n v="6.6"/>
  </r>
  <r>
    <x v="18"/>
    <x v="10"/>
    <x v="2"/>
    <n v="35420"/>
    <n v="86556.91"/>
    <n v="6.52"/>
    <n v="5497.6"/>
    <n v="0.45"/>
    <n v="6"/>
  </r>
  <r>
    <x v="18"/>
    <x v="11"/>
    <x v="2"/>
    <n v="32931"/>
    <n v="69046.63"/>
    <n v="6.61"/>
    <n v="4980.6000000000004"/>
    <n v="0.45"/>
    <n v="7"/>
  </r>
  <r>
    <x v="18"/>
    <x v="12"/>
    <x v="11"/>
    <n v="35902"/>
    <n v="79235.7"/>
    <n v="6.51"/>
    <n v="5534.1"/>
    <n v="0.58299999999999996"/>
    <n v="8.1"/>
  </r>
  <r>
    <x v="18"/>
    <x v="13"/>
    <x v="13"/>
    <n v="33604"/>
    <n v="72997.89"/>
    <n v="6.59"/>
    <n v="5159"/>
    <n v="0.318"/>
    <n v="7"/>
  </r>
  <r>
    <x v="18"/>
    <x v="14"/>
    <x v="4"/>
    <n v="21415"/>
    <n v="40349.33"/>
    <n v="6.79"/>
    <n v="3153"/>
    <n v="0.5"/>
    <n v="6.9"/>
  </r>
  <r>
    <x v="18"/>
    <x v="15"/>
    <x v="15"/>
    <n v="35271"/>
    <n v="73845.14"/>
    <n v="6.29"/>
    <n v="5674.3"/>
    <n v="0.217"/>
    <n v="7.6"/>
  </r>
  <r>
    <x v="18"/>
    <x v="16"/>
    <x v="11"/>
    <n v="28329"/>
    <n v="58032.89"/>
    <n v="6.54"/>
    <n v="4328.1000000000004"/>
    <n v="0.45800000000000002"/>
    <n v="6.4"/>
  </r>
  <r>
    <x v="18"/>
    <x v="17"/>
    <x v="13"/>
    <n v="33258"/>
    <n v="70653.47"/>
    <n v="6.6"/>
    <n v="5154.7"/>
    <n v="0.63600000000000001"/>
    <n v="6.7"/>
  </r>
  <r>
    <x v="18"/>
    <x v="18"/>
    <x v="12"/>
    <n v="22429"/>
    <n v="50127.31"/>
    <n v="6.31"/>
    <n v="3612.7"/>
    <n v="0.55600000000000005"/>
    <n v="7.6"/>
  </r>
  <r>
    <x v="18"/>
    <x v="19"/>
    <x v="11"/>
    <n v="38629"/>
    <n v="80824.649999999994"/>
    <n v="6.53"/>
    <n v="5993"/>
    <n v="0.58299999999999996"/>
    <n v="7.9"/>
  </r>
  <r>
    <x v="18"/>
    <x v="20"/>
    <x v="9"/>
    <n v="25455"/>
    <n v="55176.7"/>
    <n v="6.54"/>
    <n v="3948.6"/>
    <n v="0.52900000000000003"/>
    <n v="6.7"/>
  </r>
  <r>
    <x v="18"/>
    <x v="21"/>
    <x v="27"/>
    <n v="6624"/>
    <n v="16555.04"/>
    <n v="6.39"/>
    <n v="1055"/>
    <n v="0.57099999999999995"/>
    <n v="8.1"/>
  </r>
  <r>
    <x v="18"/>
    <x v="22"/>
    <x v="14"/>
    <n v="21691"/>
    <n v="41468.81"/>
    <n v="6.58"/>
    <n v="3317.6"/>
    <n v="0.6"/>
    <n v="7.1"/>
  </r>
  <r>
    <x v="18"/>
    <x v="23"/>
    <x v="6"/>
    <n v="28897"/>
    <n v="60162.83"/>
    <n v="6.54"/>
    <n v="4491"/>
    <n v="0.47599999999999998"/>
    <n v="7.2"/>
  </r>
  <r>
    <x v="18"/>
    <x v="24"/>
    <x v="9"/>
    <n v="23752"/>
    <n v="46601.08"/>
    <n v="6.36"/>
    <n v="3791.7"/>
    <n v="0.64700000000000002"/>
    <n v="6.2"/>
  </r>
  <r>
    <x v="18"/>
    <x v="25"/>
    <x v="12"/>
    <n v="26941"/>
    <n v="58182.8"/>
    <n v="6.78"/>
    <n v="4031"/>
    <n v="0.5"/>
    <n v="6.8"/>
  </r>
  <r>
    <x v="18"/>
    <x v="26"/>
    <x v="3"/>
    <n v="29782"/>
    <n v="63910.879999999997"/>
    <n v="6.54"/>
    <n v="4621.3999999999996"/>
    <n v="0.42099999999999999"/>
    <n v="7.6"/>
  </r>
  <r>
    <x v="18"/>
    <x v="27"/>
    <x v="4"/>
    <n v="19804"/>
    <n v="46351.32"/>
    <n v="6.38"/>
    <n v="3053.7"/>
    <n v="0.42899999999999999"/>
    <n v="6.8"/>
  </r>
  <r>
    <x v="18"/>
    <x v="28"/>
    <x v="3"/>
    <n v="26805"/>
    <n v="59784.37"/>
    <n v="6.34"/>
    <n v="4222.8999999999996"/>
    <n v="0.63200000000000001"/>
    <n v="7.1"/>
  </r>
  <r>
    <x v="18"/>
    <x v="29"/>
    <x v="21"/>
    <n v="18387"/>
    <n v="37709.5"/>
    <n v="6.19"/>
    <n v="2920.3"/>
    <n v="0.54500000000000004"/>
    <n v="7.9"/>
  </r>
  <r>
    <x v="18"/>
    <x v="30"/>
    <x v="9"/>
    <n v="28089"/>
    <n v="63575.62"/>
    <n v="6.53"/>
    <n v="4309.3999999999996"/>
    <n v="0.58799999999999997"/>
    <n v="6.8"/>
  </r>
  <r>
    <x v="18"/>
    <x v="31"/>
    <x v="3"/>
    <n v="30584"/>
    <n v="74072.52"/>
    <n v="6.47"/>
    <n v="4806.1000000000004"/>
    <n v="0.316"/>
    <n v="7.7"/>
  </r>
  <r>
    <x v="18"/>
    <x v="32"/>
    <x v="6"/>
    <n v="26286"/>
    <n v="55359.83"/>
    <n v="6.81"/>
    <n v="3843.6"/>
    <n v="0.57099999999999995"/>
    <n v="6.2"/>
  </r>
  <r>
    <x v="18"/>
    <x v="33"/>
    <x v="19"/>
    <n v="16433"/>
    <n v="34372.51"/>
    <n v="6.42"/>
    <n v="2592.5"/>
    <n v="0.2"/>
    <n v="6.5"/>
  </r>
  <r>
    <x v="18"/>
    <x v="34"/>
    <x v="3"/>
    <n v="28118"/>
    <n v="64205.48"/>
    <n v="6.37"/>
    <n v="4407.8"/>
    <n v="0.63200000000000001"/>
    <n v="6.8"/>
  </r>
  <r>
    <x v="18"/>
    <x v="35"/>
    <x v="3"/>
    <n v="25019"/>
    <n v="54537.42"/>
    <n v="6.57"/>
    <n v="3808.9"/>
    <n v="0.26300000000000001"/>
    <n v="7.5"/>
  </r>
  <r>
    <x v="19"/>
    <x v="0"/>
    <x v="4"/>
    <n v="21997"/>
    <n v="48611.43"/>
    <n v="6.62"/>
    <n v="3321.1"/>
    <n v="0.35699999999999998"/>
    <n v="7.2"/>
  </r>
  <r>
    <x v="19"/>
    <x v="1"/>
    <x v="3"/>
    <n v="24273"/>
    <n v="51926.45"/>
    <n v="6.63"/>
    <n v="3716.9"/>
    <n v="0.36799999999999999"/>
    <n v="7.3"/>
  </r>
  <r>
    <x v="19"/>
    <x v="2"/>
    <x v="11"/>
    <n v="38459"/>
    <n v="84328.47"/>
    <n v="6.53"/>
    <n v="5925.5"/>
    <n v="0.33300000000000002"/>
    <n v="7.4"/>
  </r>
  <r>
    <x v="19"/>
    <x v="3"/>
    <x v="2"/>
    <n v="28355"/>
    <n v="53730.64"/>
    <n v="6.48"/>
    <n v="4444.3999999999996"/>
    <n v="0.25"/>
    <n v="8.3000000000000007"/>
  </r>
  <r>
    <x v="19"/>
    <x v="4"/>
    <x v="6"/>
    <n v="28312"/>
    <n v="59532.13"/>
    <n v="6.33"/>
    <n v="4500.2"/>
    <n v="0.61899999999999999"/>
    <n v="7.5"/>
  </r>
  <r>
    <x v="19"/>
    <x v="5"/>
    <x v="15"/>
    <n v="25480"/>
    <n v="54196.47"/>
    <n v="6.55"/>
    <n v="4009.7"/>
    <n v="0.65200000000000002"/>
    <n v="7.2"/>
  </r>
  <r>
    <x v="19"/>
    <x v="6"/>
    <x v="11"/>
    <n v="36128"/>
    <n v="79778.820000000007"/>
    <n v="6.7"/>
    <n v="5435.9"/>
    <n v="0.33300000000000002"/>
    <n v="6.5"/>
  </r>
  <r>
    <x v="19"/>
    <x v="7"/>
    <x v="3"/>
    <n v="26361"/>
    <n v="52088.7"/>
    <n v="6.62"/>
    <n v="4023.3"/>
    <n v="0.57899999999999996"/>
    <n v="7.4"/>
  </r>
  <r>
    <x v="19"/>
    <x v="8"/>
    <x v="8"/>
    <n v="18400"/>
    <n v="41455.53"/>
    <n v="6.56"/>
    <n v="2766.9"/>
    <n v="0.375"/>
    <n v="7"/>
  </r>
  <r>
    <x v="19"/>
    <x v="9"/>
    <x v="9"/>
    <n v="20692"/>
    <n v="46240.69"/>
    <n v="6.51"/>
    <n v="3169.4"/>
    <n v="0.52900000000000003"/>
    <n v="6.6"/>
  </r>
  <r>
    <x v="19"/>
    <x v="10"/>
    <x v="2"/>
    <n v="36918"/>
    <n v="81088.45"/>
    <n v="6.56"/>
    <n v="5684.9"/>
    <n v="0.25"/>
    <n v="6.8"/>
  </r>
  <r>
    <x v="19"/>
    <x v="11"/>
    <x v="14"/>
    <n v="25238"/>
    <n v="55023.99"/>
    <n v="6.64"/>
    <n v="3836.5"/>
    <n v="0.33300000000000002"/>
    <n v="6.2"/>
  </r>
  <r>
    <x v="19"/>
    <x v="12"/>
    <x v="12"/>
    <n v="28819"/>
    <n v="62393.93"/>
    <n v="6.46"/>
    <n v="4595.3"/>
    <n v="0.5"/>
    <n v="7.1"/>
  </r>
  <r>
    <x v="19"/>
    <x v="13"/>
    <x v="7"/>
    <n v="8450"/>
    <n v="17494.46"/>
    <n v="6.4"/>
    <n v="1319.6"/>
    <n v="0.5"/>
    <n v="7.5"/>
  </r>
  <r>
    <x v="19"/>
    <x v="14"/>
    <x v="13"/>
    <n v="30116"/>
    <n v="62646.8"/>
    <n v="6.56"/>
    <n v="4604.5"/>
    <n v="0.54500000000000004"/>
    <n v="7.5"/>
  </r>
  <r>
    <x v="19"/>
    <x v="15"/>
    <x v="3"/>
    <n v="24163"/>
    <n v="53812.53"/>
    <n v="6.44"/>
    <n v="3767"/>
    <n v="0.57899999999999996"/>
    <n v="7.2"/>
  </r>
  <r>
    <x v="19"/>
    <x v="16"/>
    <x v="15"/>
    <n v="34541"/>
    <n v="73592.210000000006"/>
    <n v="6.64"/>
    <n v="5215.8"/>
    <n v="0.65200000000000002"/>
    <n v="6.7"/>
  </r>
  <r>
    <x v="19"/>
    <x v="17"/>
    <x v="6"/>
    <n v="39073"/>
    <n v="85724.46"/>
    <n v="6.67"/>
    <n v="5922.6"/>
    <n v="0.47599999999999998"/>
    <n v="7.4"/>
  </r>
  <r>
    <x v="19"/>
    <x v="18"/>
    <x v="5"/>
    <n v="17255"/>
    <n v="39141.449999999997"/>
    <n v="6.6"/>
    <n v="2549.4"/>
    <n v="0.53800000000000003"/>
    <n v="7.8"/>
  </r>
  <r>
    <x v="19"/>
    <x v="19"/>
    <x v="28"/>
    <n v="39853"/>
    <n v="82376.08"/>
    <n v="6.63"/>
    <n v="6050.9"/>
    <n v="0.41399999999999998"/>
    <n v="7.4"/>
  </r>
  <r>
    <x v="19"/>
    <x v="20"/>
    <x v="10"/>
    <n v="31777"/>
    <n v="66279.929999999993"/>
    <n v="6.49"/>
    <n v="4976.3999999999996"/>
    <n v="0.37"/>
    <n v="7.6"/>
  </r>
  <r>
    <x v="19"/>
    <x v="21"/>
    <x v="17"/>
    <n v="36759"/>
    <n v="74053.55"/>
    <n v="6.45"/>
    <n v="5709.1"/>
    <n v="0.56000000000000005"/>
    <n v="6.5"/>
  </r>
  <r>
    <x v="19"/>
    <x v="22"/>
    <x v="5"/>
    <n v="13943"/>
    <n v="28662.75"/>
    <n v="6.36"/>
    <n v="2200.3000000000002"/>
    <n v="0.46200000000000002"/>
    <n v="8"/>
  </r>
  <r>
    <x v="19"/>
    <x v="23"/>
    <x v="11"/>
    <n v="35783"/>
    <n v="83395.740000000005"/>
    <n v="6.31"/>
    <n v="5702.2"/>
    <n v="0.45800000000000002"/>
    <n v="7.5"/>
  </r>
  <r>
    <x v="19"/>
    <x v="24"/>
    <x v="12"/>
    <n v="30659"/>
    <n v="63370.29"/>
    <n v="6.41"/>
    <n v="4808.2"/>
    <n v="0.33300000000000002"/>
    <n v="6.8"/>
  </r>
  <r>
    <x v="19"/>
    <x v="25"/>
    <x v="12"/>
    <n v="21466"/>
    <n v="47672.67"/>
    <n v="6.44"/>
    <n v="3442.9"/>
    <n v="0.5"/>
    <n v="7"/>
  </r>
  <r>
    <x v="19"/>
    <x v="26"/>
    <x v="2"/>
    <n v="27302"/>
    <n v="56375.91"/>
    <n v="6.66"/>
    <n v="4074.3"/>
    <n v="0.25"/>
    <n v="7.5"/>
  </r>
  <r>
    <x v="19"/>
    <x v="27"/>
    <x v="2"/>
    <n v="31116"/>
    <n v="71139.350000000006"/>
    <n v="6.56"/>
    <n v="4745.7"/>
    <n v="0.6"/>
    <n v="7.5"/>
  </r>
  <r>
    <x v="19"/>
    <x v="28"/>
    <x v="12"/>
    <n v="23838"/>
    <n v="52285.79"/>
    <n v="6.58"/>
    <n v="3581.6"/>
    <n v="0.55600000000000005"/>
    <n v="7.2"/>
  </r>
  <r>
    <x v="19"/>
    <x v="29"/>
    <x v="2"/>
    <n v="24964"/>
    <n v="55993.67"/>
    <n v="6.89"/>
    <n v="3655.6"/>
    <n v="0.55000000000000004"/>
    <n v="7.7"/>
  </r>
  <r>
    <x v="19"/>
    <x v="30"/>
    <x v="9"/>
    <n v="22337"/>
    <n v="42259.1"/>
    <n v="6.68"/>
    <n v="3334"/>
    <n v="0.47099999999999997"/>
    <n v="7.6"/>
  </r>
  <r>
    <x v="19"/>
    <x v="31"/>
    <x v="3"/>
    <n v="33031"/>
    <n v="75420.160000000003"/>
    <n v="6.54"/>
    <n v="5055.7"/>
    <n v="0.52600000000000002"/>
    <n v="6.6"/>
  </r>
  <r>
    <x v="19"/>
    <x v="32"/>
    <x v="2"/>
    <n v="26785"/>
    <n v="54369.96"/>
    <n v="6.59"/>
    <n v="4079.3"/>
    <n v="0.45"/>
    <n v="7"/>
  </r>
  <r>
    <x v="19"/>
    <x v="33"/>
    <x v="8"/>
    <n v="23184"/>
    <n v="51519.73"/>
    <n v="6.61"/>
    <n v="3606.2"/>
    <n v="0.312"/>
    <n v="7.3"/>
  </r>
  <r>
    <x v="19"/>
    <x v="34"/>
    <x v="4"/>
    <n v="20698"/>
    <n v="42673.08"/>
    <n v="6.46"/>
    <n v="3260.4"/>
    <n v="0.64300000000000002"/>
    <n v="6.8"/>
  </r>
  <r>
    <x v="19"/>
    <x v="35"/>
    <x v="3"/>
    <n v="29324"/>
    <n v="57763.24"/>
    <n v="6.45"/>
    <n v="4601.1000000000004"/>
    <n v="0.52600000000000002"/>
    <n v="5.6"/>
  </r>
  <r>
    <x v="20"/>
    <x v="0"/>
    <x v="2"/>
    <n v="26427"/>
    <n v="60041.36"/>
    <n v="6.49"/>
    <n v="4136.8"/>
    <n v="0.4"/>
    <n v="6.2"/>
  </r>
  <r>
    <x v="20"/>
    <x v="1"/>
    <x v="12"/>
    <n v="30602"/>
    <n v="58851.97"/>
    <n v="6.66"/>
    <n v="4603"/>
    <n v="0.66700000000000004"/>
    <n v="6.2"/>
  </r>
  <r>
    <x v="20"/>
    <x v="2"/>
    <x v="5"/>
    <n v="13360"/>
    <n v="29388.05"/>
    <n v="6.45"/>
    <n v="2158.5"/>
    <n v="0.61499999999999999"/>
    <n v="7.7"/>
  </r>
  <r>
    <x v="20"/>
    <x v="3"/>
    <x v="6"/>
    <n v="30836"/>
    <n v="65009.03"/>
    <n v="6.73"/>
    <n v="4623"/>
    <n v="0.57099999999999995"/>
    <n v="8"/>
  </r>
  <r>
    <x v="20"/>
    <x v="4"/>
    <x v="15"/>
    <n v="37669"/>
    <n v="84521.91"/>
    <n v="6.43"/>
    <n v="5893.2"/>
    <n v="0.56499999999999995"/>
    <n v="6.4"/>
  </r>
  <r>
    <x v="20"/>
    <x v="5"/>
    <x v="8"/>
    <n v="24526"/>
    <n v="51394.49"/>
    <n v="6.46"/>
    <n v="3843.8"/>
    <n v="0.56200000000000006"/>
    <n v="6.4"/>
  </r>
  <r>
    <x v="20"/>
    <x v="6"/>
    <x v="0"/>
    <n v="35922"/>
    <n v="76693.69"/>
    <n v="6.56"/>
    <n v="5584.6"/>
    <n v="0.46200000000000002"/>
    <n v="6.7"/>
  </r>
  <r>
    <x v="20"/>
    <x v="7"/>
    <x v="19"/>
    <n v="13005"/>
    <n v="28893.19"/>
    <n v="6.77"/>
    <n v="1957.3"/>
    <n v="0.5"/>
    <n v="8.4"/>
  </r>
  <r>
    <x v="20"/>
    <x v="8"/>
    <x v="9"/>
    <n v="24165"/>
    <n v="53441.13"/>
    <n v="6.44"/>
    <n v="3847.5"/>
    <n v="0.47099999999999997"/>
    <n v="7.6"/>
  </r>
  <r>
    <x v="20"/>
    <x v="9"/>
    <x v="3"/>
    <n v="24758"/>
    <n v="57020.33"/>
    <n v="6.36"/>
    <n v="3888.3"/>
    <n v="0.68400000000000005"/>
    <n v="6.9"/>
  </r>
  <r>
    <x v="20"/>
    <x v="10"/>
    <x v="12"/>
    <n v="24009"/>
    <n v="50885.4"/>
    <n v="6.58"/>
    <n v="3677.8"/>
    <n v="0.27800000000000002"/>
    <n v="7.2"/>
  </r>
  <r>
    <x v="20"/>
    <x v="11"/>
    <x v="9"/>
    <n v="19488"/>
    <n v="43366.12"/>
    <n v="6.28"/>
    <n v="3119.2"/>
    <n v="0.52900000000000003"/>
    <n v="7.9"/>
  </r>
  <r>
    <x v="20"/>
    <x v="12"/>
    <x v="15"/>
    <n v="38050"/>
    <n v="80936.14"/>
    <n v="6.47"/>
    <n v="5792"/>
    <n v="0.30399999999999999"/>
    <n v="7.8"/>
  </r>
  <r>
    <x v="20"/>
    <x v="13"/>
    <x v="9"/>
    <n v="23879"/>
    <n v="49525.52"/>
    <n v="6.24"/>
    <n v="3917.4"/>
    <n v="0.58799999999999997"/>
    <n v="7.2"/>
  </r>
  <r>
    <x v="20"/>
    <x v="14"/>
    <x v="2"/>
    <n v="34202"/>
    <n v="70182.820000000007"/>
    <n v="6.47"/>
    <n v="5350.7"/>
    <n v="0.4"/>
    <n v="7.1"/>
  </r>
  <r>
    <x v="20"/>
    <x v="15"/>
    <x v="22"/>
    <n v="42281"/>
    <n v="92800.16"/>
    <n v="6.52"/>
    <n v="6628.4"/>
    <n v="0.39300000000000002"/>
    <n v="7.3"/>
  </r>
  <r>
    <x v="20"/>
    <x v="16"/>
    <x v="10"/>
    <n v="34830"/>
    <n v="70398.740000000005"/>
    <n v="6.55"/>
    <n v="5424.1"/>
    <n v="0.37"/>
    <n v="6.3"/>
  </r>
  <r>
    <x v="20"/>
    <x v="17"/>
    <x v="19"/>
    <n v="15092"/>
    <n v="32784.15"/>
    <n v="6.36"/>
    <n v="2372.3000000000002"/>
    <n v="0.2"/>
    <n v="7"/>
  </r>
  <r>
    <x v="20"/>
    <x v="18"/>
    <x v="6"/>
    <n v="27582"/>
    <n v="56377.88"/>
    <n v="6.4"/>
    <n v="4416.2"/>
    <n v="0.42899999999999999"/>
    <n v="7.7"/>
  </r>
  <r>
    <x v="20"/>
    <x v="19"/>
    <x v="4"/>
    <n v="17608"/>
    <n v="40423.54"/>
    <n v="6.42"/>
    <n v="2794.2"/>
    <n v="0.35699999999999998"/>
    <n v="6.4"/>
  </r>
  <r>
    <x v="20"/>
    <x v="20"/>
    <x v="15"/>
    <n v="27426"/>
    <n v="55623.519999999997"/>
    <n v="6.49"/>
    <n v="4278.8"/>
    <n v="0.39100000000000001"/>
    <n v="6.9"/>
  </r>
  <r>
    <x v="20"/>
    <x v="21"/>
    <x v="15"/>
    <n v="31573"/>
    <n v="71764.84"/>
    <n v="6.58"/>
    <n v="4833"/>
    <n v="0.39100000000000001"/>
    <n v="7.3"/>
  </r>
  <r>
    <x v="20"/>
    <x v="22"/>
    <x v="3"/>
    <n v="24278"/>
    <n v="52718.27"/>
    <n v="6.5"/>
    <n v="3691.4"/>
    <n v="0.52600000000000002"/>
    <n v="6.8"/>
  </r>
  <r>
    <x v="20"/>
    <x v="23"/>
    <x v="12"/>
    <n v="25176"/>
    <n v="55659.39"/>
    <n v="6.68"/>
    <n v="3811.8"/>
    <n v="0.5"/>
    <n v="7.2"/>
  </r>
  <r>
    <x v="20"/>
    <x v="24"/>
    <x v="0"/>
    <n v="38074"/>
    <n v="81140.320000000007"/>
    <n v="6.59"/>
    <n v="5658.4"/>
    <n v="0.57699999999999996"/>
    <n v="6.3"/>
  </r>
  <r>
    <x v="20"/>
    <x v="25"/>
    <x v="2"/>
    <n v="32481"/>
    <n v="69993.009999999995"/>
    <n v="6.52"/>
    <n v="5061.8"/>
    <n v="0.4"/>
    <n v="7.7"/>
  </r>
  <r>
    <x v="20"/>
    <x v="26"/>
    <x v="13"/>
    <n v="31178"/>
    <n v="68694"/>
    <n v="6.65"/>
    <n v="4694.3"/>
    <n v="0.182"/>
    <n v="7.4"/>
  </r>
  <r>
    <x v="20"/>
    <x v="27"/>
    <x v="8"/>
    <n v="26231"/>
    <n v="58482"/>
    <n v="6.65"/>
    <n v="4027"/>
    <n v="0.5"/>
    <n v="8"/>
  </r>
  <r>
    <x v="20"/>
    <x v="28"/>
    <x v="9"/>
    <n v="28334"/>
    <n v="57008.32"/>
    <n v="6.33"/>
    <n v="4452.8999999999996"/>
    <n v="0.41199999999999998"/>
    <n v="7"/>
  </r>
  <r>
    <x v="20"/>
    <x v="29"/>
    <x v="2"/>
    <n v="33049"/>
    <n v="69231.850000000006"/>
    <n v="6.31"/>
    <n v="5297.3"/>
    <n v="0.25"/>
    <n v="6.6"/>
  </r>
  <r>
    <x v="20"/>
    <x v="30"/>
    <x v="3"/>
    <n v="31253"/>
    <n v="70649.789999999994"/>
    <n v="6.3"/>
    <n v="5134.8"/>
    <n v="0.52600000000000002"/>
    <n v="7.9"/>
  </r>
  <r>
    <x v="20"/>
    <x v="31"/>
    <x v="13"/>
    <n v="29790"/>
    <n v="61849.91"/>
    <n v="6.43"/>
    <n v="4753.2"/>
    <n v="0.40899999999999997"/>
    <n v="7.4"/>
  </r>
  <r>
    <x v="20"/>
    <x v="32"/>
    <x v="17"/>
    <n v="32984"/>
    <n v="71181.679999999993"/>
    <n v="6.55"/>
    <n v="5078.5"/>
    <n v="0.4"/>
    <n v="7.7"/>
  </r>
  <r>
    <x v="20"/>
    <x v="33"/>
    <x v="15"/>
    <n v="34810"/>
    <n v="74048.34"/>
    <n v="6.25"/>
    <n v="5662.1"/>
    <n v="0.30399999999999999"/>
    <n v="7.2"/>
  </r>
  <r>
    <x v="20"/>
    <x v="34"/>
    <x v="3"/>
    <n v="23261"/>
    <n v="46969.68"/>
    <n v="6.62"/>
    <n v="3578.8"/>
    <n v="0.63200000000000001"/>
    <n v="6.7"/>
  </r>
  <r>
    <x v="20"/>
    <x v="35"/>
    <x v="12"/>
    <n v="21604"/>
    <n v="48623.88"/>
    <n v="6.39"/>
    <n v="3431.9"/>
    <n v="0.38900000000000001"/>
    <n v="7"/>
  </r>
  <r>
    <x v="21"/>
    <x v="0"/>
    <x v="19"/>
    <n v="21092"/>
    <n v="42051.56"/>
    <n v="6.2"/>
    <n v="3461.6"/>
    <n v="0.5"/>
    <n v="6.7"/>
  </r>
  <r>
    <x v="21"/>
    <x v="1"/>
    <x v="8"/>
    <n v="17747"/>
    <n v="39339.06"/>
    <n v="6.11"/>
    <n v="2872.3"/>
    <n v="0.375"/>
    <n v="6.8"/>
  </r>
  <r>
    <x v="21"/>
    <x v="2"/>
    <x v="21"/>
    <n v="13388"/>
    <n v="28531.24"/>
    <n v="6.64"/>
    <n v="2040.6"/>
    <n v="0.54500000000000004"/>
    <n v="5.5"/>
  </r>
  <r>
    <x v="21"/>
    <x v="3"/>
    <x v="22"/>
    <n v="40557"/>
    <n v="79679.53"/>
    <n v="6.53"/>
    <n v="6246.2"/>
    <n v="0.53600000000000003"/>
    <n v="6.8"/>
  </r>
  <r>
    <x v="21"/>
    <x v="4"/>
    <x v="3"/>
    <n v="24291"/>
    <n v="48371"/>
    <n v="6.36"/>
    <n v="3913.3"/>
    <n v="0.36799999999999999"/>
    <n v="7.2"/>
  </r>
  <r>
    <x v="21"/>
    <x v="5"/>
    <x v="15"/>
    <n v="34867"/>
    <n v="72196.09"/>
    <n v="6.64"/>
    <n v="5277"/>
    <n v="0.47799999999999998"/>
    <n v="6.9"/>
  </r>
  <r>
    <x v="21"/>
    <x v="6"/>
    <x v="12"/>
    <n v="24677"/>
    <n v="50873.1"/>
    <n v="6.21"/>
    <n v="4009.9"/>
    <n v="0.222"/>
    <n v="7"/>
  </r>
  <r>
    <x v="21"/>
    <x v="7"/>
    <x v="11"/>
    <n v="36121"/>
    <n v="79500.22"/>
    <n v="6.44"/>
    <n v="5608.4"/>
    <n v="0.54200000000000004"/>
    <n v="8"/>
  </r>
  <r>
    <x v="21"/>
    <x v="8"/>
    <x v="14"/>
    <n v="17173"/>
    <n v="37565.32"/>
    <n v="6.41"/>
    <n v="2695.3"/>
    <n v="0.46700000000000003"/>
    <n v="6.2"/>
  </r>
  <r>
    <x v="21"/>
    <x v="9"/>
    <x v="2"/>
    <n v="24663"/>
    <n v="51369.59"/>
    <n v="6.61"/>
    <n v="3742.8"/>
    <n v="0.45"/>
    <n v="6.5"/>
  </r>
  <r>
    <x v="21"/>
    <x v="10"/>
    <x v="3"/>
    <n v="22571"/>
    <n v="48781.89"/>
    <n v="6.61"/>
    <n v="3392.8"/>
    <n v="0.47399999999999998"/>
    <n v="7.2"/>
  </r>
  <r>
    <x v="21"/>
    <x v="11"/>
    <x v="8"/>
    <n v="28490"/>
    <n v="65863.88"/>
    <n v="6.63"/>
    <n v="4334.8999999999996"/>
    <n v="0.375"/>
    <n v="7.9"/>
  </r>
  <r>
    <x v="21"/>
    <x v="12"/>
    <x v="4"/>
    <n v="17470"/>
    <n v="38898.46"/>
    <n v="6.66"/>
    <n v="2696.9"/>
    <n v="0.42899999999999999"/>
    <n v="7.1"/>
  </r>
  <r>
    <x v="21"/>
    <x v="13"/>
    <x v="1"/>
    <n v="13033"/>
    <n v="27244.97"/>
    <n v="6.28"/>
    <n v="2051.1"/>
    <n v="0.77800000000000002"/>
    <n v="8.6"/>
  </r>
  <r>
    <x v="21"/>
    <x v="14"/>
    <x v="14"/>
    <n v="21607"/>
    <n v="47985.8"/>
    <n v="6.51"/>
    <n v="3412.2"/>
    <n v="0.46700000000000003"/>
    <n v="7"/>
  </r>
  <r>
    <x v="21"/>
    <x v="15"/>
    <x v="2"/>
    <n v="30526"/>
    <n v="66559.81"/>
    <n v="6.47"/>
    <n v="4711.2"/>
    <n v="0.4"/>
    <n v="7.2"/>
  </r>
  <r>
    <x v="21"/>
    <x v="16"/>
    <x v="8"/>
    <n v="23357"/>
    <n v="49017.39"/>
    <n v="6.38"/>
    <n v="3706.8"/>
    <n v="0.25"/>
    <n v="7.7"/>
  </r>
  <r>
    <x v="21"/>
    <x v="17"/>
    <x v="2"/>
    <n v="26340"/>
    <n v="51047.51"/>
    <n v="6.51"/>
    <n v="4042.8"/>
    <n v="0.3"/>
    <n v="5.7"/>
  </r>
  <r>
    <x v="21"/>
    <x v="18"/>
    <x v="12"/>
    <n v="27470"/>
    <n v="61030.46"/>
    <n v="6.53"/>
    <n v="4203.8"/>
    <n v="0.222"/>
    <n v="8"/>
  </r>
  <r>
    <x v="21"/>
    <x v="19"/>
    <x v="9"/>
    <n v="25152"/>
    <n v="55246.3"/>
    <n v="6.42"/>
    <n v="3944.9"/>
    <n v="0.17599999999999999"/>
    <n v="6.6"/>
  </r>
  <r>
    <x v="21"/>
    <x v="20"/>
    <x v="13"/>
    <n v="40114"/>
    <n v="84981.13"/>
    <n v="6.28"/>
    <n v="6397.1"/>
    <n v="0.5"/>
    <n v="7.4"/>
  </r>
  <r>
    <x v="21"/>
    <x v="21"/>
    <x v="4"/>
    <n v="15772"/>
    <n v="33005.919999999998"/>
    <n v="6.57"/>
    <n v="2392"/>
    <n v="0.42899999999999999"/>
    <n v="7.4"/>
  </r>
  <r>
    <x v="21"/>
    <x v="22"/>
    <x v="6"/>
    <n v="38350"/>
    <n v="75870.649999999994"/>
    <n v="6.31"/>
    <n v="6149.1"/>
    <n v="0.33300000000000002"/>
    <n v="7.4"/>
  </r>
  <r>
    <x v="21"/>
    <x v="23"/>
    <x v="6"/>
    <n v="30195"/>
    <n v="71095.740000000005"/>
    <n v="6.71"/>
    <n v="4462.6000000000004"/>
    <n v="0.52400000000000002"/>
    <n v="6.9"/>
  </r>
  <r>
    <x v="21"/>
    <x v="24"/>
    <x v="11"/>
    <n v="40121"/>
    <n v="82465"/>
    <n v="6.56"/>
    <n v="6127.3"/>
    <n v="0.45800000000000002"/>
    <n v="7.2"/>
  </r>
  <r>
    <x v="21"/>
    <x v="25"/>
    <x v="13"/>
    <n v="26550"/>
    <n v="53437.69"/>
    <n v="6.43"/>
    <n v="4114.2"/>
    <n v="0.54500000000000004"/>
    <n v="7.5"/>
  </r>
  <r>
    <x v="21"/>
    <x v="26"/>
    <x v="12"/>
    <n v="26590"/>
    <n v="56516.02"/>
    <n v="6.45"/>
    <n v="4150.8"/>
    <n v="0.33300000000000002"/>
    <n v="7.6"/>
  </r>
  <r>
    <x v="21"/>
    <x v="27"/>
    <x v="9"/>
    <n v="23956"/>
    <n v="51844.65"/>
    <n v="6.3"/>
    <n v="3801.1"/>
    <n v="0.41199999999999998"/>
    <n v="6.5"/>
  </r>
  <r>
    <x v="21"/>
    <x v="28"/>
    <x v="9"/>
    <n v="19846"/>
    <n v="43208.79"/>
    <n v="6.66"/>
    <n v="3027.5"/>
    <n v="0.52900000000000003"/>
    <n v="6.5"/>
  </r>
  <r>
    <x v="21"/>
    <x v="29"/>
    <x v="19"/>
    <n v="8831"/>
    <n v="19104.25"/>
    <n v="6.33"/>
    <n v="1438.7"/>
    <n v="0.5"/>
    <n v="6.6"/>
  </r>
  <r>
    <x v="21"/>
    <x v="30"/>
    <x v="12"/>
    <n v="23067"/>
    <n v="50046.58"/>
    <n v="6.57"/>
    <n v="3574.3"/>
    <n v="0.44400000000000001"/>
    <n v="7.3"/>
  </r>
  <r>
    <x v="21"/>
    <x v="31"/>
    <x v="9"/>
    <n v="26996"/>
    <n v="59470.67"/>
    <n v="6.38"/>
    <n v="4339.7"/>
    <n v="0.52900000000000003"/>
    <n v="6"/>
  </r>
  <r>
    <x v="21"/>
    <x v="32"/>
    <x v="0"/>
    <n v="35855"/>
    <n v="80752.289999999994"/>
    <n v="6.5"/>
    <n v="5532.8"/>
    <n v="0.38500000000000001"/>
    <n v="6.9"/>
  </r>
  <r>
    <x v="21"/>
    <x v="33"/>
    <x v="12"/>
    <n v="30762"/>
    <n v="68193.62"/>
    <n v="6.61"/>
    <n v="4782"/>
    <n v="0.55600000000000005"/>
    <n v="7.7"/>
  </r>
  <r>
    <x v="21"/>
    <x v="34"/>
    <x v="8"/>
    <n v="24252"/>
    <n v="53134.79"/>
    <n v="6.51"/>
    <n v="3654"/>
    <n v="0.312"/>
    <n v="7.4"/>
  </r>
  <r>
    <x v="21"/>
    <x v="35"/>
    <x v="8"/>
    <n v="19967"/>
    <n v="41079.32"/>
    <n v="6.72"/>
    <n v="2985.3"/>
    <n v="0.438"/>
    <n v="7.9"/>
  </r>
  <r>
    <x v="22"/>
    <x v="0"/>
    <x v="6"/>
    <n v="32907"/>
    <n v="69454.710000000006"/>
    <n v="6.36"/>
    <n v="5328.3"/>
    <n v="0.33300000000000002"/>
    <n v="6.5"/>
  </r>
  <r>
    <x v="22"/>
    <x v="1"/>
    <x v="4"/>
    <n v="21400"/>
    <n v="46447.66"/>
    <n v="6.58"/>
    <n v="3271.6"/>
    <n v="0.42899999999999999"/>
    <n v="6.1"/>
  </r>
  <r>
    <x v="22"/>
    <x v="2"/>
    <x v="7"/>
    <n v="18796"/>
    <n v="42043.69"/>
    <n v="6.39"/>
    <n v="2955.6"/>
    <n v="0.41699999999999998"/>
    <n v="6.7"/>
  </r>
  <r>
    <x v="22"/>
    <x v="3"/>
    <x v="12"/>
    <n v="21148"/>
    <n v="44191.94"/>
    <n v="6.29"/>
    <n v="3290.5"/>
    <n v="0.61099999999999999"/>
    <n v="6.5"/>
  </r>
  <r>
    <x v="22"/>
    <x v="4"/>
    <x v="2"/>
    <n v="29219"/>
    <n v="65498.12"/>
    <n v="6.63"/>
    <n v="4520.1000000000004"/>
    <n v="0.35"/>
    <n v="8.8000000000000007"/>
  </r>
  <r>
    <x v="22"/>
    <x v="5"/>
    <x v="3"/>
    <n v="25924"/>
    <n v="54629.52"/>
    <n v="6.46"/>
    <n v="4052.1"/>
    <n v="0.57899999999999996"/>
    <n v="6.3"/>
  </r>
  <r>
    <x v="22"/>
    <x v="6"/>
    <x v="3"/>
    <n v="33626"/>
    <n v="66492.399999999994"/>
    <n v="6.57"/>
    <n v="5206.3999999999996"/>
    <n v="0.36799999999999999"/>
    <n v="6.5"/>
  </r>
  <r>
    <x v="22"/>
    <x v="7"/>
    <x v="15"/>
    <n v="40004"/>
    <n v="86644.800000000003"/>
    <n v="6.51"/>
    <n v="6071.1"/>
    <n v="0.60899999999999999"/>
    <n v="8.5"/>
  </r>
  <r>
    <x v="22"/>
    <x v="8"/>
    <x v="21"/>
    <n v="16984"/>
    <n v="41162.769999999997"/>
    <n v="6.22"/>
    <n v="2753.4"/>
    <n v="0.36399999999999999"/>
    <n v="6.3"/>
  </r>
  <r>
    <x v="22"/>
    <x v="9"/>
    <x v="12"/>
    <n v="25952"/>
    <n v="52098.59"/>
    <n v="6.5"/>
    <n v="4079"/>
    <n v="0.44400000000000001"/>
    <n v="7.1"/>
  </r>
  <r>
    <x v="22"/>
    <x v="10"/>
    <x v="12"/>
    <n v="23630"/>
    <n v="50572.46"/>
    <n v="6.46"/>
    <n v="3721.7"/>
    <n v="0.222"/>
    <n v="8.1"/>
  </r>
  <r>
    <x v="22"/>
    <x v="11"/>
    <x v="14"/>
    <n v="24466"/>
    <n v="57231.18"/>
    <n v="6.85"/>
    <n v="3588.8"/>
    <n v="0.26700000000000002"/>
    <n v="7.6"/>
  </r>
  <r>
    <x v="22"/>
    <x v="12"/>
    <x v="17"/>
    <n v="42499"/>
    <n v="92075.37"/>
    <n v="6.39"/>
    <n v="6700.6"/>
    <n v="0.44"/>
    <n v="7.4"/>
  </r>
  <r>
    <x v="22"/>
    <x v="13"/>
    <x v="2"/>
    <n v="24456"/>
    <n v="49732.19"/>
    <n v="6.67"/>
    <n v="3664.1"/>
    <n v="0.6"/>
    <n v="7.3"/>
  </r>
  <r>
    <x v="22"/>
    <x v="14"/>
    <x v="12"/>
    <n v="28054"/>
    <n v="61641"/>
    <n v="6.44"/>
    <n v="4365.3999999999996"/>
    <n v="0.33300000000000002"/>
    <n v="7.2"/>
  </r>
  <r>
    <x v="22"/>
    <x v="15"/>
    <x v="9"/>
    <n v="26264"/>
    <n v="55097.3"/>
    <n v="6.58"/>
    <n v="4013.8"/>
    <n v="0.52900000000000003"/>
    <n v="6.1"/>
  </r>
  <r>
    <x v="22"/>
    <x v="16"/>
    <x v="11"/>
    <n v="29763"/>
    <n v="66255.850000000006"/>
    <n v="6.51"/>
    <n v="4603.3"/>
    <n v="0.54200000000000004"/>
    <n v="5.9"/>
  </r>
  <r>
    <x v="22"/>
    <x v="17"/>
    <x v="6"/>
    <n v="37151"/>
    <n v="91897.71"/>
    <n v="6.44"/>
    <n v="5796.3"/>
    <n v="0.47599999999999998"/>
    <n v="6.4"/>
  </r>
  <r>
    <x v="22"/>
    <x v="18"/>
    <x v="8"/>
    <n v="21639"/>
    <n v="46982.82"/>
    <n v="6.36"/>
    <n v="3426.7"/>
    <n v="0.68799999999999994"/>
    <n v="4.9000000000000004"/>
  </r>
  <r>
    <x v="22"/>
    <x v="19"/>
    <x v="8"/>
    <n v="14696"/>
    <n v="33071.78"/>
    <n v="6.55"/>
    <n v="2281.1999999999998"/>
    <n v="0.312"/>
    <n v="7.4"/>
  </r>
  <r>
    <x v="22"/>
    <x v="20"/>
    <x v="8"/>
    <n v="23615"/>
    <n v="51585.18"/>
    <n v="6.36"/>
    <n v="3723.3"/>
    <n v="0.312"/>
    <n v="7"/>
  </r>
  <r>
    <x v="22"/>
    <x v="21"/>
    <x v="9"/>
    <n v="24073"/>
    <n v="52452.72"/>
    <n v="6.89"/>
    <n v="3501.2"/>
    <n v="0.58799999999999997"/>
    <n v="7.3"/>
  </r>
  <r>
    <x v="22"/>
    <x v="22"/>
    <x v="12"/>
    <n v="29672"/>
    <n v="64120.47"/>
    <n v="6.36"/>
    <n v="4720.7"/>
    <n v="0.27800000000000002"/>
    <n v="6.1"/>
  </r>
  <r>
    <x v="22"/>
    <x v="23"/>
    <x v="6"/>
    <n v="34991"/>
    <n v="73955.5"/>
    <n v="6.61"/>
    <n v="5320.5"/>
    <n v="0.42899999999999999"/>
    <n v="7.7"/>
  </r>
  <r>
    <x v="22"/>
    <x v="24"/>
    <x v="9"/>
    <n v="22724"/>
    <n v="50383.199999999997"/>
    <n v="6.54"/>
    <n v="3519.1"/>
    <n v="0.52900000000000003"/>
    <n v="7.9"/>
  </r>
  <r>
    <x v="22"/>
    <x v="25"/>
    <x v="13"/>
    <n v="33669"/>
    <n v="71529.240000000005"/>
    <n v="6.19"/>
    <n v="5444.6"/>
    <n v="0.36399999999999999"/>
    <n v="6.6"/>
  </r>
  <r>
    <x v="22"/>
    <x v="26"/>
    <x v="3"/>
    <n v="32924"/>
    <n v="67289.88"/>
    <n v="6.58"/>
    <n v="5030.2"/>
    <n v="0.73699999999999999"/>
    <n v="8"/>
  </r>
  <r>
    <x v="22"/>
    <x v="27"/>
    <x v="11"/>
    <n v="32509"/>
    <n v="70791.09"/>
    <n v="6.46"/>
    <n v="5137.3"/>
    <n v="0.41699999999999998"/>
    <n v="7.1"/>
  </r>
  <r>
    <x v="22"/>
    <x v="28"/>
    <x v="12"/>
    <n v="27793"/>
    <n v="56786.33"/>
    <n v="6.22"/>
    <n v="4521.6000000000004"/>
    <n v="0.44400000000000001"/>
    <n v="6.9"/>
  </r>
  <r>
    <x v="22"/>
    <x v="29"/>
    <x v="6"/>
    <n v="32528"/>
    <n v="69454.87"/>
    <n v="6.54"/>
    <n v="5023.2"/>
    <n v="0.52400000000000002"/>
    <n v="7.7"/>
  </r>
  <r>
    <x v="22"/>
    <x v="30"/>
    <x v="4"/>
    <n v="17356"/>
    <n v="42271.92"/>
    <n v="6.53"/>
    <n v="2659.3"/>
    <n v="0.42899999999999999"/>
    <n v="7.9"/>
  </r>
  <r>
    <x v="22"/>
    <x v="31"/>
    <x v="3"/>
    <n v="28778"/>
    <n v="61411.07"/>
    <n v="6.38"/>
    <n v="4580.8999999999996"/>
    <n v="0.36799999999999999"/>
    <n v="6.8"/>
  </r>
  <r>
    <x v="22"/>
    <x v="32"/>
    <x v="9"/>
    <n v="22464"/>
    <n v="52401.36"/>
    <n v="6.67"/>
    <n v="3422.5"/>
    <n v="0.17599999999999999"/>
    <n v="7.6"/>
  </r>
  <r>
    <x v="22"/>
    <x v="33"/>
    <x v="14"/>
    <n v="22882"/>
    <n v="43607.15"/>
    <n v="6.57"/>
    <n v="3464.1"/>
    <n v="0.46700000000000003"/>
    <n v="6.7"/>
  </r>
  <r>
    <x v="22"/>
    <x v="34"/>
    <x v="13"/>
    <n v="34349"/>
    <n v="73474.59"/>
    <n v="6.52"/>
    <n v="5292.5"/>
    <n v="0.318"/>
    <n v="7.9"/>
  </r>
  <r>
    <x v="22"/>
    <x v="35"/>
    <x v="6"/>
    <n v="32389"/>
    <n v="68334"/>
    <n v="6.33"/>
    <n v="5142.8999999999996"/>
    <n v="0.38100000000000001"/>
    <n v="8.5"/>
  </r>
  <r>
    <x v="23"/>
    <x v="0"/>
    <x v="14"/>
    <n v="19233"/>
    <n v="41660.589999999997"/>
    <n v="6.58"/>
    <n v="2982.1"/>
    <n v="0.73299999999999998"/>
    <n v="7"/>
  </r>
  <r>
    <x v="23"/>
    <x v="1"/>
    <x v="3"/>
    <n v="27028"/>
    <n v="58683.23"/>
    <n v="6.42"/>
    <n v="4182.6000000000004"/>
    <n v="0.36799999999999999"/>
    <n v="6.4"/>
  </r>
  <r>
    <x v="23"/>
    <x v="2"/>
    <x v="4"/>
    <n v="20554"/>
    <n v="41099.660000000003"/>
    <n v="6.24"/>
    <n v="3340.6"/>
    <n v="0.64300000000000002"/>
    <n v="6.1"/>
  </r>
  <r>
    <x v="23"/>
    <x v="3"/>
    <x v="2"/>
    <n v="30861"/>
    <n v="66941.320000000007"/>
    <n v="6.51"/>
    <n v="4777.8"/>
    <n v="0.3"/>
    <n v="6.7"/>
  </r>
  <r>
    <x v="23"/>
    <x v="4"/>
    <x v="7"/>
    <n v="18289"/>
    <n v="40114.26"/>
    <n v="6.54"/>
    <n v="2795"/>
    <n v="0.66700000000000004"/>
    <n v="6.5"/>
  </r>
  <r>
    <x v="23"/>
    <x v="5"/>
    <x v="2"/>
    <n v="26066"/>
    <n v="57555.76"/>
    <n v="6.66"/>
    <n v="3966.6"/>
    <n v="0.45"/>
    <n v="6.8"/>
  </r>
  <r>
    <x v="23"/>
    <x v="6"/>
    <x v="2"/>
    <n v="33542"/>
    <n v="72546.740000000005"/>
    <n v="6.46"/>
    <n v="5211.8999999999996"/>
    <n v="0.55000000000000004"/>
    <n v="6.9"/>
  </r>
  <r>
    <x v="23"/>
    <x v="7"/>
    <x v="14"/>
    <n v="21840"/>
    <n v="47827.28"/>
    <n v="6.71"/>
    <n v="3323"/>
    <n v="0.33300000000000002"/>
    <n v="6.8"/>
  </r>
  <r>
    <x v="23"/>
    <x v="8"/>
    <x v="2"/>
    <n v="24958"/>
    <n v="53472.18"/>
    <n v="6.5"/>
    <n v="3956.2"/>
    <n v="0.35"/>
    <n v="5.9"/>
  </r>
  <r>
    <x v="23"/>
    <x v="9"/>
    <x v="12"/>
    <n v="26727"/>
    <n v="52381.59"/>
    <n v="6.34"/>
    <n v="4171.3"/>
    <n v="0.44400000000000001"/>
    <n v="7.9"/>
  </r>
  <r>
    <x v="23"/>
    <x v="10"/>
    <x v="8"/>
    <n v="30853"/>
    <n v="63530.78"/>
    <n v="6.6"/>
    <n v="4685.5"/>
    <n v="0.68799999999999994"/>
    <n v="6.6"/>
  </r>
  <r>
    <x v="23"/>
    <x v="11"/>
    <x v="7"/>
    <n v="19802"/>
    <n v="44902.33"/>
    <n v="6.41"/>
    <n v="3179.3"/>
    <n v="0.5"/>
    <n v="6.1"/>
  </r>
  <r>
    <x v="23"/>
    <x v="12"/>
    <x v="9"/>
    <n v="26411"/>
    <n v="56112.1"/>
    <n v="6.56"/>
    <n v="4117.3999999999996"/>
    <n v="0.35299999999999998"/>
    <n v="6.4"/>
  </r>
  <r>
    <x v="23"/>
    <x v="13"/>
    <x v="2"/>
    <n v="32768"/>
    <n v="71602.2"/>
    <n v="6.51"/>
    <n v="5052.7"/>
    <n v="0.4"/>
    <n v="6.7"/>
  </r>
  <r>
    <x v="23"/>
    <x v="14"/>
    <x v="12"/>
    <n v="22437"/>
    <n v="47251.67"/>
    <n v="6.58"/>
    <n v="3451.9"/>
    <n v="0.33300000000000002"/>
    <n v="7.3"/>
  </r>
  <r>
    <x v="23"/>
    <x v="15"/>
    <x v="0"/>
    <n v="38469"/>
    <n v="85136.84"/>
    <n v="6.31"/>
    <n v="6218"/>
    <n v="0.5"/>
    <n v="6.9"/>
  </r>
  <r>
    <x v="23"/>
    <x v="16"/>
    <x v="13"/>
    <n v="21153"/>
    <n v="45832.36"/>
    <n v="6.52"/>
    <n v="3214.1"/>
    <n v="0.40899999999999997"/>
    <n v="7"/>
  </r>
  <r>
    <x v="23"/>
    <x v="17"/>
    <x v="27"/>
    <n v="9818"/>
    <n v="21040.14"/>
    <n v="6.82"/>
    <n v="1445.7"/>
    <n v="0.28599999999999998"/>
    <n v="7.4"/>
  </r>
  <r>
    <x v="23"/>
    <x v="18"/>
    <x v="2"/>
    <n v="29951"/>
    <n v="62689.17"/>
    <n v="6.45"/>
    <n v="4777.1000000000004"/>
    <n v="0.5"/>
    <n v="6.8"/>
  </r>
  <r>
    <x v="23"/>
    <x v="19"/>
    <x v="4"/>
    <n v="17586"/>
    <n v="38850.32"/>
    <n v="6.41"/>
    <n v="2731.9"/>
    <n v="0.35699999999999998"/>
    <n v="6.5"/>
  </r>
  <r>
    <x v="23"/>
    <x v="20"/>
    <x v="6"/>
    <n v="30217"/>
    <n v="65381.03"/>
    <n v="6.6"/>
    <n v="4749.8"/>
    <n v="0.47599999999999998"/>
    <n v="7.9"/>
  </r>
  <r>
    <x v="23"/>
    <x v="21"/>
    <x v="14"/>
    <n v="23963"/>
    <n v="48967.71"/>
    <n v="6.67"/>
    <n v="3668.4"/>
    <n v="0.26700000000000002"/>
    <n v="6.8"/>
  </r>
  <r>
    <x v="23"/>
    <x v="22"/>
    <x v="4"/>
    <n v="17758"/>
    <n v="39754.160000000003"/>
    <n v="6.41"/>
    <n v="2796.7"/>
    <n v="0.5"/>
    <n v="5.2"/>
  </r>
  <r>
    <x v="23"/>
    <x v="23"/>
    <x v="9"/>
    <n v="29095"/>
    <n v="64717.51"/>
    <n v="6.77"/>
    <n v="4408.8"/>
    <n v="0.41199999999999998"/>
    <n v="6.1"/>
  </r>
  <r>
    <x v="23"/>
    <x v="24"/>
    <x v="8"/>
    <n v="20142"/>
    <n v="45128.34"/>
    <n v="6.44"/>
    <n v="3169.8"/>
    <n v="0.375"/>
    <n v="6.9"/>
  </r>
  <r>
    <x v="23"/>
    <x v="25"/>
    <x v="3"/>
    <n v="25491"/>
    <n v="56546.47"/>
    <n v="6.47"/>
    <n v="4032.4"/>
    <n v="0.316"/>
    <n v="6.7"/>
  </r>
  <r>
    <x v="23"/>
    <x v="26"/>
    <x v="14"/>
    <n v="21301"/>
    <n v="46755.61"/>
    <n v="6.52"/>
    <n v="3250.4"/>
    <n v="0.46700000000000003"/>
    <n v="7.1"/>
  </r>
  <r>
    <x v="23"/>
    <x v="27"/>
    <x v="0"/>
    <n v="36316"/>
    <n v="78527.5"/>
    <n v="6.46"/>
    <n v="5653.8"/>
    <n v="0.42299999999999999"/>
    <n v="6.8"/>
  </r>
  <r>
    <x v="23"/>
    <x v="28"/>
    <x v="3"/>
    <n v="26635"/>
    <n v="55365.72"/>
    <n v="6.19"/>
    <n v="4335.8999999999996"/>
    <n v="0.316"/>
    <n v="6.6"/>
  </r>
  <r>
    <x v="23"/>
    <x v="29"/>
    <x v="15"/>
    <n v="35908"/>
    <n v="81135.64"/>
    <n v="6.53"/>
    <n v="5492.6"/>
    <n v="0.60899999999999999"/>
    <n v="6.5"/>
  </r>
  <r>
    <x v="23"/>
    <x v="30"/>
    <x v="2"/>
    <n v="28919"/>
    <n v="62462.43"/>
    <n v="6.55"/>
    <n v="4419.6000000000004"/>
    <n v="0.3"/>
    <n v="6.9"/>
  </r>
  <r>
    <x v="23"/>
    <x v="31"/>
    <x v="8"/>
    <n v="18802"/>
    <n v="40723.43"/>
    <n v="6.53"/>
    <n v="2864.5"/>
    <n v="0.438"/>
    <n v="6.1"/>
  </r>
  <r>
    <x v="23"/>
    <x v="32"/>
    <x v="12"/>
    <n v="20113"/>
    <n v="48008.69"/>
    <n v="6.58"/>
    <n v="3043.8"/>
    <n v="0.55600000000000005"/>
    <n v="5.4"/>
  </r>
  <r>
    <x v="23"/>
    <x v="33"/>
    <x v="6"/>
    <n v="27693"/>
    <n v="62499.9"/>
    <n v="6.47"/>
    <n v="4327.8999999999996"/>
    <n v="0.61899999999999999"/>
    <n v="6.3"/>
  </r>
  <r>
    <x v="23"/>
    <x v="34"/>
    <x v="9"/>
    <n v="25248"/>
    <n v="51984.05"/>
    <n v="6.58"/>
    <n v="3894"/>
    <n v="0.41199999999999998"/>
    <n v="6.1"/>
  </r>
  <r>
    <x v="23"/>
    <x v="35"/>
    <x v="14"/>
    <n v="18183"/>
    <n v="41026.400000000001"/>
    <n v="6.67"/>
    <n v="2779.7"/>
    <n v="0.26700000000000002"/>
    <n v="8.3000000000000007"/>
  </r>
  <r>
    <x v="24"/>
    <x v="0"/>
    <x v="28"/>
    <n v="45824"/>
    <n v="93425.279999999999"/>
    <n v="6.56"/>
    <n v="7006.5"/>
    <n v="0.379"/>
    <n v="7.2"/>
  </r>
  <r>
    <x v="24"/>
    <x v="1"/>
    <x v="2"/>
    <n v="25986"/>
    <n v="55518"/>
    <n v="6.47"/>
    <n v="4001.8"/>
    <n v="0.5"/>
    <n v="6.1"/>
  </r>
  <r>
    <x v="24"/>
    <x v="2"/>
    <x v="19"/>
    <n v="10152"/>
    <n v="23283.88"/>
    <n v="6.45"/>
    <n v="1540.5"/>
    <n v="0.6"/>
    <n v="6.2"/>
  </r>
  <r>
    <x v="24"/>
    <x v="3"/>
    <x v="3"/>
    <n v="23778"/>
    <n v="51504.17"/>
    <n v="6.42"/>
    <n v="3746.3"/>
    <n v="0.47399999999999998"/>
    <n v="7.6"/>
  </r>
  <r>
    <x v="24"/>
    <x v="4"/>
    <x v="6"/>
    <n v="24364"/>
    <n v="53398.92"/>
    <n v="6.52"/>
    <n v="3774.1"/>
    <n v="0.38100000000000001"/>
    <n v="7.1"/>
  </r>
  <r>
    <x v="24"/>
    <x v="5"/>
    <x v="11"/>
    <n v="33167"/>
    <n v="65021.27"/>
    <n v="6.37"/>
    <n v="5318"/>
    <n v="0.41699999999999998"/>
    <n v="7.8"/>
  </r>
  <r>
    <x v="24"/>
    <x v="6"/>
    <x v="4"/>
    <n v="19537"/>
    <n v="40346.160000000003"/>
    <n v="6.42"/>
    <n v="3095.5"/>
    <n v="0.64300000000000002"/>
    <n v="7.5"/>
  </r>
  <r>
    <x v="24"/>
    <x v="7"/>
    <x v="8"/>
    <n v="21016"/>
    <n v="45637.14"/>
    <n v="6.52"/>
    <n v="3335.1"/>
    <n v="0.438"/>
    <n v="8.1"/>
  </r>
  <r>
    <x v="24"/>
    <x v="8"/>
    <x v="12"/>
    <n v="22754"/>
    <n v="53775.48"/>
    <n v="6.39"/>
    <n v="3501.9"/>
    <n v="0.33300000000000002"/>
    <n v="7.8"/>
  </r>
  <r>
    <x v="24"/>
    <x v="9"/>
    <x v="9"/>
    <n v="25519"/>
    <n v="52745.98"/>
    <n v="6.22"/>
    <n v="4108.8999999999996"/>
    <n v="0.35299999999999998"/>
    <n v="7.7"/>
  </r>
  <r>
    <x v="24"/>
    <x v="10"/>
    <x v="11"/>
    <n v="37058"/>
    <n v="82266.960000000006"/>
    <n v="6.45"/>
    <n v="5902.7"/>
    <n v="0.58299999999999996"/>
    <n v="7.2"/>
  </r>
  <r>
    <x v="24"/>
    <x v="11"/>
    <x v="11"/>
    <n v="41413"/>
    <n v="88809.8"/>
    <n v="6.38"/>
    <n v="6534.1"/>
    <n v="0.625"/>
    <n v="6.5"/>
  </r>
  <r>
    <x v="24"/>
    <x v="12"/>
    <x v="3"/>
    <n v="29899"/>
    <n v="66241.78"/>
    <n v="6.62"/>
    <n v="4520.8"/>
    <n v="0.42099999999999999"/>
    <n v="5.9"/>
  </r>
  <r>
    <x v="24"/>
    <x v="13"/>
    <x v="5"/>
    <n v="17786"/>
    <n v="41925.93"/>
    <n v="6.65"/>
    <n v="2686.9"/>
    <n v="0.23100000000000001"/>
    <n v="6.9"/>
  </r>
  <r>
    <x v="24"/>
    <x v="14"/>
    <x v="4"/>
    <n v="22761"/>
    <n v="42960.959999999999"/>
    <n v="6.25"/>
    <n v="3604.6"/>
    <n v="0.28599999999999998"/>
    <n v="7.8"/>
  </r>
  <r>
    <x v="24"/>
    <x v="15"/>
    <x v="15"/>
    <n v="32600"/>
    <n v="68284.740000000005"/>
    <n v="6.37"/>
    <n v="5132"/>
    <n v="0.47799999999999998"/>
    <n v="6.4"/>
  </r>
  <r>
    <x v="24"/>
    <x v="16"/>
    <x v="9"/>
    <n v="29646"/>
    <n v="66406.16"/>
    <n v="6.6"/>
    <n v="4531.3"/>
    <n v="0.52900000000000003"/>
    <n v="7"/>
  </r>
  <r>
    <x v="24"/>
    <x v="17"/>
    <x v="7"/>
    <n v="20707"/>
    <n v="48458.8"/>
    <n v="6.44"/>
    <n v="3247.3"/>
    <n v="0.75"/>
    <n v="7.6"/>
  </r>
  <r>
    <x v="24"/>
    <x v="18"/>
    <x v="9"/>
    <n v="23663"/>
    <n v="49807"/>
    <n v="6.51"/>
    <n v="3706.7"/>
    <n v="0.47099999999999997"/>
    <n v="5.9"/>
  </r>
  <r>
    <x v="24"/>
    <x v="19"/>
    <x v="12"/>
    <n v="21842"/>
    <n v="49527.81"/>
    <n v="6.35"/>
    <n v="3487.4"/>
    <n v="0.44400000000000001"/>
    <n v="6.1"/>
  </r>
  <r>
    <x v="24"/>
    <x v="20"/>
    <x v="2"/>
    <n v="25785"/>
    <n v="50229.35"/>
    <n v="6.64"/>
    <n v="3919.6"/>
    <n v="0.6"/>
    <n v="6.8"/>
  </r>
  <r>
    <x v="24"/>
    <x v="21"/>
    <x v="14"/>
    <n v="19215"/>
    <n v="41464.879999999997"/>
    <n v="6.26"/>
    <n v="3097.8"/>
    <n v="0.4"/>
    <n v="6.5"/>
  </r>
  <r>
    <x v="24"/>
    <x v="22"/>
    <x v="11"/>
    <n v="41096"/>
    <n v="89721.23"/>
    <n v="6.45"/>
    <n v="6365.8"/>
    <n v="0.375"/>
    <n v="7.4"/>
  </r>
  <r>
    <x v="24"/>
    <x v="23"/>
    <x v="3"/>
    <n v="28511"/>
    <n v="60594.02"/>
    <n v="6.26"/>
    <n v="4566.5"/>
    <n v="0.52600000000000002"/>
    <n v="7.2"/>
  </r>
  <r>
    <x v="24"/>
    <x v="24"/>
    <x v="12"/>
    <n v="33811"/>
    <n v="77735.789999999994"/>
    <n v="6.48"/>
    <n v="5230.6000000000004"/>
    <n v="0.55600000000000005"/>
    <n v="7.4"/>
  </r>
  <r>
    <x v="24"/>
    <x v="25"/>
    <x v="4"/>
    <n v="22734"/>
    <n v="48182.27"/>
    <n v="6.49"/>
    <n v="3513.6"/>
    <n v="0.35699999999999998"/>
    <n v="7.4"/>
  </r>
  <r>
    <x v="24"/>
    <x v="26"/>
    <x v="13"/>
    <n v="38907"/>
    <n v="88361.08"/>
    <n v="6.48"/>
    <n v="5994.3"/>
    <n v="0.45500000000000002"/>
    <n v="6.4"/>
  </r>
  <r>
    <x v="24"/>
    <x v="27"/>
    <x v="5"/>
    <n v="15977"/>
    <n v="37799.160000000003"/>
    <n v="6.23"/>
    <n v="2569.1999999999998"/>
    <n v="0.46200000000000002"/>
    <n v="7.3"/>
  </r>
  <r>
    <x v="24"/>
    <x v="28"/>
    <x v="11"/>
    <n v="43547"/>
    <n v="98839.58"/>
    <n v="6.2"/>
    <n v="7086.9"/>
    <n v="0.375"/>
    <n v="6.4"/>
  </r>
  <r>
    <x v="24"/>
    <x v="29"/>
    <x v="6"/>
    <n v="25242"/>
    <n v="53283.33"/>
    <n v="6.45"/>
    <n v="3991.9"/>
    <n v="0.42899999999999999"/>
    <n v="7.3"/>
  </r>
  <r>
    <x v="24"/>
    <x v="30"/>
    <x v="17"/>
    <n v="31334"/>
    <n v="71195.5"/>
    <n v="6.56"/>
    <n v="4811.1000000000004"/>
    <n v="0.44"/>
    <n v="7.9"/>
  </r>
  <r>
    <x v="24"/>
    <x v="31"/>
    <x v="17"/>
    <n v="39478"/>
    <n v="88676.42"/>
    <n v="6.6"/>
    <n v="6013.9"/>
    <n v="0.6"/>
    <n v="5.9"/>
  </r>
  <r>
    <x v="24"/>
    <x v="32"/>
    <x v="13"/>
    <n v="30335"/>
    <n v="63110.99"/>
    <n v="6.63"/>
    <n v="4619.8"/>
    <n v="0.54500000000000004"/>
    <n v="7"/>
  </r>
  <r>
    <x v="24"/>
    <x v="33"/>
    <x v="9"/>
    <n v="24813"/>
    <n v="54102.34"/>
    <n v="6.57"/>
    <n v="3821.5"/>
    <n v="0.64700000000000002"/>
    <n v="6.7"/>
  </r>
  <r>
    <x v="24"/>
    <x v="34"/>
    <x v="2"/>
    <n v="30797"/>
    <n v="65996.09"/>
    <n v="6.62"/>
    <n v="4740.8999999999996"/>
    <n v="0.6"/>
    <n v="6.5"/>
  </r>
  <r>
    <x v="24"/>
    <x v="35"/>
    <x v="9"/>
    <n v="25794"/>
    <n v="55487.29"/>
    <n v="6.6"/>
    <n v="3890.2"/>
    <n v="0.29399999999999998"/>
    <n v="7.1"/>
  </r>
  <r>
    <x v="25"/>
    <x v="0"/>
    <x v="11"/>
    <n v="37044"/>
    <n v="82580.83"/>
    <n v="6.47"/>
    <n v="5838.5"/>
    <n v="0.41699999999999998"/>
    <n v="7.6"/>
  </r>
  <r>
    <x v="25"/>
    <x v="1"/>
    <x v="8"/>
    <n v="18846"/>
    <n v="40786.980000000003"/>
    <n v="6.36"/>
    <n v="3002"/>
    <n v="0.312"/>
    <n v="6"/>
  </r>
  <r>
    <x v="25"/>
    <x v="2"/>
    <x v="12"/>
    <n v="25535"/>
    <n v="56040.7"/>
    <n v="6.37"/>
    <n v="4106.6000000000004"/>
    <n v="0.38900000000000001"/>
    <n v="8"/>
  </r>
  <r>
    <x v="25"/>
    <x v="3"/>
    <x v="14"/>
    <n v="21148"/>
    <n v="43912.91"/>
    <n v="6.41"/>
    <n v="3451.9"/>
    <n v="0.46700000000000003"/>
    <n v="6.4"/>
  </r>
  <r>
    <x v="25"/>
    <x v="4"/>
    <x v="5"/>
    <n v="16402"/>
    <n v="33958.800000000003"/>
    <n v="6.36"/>
    <n v="2614.3000000000002"/>
    <n v="0.308"/>
    <n v="7.6"/>
  </r>
  <r>
    <x v="25"/>
    <x v="5"/>
    <x v="22"/>
    <n v="47564"/>
    <n v="99091.6"/>
    <n v="6.23"/>
    <n v="7707.7"/>
    <n v="0.46400000000000002"/>
    <n v="6.5"/>
  </r>
  <r>
    <x v="25"/>
    <x v="6"/>
    <x v="2"/>
    <n v="28183"/>
    <n v="60862.66"/>
    <n v="6.52"/>
    <n v="4398.5"/>
    <n v="0.35"/>
    <n v="5.6"/>
  </r>
  <r>
    <x v="25"/>
    <x v="7"/>
    <x v="12"/>
    <n v="25801"/>
    <n v="59943.519999999997"/>
    <n v="6.58"/>
    <n v="4072.4"/>
    <n v="0.61099999999999999"/>
    <n v="7.9"/>
  </r>
  <r>
    <x v="25"/>
    <x v="8"/>
    <x v="6"/>
    <n v="27747"/>
    <n v="58425.36"/>
    <n v="6.6"/>
    <n v="4301.2"/>
    <n v="0.57099999999999995"/>
    <n v="7.6"/>
  </r>
  <r>
    <x v="25"/>
    <x v="9"/>
    <x v="21"/>
    <n v="22524"/>
    <n v="43426.59"/>
    <n v="6.36"/>
    <n v="3577.2"/>
    <n v="0.63600000000000001"/>
    <n v="6.9"/>
  </r>
  <r>
    <x v="25"/>
    <x v="10"/>
    <x v="15"/>
    <n v="37496"/>
    <n v="81023.11"/>
    <n v="6.58"/>
    <n v="5708.4"/>
    <n v="0.47799999999999998"/>
    <n v="6.9"/>
  </r>
  <r>
    <x v="25"/>
    <x v="11"/>
    <x v="9"/>
    <n v="24408"/>
    <n v="53595.72"/>
    <n v="6.42"/>
    <n v="3842.3"/>
    <n v="0.17599999999999999"/>
    <n v="6.7"/>
  </r>
  <r>
    <x v="25"/>
    <x v="12"/>
    <x v="12"/>
    <n v="26504"/>
    <n v="57433.01"/>
    <n v="6.49"/>
    <n v="4109.7"/>
    <n v="0.55600000000000005"/>
    <n v="6.7"/>
  </r>
  <r>
    <x v="25"/>
    <x v="13"/>
    <x v="4"/>
    <n v="22632"/>
    <n v="49945.52"/>
    <n v="6.48"/>
    <n v="3576.2"/>
    <n v="0.35699999999999998"/>
    <n v="6.9"/>
  </r>
  <r>
    <x v="25"/>
    <x v="14"/>
    <x v="12"/>
    <n v="26974"/>
    <n v="62619.22"/>
    <n v="6.67"/>
    <n v="4056"/>
    <n v="0.66700000000000004"/>
    <n v="7.1"/>
  </r>
  <r>
    <x v="25"/>
    <x v="15"/>
    <x v="14"/>
    <n v="16447"/>
    <n v="35042.76"/>
    <n v="6.54"/>
    <n v="2559.9"/>
    <n v="0.2"/>
    <n v="6.7"/>
  </r>
  <r>
    <x v="25"/>
    <x v="16"/>
    <x v="2"/>
    <n v="28511"/>
    <n v="63530.81"/>
    <n v="6.51"/>
    <n v="4412.3"/>
    <n v="0.4"/>
    <n v="7"/>
  </r>
  <r>
    <x v="25"/>
    <x v="17"/>
    <x v="15"/>
    <n v="37366"/>
    <n v="78543.56"/>
    <n v="6.66"/>
    <n v="5663.7"/>
    <n v="0.52200000000000002"/>
    <n v="7.9"/>
  </r>
  <r>
    <x v="25"/>
    <x v="18"/>
    <x v="3"/>
    <n v="36646"/>
    <n v="79850.240000000005"/>
    <n v="6.51"/>
    <n v="5614.3"/>
    <n v="0.42099999999999999"/>
    <n v="7.1"/>
  </r>
  <r>
    <x v="25"/>
    <x v="19"/>
    <x v="14"/>
    <n v="22491"/>
    <n v="48935.33"/>
    <n v="6.89"/>
    <n v="3240.9"/>
    <n v="0.4"/>
    <n v="8.6"/>
  </r>
  <r>
    <x v="25"/>
    <x v="20"/>
    <x v="2"/>
    <n v="28781"/>
    <n v="64797.55"/>
    <n v="6.59"/>
    <n v="4373.8"/>
    <n v="0.65"/>
    <n v="6.2"/>
  </r>
  <r>
    <x v="25"/>
    <x v="21"/>
    <x v="2"/>
    <n v="31870"/>
    <n v="66383.429999999993"/>
    <n v="6.24"/>
    <n v="5211"/>
    <n v="0.55000000000000004"/>
    <n v="7.2"/>
  </r>
  <r>
    <x v="25"/>
    <x v="22"/>
    <x v="22"/>
    <n v="34727"/>
    <n v="81498.05"/>
    <n v="6.4"/>
    <n v="5464.3"/>
    <n v="0.53600000000000003"/>
    <n v="6.8"/>
  </r>
  <r>
    <x v="25"/>
    <x v="23"/>
    <x v="12"/>
    <n v="26634"/>
    <n v="59724.33"/>
    <n v="6.27"/>
    <n v="4276.5"/>
    <n v="0.27800000000000002"/>
    <n v="6.3"/>
  </r>
  <r>
    <x v="25"/>
    <x v="24"/>
    <x v="12"/>
    <n v="30873"/>
    <n v="73542.990000000005"/>
    <n v="6.44"/>
    <n v="4748.8999999999996"/>
    <n v="0.5"/>
    <n v="7.4"/>
  </r>
  <r>
    <x v="25"/>
    <x v="25"/>
    <x v="6"/>
    <n v="28284"/>
    <n v="59980.14"/>
    <n v="6.39"/>
    <n v="4400.3999999999996"/>
    <n v="0.38100000000000001"/>
    <n v="7.8"/>
  </r>
  <r>
    <x v="25"/>
    <x v="26"/>
    <x v="2"/>
    <n v="29492"/>
    <n v="66436.83"/>
    <n v="6.37"/>
    <n v="4763.6000000000004"/>
    <n v="0.55000000000000004"/>
    <n v="7.6"/>
  </r>
  <r>
    <x v="25"/>
    <x v="27"/>
    <x v="4"/>
    <n v="16951"/>
    <n v="35208.71"/>
    <n v="6.62"/>
    <n v="2616.6"/>
    <n v="0.57099999999999995"/>
    <n v="7.6"/>
  </r>
  <r>
    <x v="25"/>
    <x v="28"/>
    <x v="8"/>
    <n v="19335"/>
    <n v="37896.89"/>
    <n v="6.64"/>
    <n v="2903.4"/>
    <n v="0.375"/>
    <n v="6.8"/>
  </r>
  <r>
    <x v="25"/>
    <x v="29"/>
    <x v="2"/>
    <n v="28766"/>
    <n v="59417.42"/>
    <n v="6.43"/>
    <n v="4531.5"/>
    <n v="0.7"/>
    <n v="6.3"/>
  </r>
  <r>
    <x v="25"/>
    <x v="30"/>
    <x v="6"/>
    <n v="38148"/>
    <n v="79216.59"/>
    <n v="6.71"/>
    <n v="5644.1"/>
    <n v="0.61899999999999999"/>
    <n v="6.8"/>
  </r>
  <r>
    <x v="25"/>
    <x v="31"/>
    <x v="8"/>
    <n v="17632"/>
    <n v="38744"/>
    <n v="6.47"/>
    <n v="2729.1"/>
    <n v="0.312"/>
    <n v="6.3"/>
  </r>
  <r>
    <x v="25"/>
    <x v="32"/>
    <x v="15"/>
    <n v="32007"/>
    <n v="69151.520000000004"/>
    <n v="6.57"/>
    <n v="4899"/>
    <n v="0.217"/>
    <n v="7.7"/>
  </r>
  <r>
    <x v="25"/>
    <x v="33"/>
    <x v="3"/>
    <n v="30049"/>
    <n v="60093.81"/>
    <n v="6.44"/>
    <n v="4677.5"/>
    <n v="0.52600000000000002"/>
    <n v="6.8"/>
  </r>
  <r>
    <x v="25"/>
    <x v="34"/>
    <x v="9"/>
    <n v="26607"/>
    <n v="54304.73"/>
    <n v="6.41"/>
    <n v="4155.3"/>
    <n v="0.35299999999999998"/>
    <n v="5.0999999999999996"/>
  </r>
  <r>
    <x v="25"/>
    <x v="35"/>
    <x v="14"/>
    <n v="18420"/>
    <n v="40168.269999999997"/>
    <n v="6.4"/>
    <n v="2905.2"/>
    <n v="0.46700000000000003"/>
    <n v="6.2"/>
  </r>
  <r>
    <x v="26"/>
    <x v="0"/>
    <x v="4"/>
    <n v="25247"/>
    <n v="55073.84"/>
    <n v="6.55"/>
    <n v="3828.9"/>
    <n v="0.5"/>
    <n v="8.1999999999999993"/>
  </r>
  <r>
    <x v="26"/>
    <x v="1"/>
    <x v="2"/>
    <n v="21920"/>
    <n v="48445.03"/>
    <n v="6.39"/>
    <n v="3348.9"/>
    <n v="0.4"/>
    <n v="6.2"/>
  </r>
  <r>
    <x v="26"/>
    <x v="2"/>
    <x v="12"/>
    <n v="27048"/>
    <n v="59187.25"/>
    <n v="6.2"/>
    <n v="4397.3"/>
    <n v="0.5"/>
    <n v="7.4"/>
  </r>
  <r>
    <x v="26"/>
    <x v="3"/>
    <x v="8"/>
    <n v="21079"/>
    <n v="49173.55"/>
    <n v="6.3"/>
    <n v="3273.4"/>
    <n v="0.312"/>
    <n v="8.6"/>
  </r>
  <r>
    <x v="26"/>
    <x v="4"/>
    <x v="9"/>
    <n v="23608"/>
    <n v="52827.88"/>
    <n v="6.45"/>
    <n v="3674.4"/>
    <n v="0.17599999999999999"/>
    <n v="7"/>
  </r>
  <r>
    <x v="26"/>
    <x v="5"/>
    <x v="13"/>
    <n v="34091"/>
    <n v="75246.39"/>
    <n v="6.56"/>
    <n v="5268.6"/>
    <n v="0.45500000000000002"/>
    <n v="7.4"/>
  </r>
  <r>
    <x v="26"/>
    <x v="6"/>
    <x v="5"/>
    <n v="17991"/>
    <n v="35082.15"/>
    <n v="6.45"/>
    <n v="2843.5"/>
    <n v="7.6999999999999999E-2"/>
    <n v="7.3"/>
  </r>
  <r>
    <x v="26"/>
    <x v="7"/>
    <x v="3"/>
    <n v="33260"/>
    <n v="69754.19"/>
    <n v="6.89"/>
    <n v="4847.3"/>
    <n v="0.68400000000000005"/>
    <n v="6.9"/>
  </r>
  <r>
    <x v="26"/>
    <x v="8"/>
    <x v="13"/>
    <n v="36272"/>
    <n v="74204.289999999994"/>
    <n v="6.6"/>
    <n v="5578.5"/>
    <n v="0.40899999999999997"/>
    <n v="7.8"/>
  </r>
  <r>
    <x v="26"/>
    <x v="9"/>
    <x v="15"/>
    <n v="37647"/>
    <n v="84631.79"/>
    <n v="6.34"/>
    <n v="5945.7"/>
    <n v="0.56499999999999995"/>
    <n v="7.1"/>
  </r>
  <r>
    <x v="26"/>
    <x v="10"/>
    <x v="15"/>
    <n v="27894"/>
    <n v="64151.9"/>
    <n v="6.36"/>
    <n v="4452.3999999999996"/>
    <n v="0.60899999999999999"/>
    <n v="7.9"/>
  </r>
  <r>
    <x v="26"/>
    <x v="11"/>
    <x v="9"/>
    <n v="24935"/>
    <n v="50688.77"/>
    <n v="6.54"/>
    <n v="3822.8"/>
    <n v="0.29399999999999998"/>
    <n v="8"/>
  </r>
  <r>
    <x v="26"/>
    <x v="12"/>
    <x v="9"/>
    <n v="26153"/>
    <n v="58296.06"/>
    <n v="6.47"/>
    <n v="3996.8"/>
    <n v="0.58799999999999997"/>
    <n v="7.2"/>
  </r>
  <r>
    <x v="26"/>
    <x v="13"/>
    <x v="4"/>
    <n v="21391"/>
    <n v="46405.02"/>
    <n v="6.31"/>
    <n v="3385.5"/>
    <n v="0.42899999999999999"/>
    <n v="6.5"/>
  </r>
  <r>
    <x v="26"/>
    <x v="14"/>
    <x v="8"/>
    <n v="22275"/>
    <n v="45224.13"/>
    <n v="6.18"/>
    <n v="3591.1"/>
    <n v="0.438"/>
    <n v="7.7"/>
  </r>
  <r>
    <x v="26"/>
    <x v="15"/>
    <x v="7"/>
    <n v="15415"/>
    <n v="30479.7"/>
    <n v="6.41"/>
    <n v="2438.9"/>
    <n v="0.5"/>
    <n v="5.5"/>
  </r>
  <r>
    <x v="26"/>
    <x v="16"/>
    <x v="13"/>
    <n v="35358"/>
    <n v="68870.28"/>
    <n v="6.53"/>
    <n v="5515.9"/>
    <n v="0.5"/>
    <n v="7.1"/>
  </r>
  <r>
    <x v="26"/>
    <x v="17"/>
    <x v="12"/>
    <n v="23565"/>
    <n v="51887.23"/>
    <n v="6.16"/>
    <n v="3824.7"/>
    <n v="0.44400000000000001"/>
    <n v="7"/>
  </r>
  <r>
    <x v="26"/>
    <x v="18"/>
    <x v="13"/>
    <n v="31416"/>
    <n v="65473.38"/>
    <n v="6.7"/>
    <n v="4730"/>
    <n v="0.36399999999999999"/>
    <n v="7.9"/>
  </r>
  <r>
    <x v="26"/>
    <x v="19"/>
    <x v="6"/>
    <n v="35584"/>
    <n v="76791.97"/>
    <n v="6.76"/>
    <n v="5321"/>
    <n v="0.33300000000000002"/>
    <n v="7.9"/>
  </r>
  <r>
    <x v="26"/>
    <x v="20"/>
    <x v="15"/>
    <n v="32592"/>
    <n v="68760.509999999995"/>
    <n v="6.4"/>
    <n v="5161.8999999999996"/>
    <n v="0.435"/>
    <n v="6.9"/>
  </r>
  <r>
    <x v="26"/>
    <x v="21"/>
    <x v="12"/>
    <n v="28696"/>
    <n v="59631.79"/>
    <n v="6.58"/>
    <n v="4387.6000000000004"/>
    <n v="0.44400000000000001"/>
    <n v="7"/>
  </r>
  <r>
    <x v="26"/>
    <x v="22"/>
    <x v="17"/>
    <n v="39763"/>
    <n v="89785.52"/>
    <n v="6.58"/>
    <n v="6117.3"/>
    <n v="0.4"/>
    <n v="6.8"/>
  </r>
  <r>
    <x v="26"/>
    <x v="23"/>
    <x v="2"/>
    <n v="30337"/>
    <n v="62672.82"/>
    <n v="6.4"/>
    <n v="4744.8999999999996"/>
    <n v="0.55000000000000004"/>
    <n v="7.2"/>
  </r>
  <r>
    <x v="26"/>
    <x v="24"/>
    <x v="7"/>
    <n v="12971"/>
    <n v="28637.96"/>
    <n v="6.51"/>
    <n v="1994.7"/>
    <n v="0.66700000000000004"/>
    <n v="6.7"/>
  </r>
  <r>
    <x v="26"/>
    <x v="25"/>
    <x v="12"/>
    <n v="28892"/>
    <n v="60670.17"/>
    <n v="6.53"/>
    <n v="4471.5"/>
    <n v="0.5"/>
    <n v="8.1"/>
  </r>
  <r>
    <x v="26"/>
    <x v="26"/>
    <x v="15"/>
    <n v="33077"/>
    <n v="72917.990000000005"/>
    <n v="6.52"/>
    <n v="5165.6000000000004"/>
    <n v="0.435"/>
    <n v="7.1"/>
  </r>
  <r>
    <x v="26"/>
    <x v="27"/>
    <x v="6"/>
    <n v="31780"/>
    <n v="66888.58"/>
    <n v="6.5"/>
    <n v="4851.2"/>
    <n v="0.42899999999999999"/>
    <n v="7.4"/>
  </r>
  <r>
    <x v="26"/>
    <x v="28"/>
    <x v="3"/>
    <n v="23725"/>
    <n v="53211.24"/>
    <n v="6.34"/>
    <n v="3819.3"/>
    <n v="0.47399999999999998"/>
    <n v="6.6"/>
  </r>
  <r>
    <x v="26"/>
    <x v="29"/>
    <x v="6"/>
    <n v="27067"/>
    <n v="64430.46"/>
    <n v="6.66"/>
    <n v="4150.1000000000004"/>
    <n v="0.28599999999999998"/>
    <n v="7"/>
  </r>
  <r>
    <x v="26"/>
    <x v="30"/>
    <x v="14"/>
    <n v="18440"/>
    <n v="40482.43"/>
    <n v="6.43"/>
    <n v="2913.3"/>
    <n v="0.4"/>
    <n v="6.5"/>
  </r>
  <r>
    <x v="26"/>
    <x v="31"/>
    <x v="3"/>
    <n v="24475"/>
    <n v="59215.99"/>
    <n v="6.46"/>
    <n v="3810.5"/>
    <n v="0.42099999999999999"/>
    <n v="6.2"/>
  </r>
  <r>
    <x v="26"/>
    <x v="32"/>
    <x v="8"/>
    <n v="23426"/>
    <n v="58836.09"/>
    <n v="6.48"/>
    <n v="3590"/>
    <n v="0.5"/>
    <n v="7.1"/>
  </r>
  <r>
    <x v="26"/>
    <x v="33"/>
    <x v="13"/>
    <n v="32045"/>
    <n v="67804.12"/>
    <n v="6.44"/>
    <n v="5013.5"/>
    <n v="0.54500000000000004"/>
    <n v="7.4"/>
  </r>
  <r>
    <x v="26"/>
    <x v="34"/>
    <x v="5"/>
    <n v="16515"/>
    <n v="37897.82"/>
    <n v="6.37"/>
    <n v="2532.6"/>
    <n v="0.61499999999999999"/>
    <n v="7"/>
  </r>
  <r>
    <x v="26"/>
    <x v="35"/>
    <x v="19"/>
    <n v="17147"/>
    <n v="37177.81"/>
    <n v="6.55"/>
    <n v="2617.4"/>
    <n v="0.5"/>
    <n v="7.1"/>
  </r>
  <r>
    <x v="27"/>
    <x v="0"/>
    <x v="23"/>
    <n v="47344"/>
    <n v="100734.23"/>
    <n v="6.51"/>
    <n v="7350.8"/>
    <n v="0.63300000000000001"/>
    <n v="7.4"/>
  </r>
  <r>
    <x v="27"/>
    <x v="1"/>
    <x v="2"/>
    <n v="33080"/>
    <n v="72626.649999999994"/>
    <n v="6.37"/>
    <n v="5194.2"/>
    <n v="0.6"/>
    <n v="6.8"/>
  </r>
  <r>
    <x v="27"/>
    <x v="2"/>
    <x v="1"/>
    <n v="13757"/>
    <n v="30589.62"/>
    <n v="6.38"/>
    <n v="2201.5"/>
    <n v="0.55600000000000005"/>
    <n v="6.4"/>
  </r>
  <r>
    <x v="27"/>
    <x v="3"/>
    <x v="4"/>
    <n v="24873"/>
    <n v="56562.34"/>
    <n v="6.6"/>
    <n v="3750.5"/>
    <n v="0.35699999999999998"/>
    <n v="7.4"/>
  </r>
  <r>
    <x v="27"/>
    <x v="4"/>
    <x v="13"/>
    <n v="28079"/>
    <n v="62600.9"/>
    <n v="6.39"/>
    <n v="4454.8999999999996"/>
    <n v="0.318"/>
    <n v="7.3"/>
  </r>
  <r>
    <x v="27"/>
    <x v="5"/>
    <x v="2"/>
    <n v="34110"/>
    <n v="69070.19"/>
    <n v="6.55"/>
    <n v="5223.3999999999996"/>
    <n v="0.35"/>
    <n v="6.6"/>
  </r>
  <r>
    <x v="27"/>
    <x v="6"/>
    <x v="8"/>
    <n v="19327"/>
    <n v="38797.21"/>
    <n v="6.48"/>
    <n v="2976.8"/>
    <n v="0.75"/>
    <n v="6.2"/>
  </r>
  <r>
    <x v="27"/>
    <x v="7"/>
    <x v="11"/>
    <n v="34517"/>
    <n v="72605.47"/>
    <n v="6.39"/>
    <n v="5432.7"/>
    <n v="0.54200000000000004"/>
    <n v="5.9"/>
  </r>
  <r>
    <x v="27"/>
    <x v="8"/>
    <x v="7"/>
    <n v="18152"/>
    <n v="41892.800000000003"/>
    <n v="6.71"/>
    <n v="2707"/>
    <n v="0.5"/>
    <n v="7.2"/>
  </r>
  <r>
    <x v="27"/>
    <x v="9"/>
    <x v="12"/>
    <n v="27965"/>
    <n v="62571.22"/>
    <n v="6.7"/>
    <n v="4208.8999999999996"/>
    <n v="0.33300000000000002"/>
    <n v="7"/>
  </r>
  <r>
    <x v="27"/>
    <x v="10"/>
    <x v="15"/>
    <n v="31671"/>
    <n v="74119.960000000006"/>
    <n v="6.33"/>
    <n v="4976.8999999999996"/>
    <n v="0.435"/>
    <n v="6.8"/>
  </r>
  <r>
    <x v="27"/>
    <x v="11"/>
    <x v="21"/>
    <n v="20162"/>
    <n v="40223.64"/>
    <n v="6.43"/>
    <n v="3178.3"/>
    <n v="0.54500000000000004"/>
    <n v="7"/>
  </r>
  <r>
    <x v="27"/>
    <x v="12"/>
    <x v="12"/>
    <n v="28110"/>
    <n v="62117.25"/>
    <n v="6.19"/>
    <n v="4622"/>
    <n v="0.5"/>
    <n v="7.5"/>
  </r>
  <r>
    <x v="27"/>
    <x v="13"/>
    <x v="5"/>
    <n v="21526"/>
    <n v="50969.42"/>
    <n v="6.36"/>
    <n v="3426.3"/>
    <n v="0.46200000000000002"/>
    <n v="4.8"/>
  </r>
  <r>
    <x v="27"/>
    <x v="14"/>
    <x v="11"/>
    <n v="29633"/>
    <n v="64269.16"/>
    <n v="6.36"/>
    <n v="4765.8999999999996"/>
    <n v="0.375"/>
    <n v="7.1"/>
  </r>
  <r>
    <x v="27"/>
    <x v="15"/>
    <x v="2"/>
    <n v="29060"/>
    <n v="64618.55"/>
    <n v="6.47"/>
    <n v="4423.3999999999996"/>
    <n v="0.45"/>
    <n v="6.2"/>
  </r>
  <r>
    <x v="27"/>
    <x v="16"/>
    <x v="5"/>
    <n v="20160"/>
    <n v="41636.46"/>
    <n v="6.34"/>
    <n v="3285.2"/>
    <n v="0.53800000000000003"/>
    <n v="6"/>
  </r>
  <r>
    <x v="27"/>
    <x v="17"/>
    <x v="15"/>
    <n v="30577"/>
    <n v="67377.820000000007"/>
    <n v="6.57"/>
    <n v="4771.5"/>
    <n v="0.435"/>
    <n v="7"/>
  </r>
  <r>
    <x v="27"/>
    <x v="18"/>
    <x v="15"/>
    <n v="35697"/>
    <n v="80062.649999999994"/>
    <n v="6.48"/>
    <n v="5636.1"/>
    <n v="0.34799999999999998"/>
    <n v="7.3"/>
  </r>
  <r>
    <x v="27"/>
    <x v="19"/>
    <x v="15"/>
    <n v="31541"/>
    <n v="73086.2"/>
    <n v="6.5"/>
    <n v="4991.8999999999996"/>
    <n v="0.26100000000000001"/>
    <n v="7.5"/>
  </r>
  <r>
    <x v="27"/>
    <x v="20"/>
    <x v="6"/>
    <n v="28556"/>
    <n v="63151.59"/>
    <n v="6.62"/>
    <n v="4442.3999999999996"/>
    <n v="0.57099999999999995"/>
    <n v="6.2"/>
  </r>
  <r>
    <x v="27"/>
    <x v="21"/>
    <x v="12"/>
    <n v="21779"/>
    <n v="46854.29"/>
    <n v="6.45"/>
    <n v="3397.6"/>
    <n v="0.55600000000000005"/>
    <n v="6"/>
  </r>
  <r>
    <x v="27"/>
    <x v="22"/>
    <x v="2"/>
    <n v="22843"/>
    <n v="49827.73"/>
    <n v="6.36"/>
    <n v="3591.4"/>
    <n v="0.6"/>
    <n v="7.3"/>
  </r>
  <r>
    <x v="27"/>
    <x v="23"/>
    <x v="7"/>
    <n v="19944"/>
    <n v="40710.559999999998"/>
    <n v="6.41"/>
    <n v="3123.5"/>
    <n v="0.25"/>
    <n v="8.1999999999999993"/>
  </r>
  <r>
    <x v="27"/>
    <x v="24"/>
    <x v="11"/>
    <n v="29528"/>
    <n v="60298.97"/>
    <n v="6.36"/>
    <n v="4686.2"/>
    <n v="0.45800000000000002"/>
    <n v="5.6"/>
  </r>
  <r>
    <x v="27"/>
    <x v="25"/>
    <x v="5"/>
    <n v="26709"/>
    <n v="59948.78"/>
    <n v="6.49"/>
    <n v="4113.5"/>
    <n v="0.53800000000000003"/>
    <n v="7.7"/>
  </r>
  <r>
    <x v="27"/>
    <x v="26"/>
    <x v="14"/>
    <n v="21967"/>
    <n v="41740.410000000003"/>
    <n v="6.96"/>
    <n v="3246.6"/>
    <n v="0.33300000000000002"/>
    <n v="6.5"/>
  </r>
  <r>
    <x v="27"/>
    <x v="27"/>
    <x v="5"/>
    <n v="11683"/>
    <n v="22695.9"/>
    <n v="6.63"/>
    <n v="1759.9"/>
    <n v="0.308"/>
    <n v="7.7"/>
  </r>
  <r>
    <x v="27"/>
    <x v="28"/>
    <x v="6"/>
    <n v="30341"/>
    <n v="66486.7"/>
    <n v="6.6"/>
    <n v="4594.2"/>
    <n v="0.28599999999999998"/>
    <n v="6.6"/>
  </r>
  <r>
    <x v="27"/>
    <x v="29"/>
    <x v="9"/>
    <n v="27136"/>
    <n v="60890.31"/>
    <n v="6.63"/>
    <n v="4129.7"/>
    <n v="0.47099999999999997"/>
    <n v="6.6"/>
  </r>
  <r>
    <x v="27"/>
    <x v="30"/>
    <x v="12"/>
    <n v="22760"/>
    <n v="50300.88"/>
    <n v="6.39"/>
    <n v="3632.4"/>
    <n v="0.44400000000000001"/>
    <n v="7.8"/>
  </r>
  <r>
    <x v="27"/>
    <x v="31"/>
    <x v="2"/>
    <n v="26813"/>
    <n v="55295.43"/>
    <n v="6.46"/>
    <n v="4220.3"/>
    <n v="0.25"/>
    <n v="6.1"/>
  </r>
  <r>
    <x v="27"/>
    <x v="32"/>
    <x v="21"/>
    <n v="12909"/>
    <n v="31104.33"/>
    <n v="6.52"/>
    <n v="2050.6999999999998"/>
    <n v="0.182"/>
    <n v="6.6"/>
  </r>
  <r>
    <x v="27"/>
    <x v="33"/>
    <x v="11"/>
    <n v="36566"/>
    <n v="85013.79"/>
    <n v="6.4"/>
    <n v="5818.6"/>
    <n v="0.41699999999999998"/>
    <n v="7.2"/>
  </r>
  <r>
    <x v="27"/>
    <x v="34"/>
    <x v="17"/>
    <n v="35918"/>
    <n v="76616.06"/>
    <n v="6.46"/>
    <n v="5602.4"/>
    <n v="0.48"/>
    <n v="7.5"/>
  </r>
  <r>
    <x v="27"/>
    <x v="35"/>
    <x v="12"/>
    <n v="23512"/>
    <n v="56654.94"/>
    <n v="6.47"/>
    <n v="3632.5"/>
    <n v="0.33300000000000002"/>
    <n v="7.1"/>
  </r>
  <r>
    <x v="28"/>
    <x v="0"/>
    <x v="19"/>
    <n v="17646"/>
    <n v="38446.93"/>
    <n v="6.3"/>
    <n v="2798.9"/>
    <n v="0.8"/>
    <n v="8.4"/>
  </r>
  <r>
    <x v="28"/>
    <x v="1"/>
    <x v="8"/>
    <n v="20159"/>
    <n v="40847.440000000002"/>
    <n v="6.6"/>
    <n v="3109.6"/>
    <n v="0.56200000000000006"/>
    <n v="6.9"/>
  </r>
  <r>
    <x v="28"/>
    <x v="2"/>
    <x v="6"/>
    <n v="29187"/>
    <n v="58884.24"/>
    <n v="6.31"/>
    <n v="4682.2"/>
    <n v="0.47599999999999998"/>
    <n v="7.3"/>
  </r>
  <r>
    <x v="28"/>
    <x v="3"/>
    <x v="19"/>
    <n v="15674"/>
    <n v="34654.199999999997"/>
    <n v="6.57"/>
    <n v="2442"/>
    <n v="0.1"/>
    <n v="6.6"/>
  </r>
  <r>
    <x v="28"/>
    <x v="4"/>
    <x v="14"/>
    <n v="25209"/>
    <n v="51637.97"/>
    <n v="6.33"/>
    <n v="3978.2"/>
    <n v="0.4"/>
    <n v="7"/>
  </r>
  <r>
    <x v="28"/>
    <x v="5"/>
    <x v="6"/>
    <n v="23825"/>
    <n v="54279.94"/>
    <n v="6.59"/>
    <n v="3741.6"/>
    <n v="0.42899999999999999"/>
    <n v="6.6"/>
  </r>
  <r>
    <x v="28"/>
    <x v="6"/>
    <x v="8"/>
    <n v="21734"/>
    <n v="51370.239999999998"/>
    <n v="6.38"/>
    <n v="3464.2"/>
    <n v="0.375"/>
    <n v="7.1"/>
  </r>
  <r>
    <x v="28"/>
    <x v="7"/>
    <x v="12"/>
    <n v="19947"/>
    <n v="42610.71"/>
    <n v="6.41"/>
    <n v="3080.5"/>
    <n v="0.33300000000000002"/>
    <n v="7.2"/>
  </r>
  <r>
    <x v="28"/>
    <x v="8"/>
    <x v="2"/>
    <n v="28562"/>
    <n v="61123.29"/>
    <n v="6.44"/>
    <n v="4472.8999999999996"/>
    <n v="0.4"/>
    <n v="6.8"/>
  </r>
  <r>
    <x v="28"/>
    <x v="9"/>
    <x v="3"/>
    <n v="25227"/>
    <n v="48397.74"/>
    <n v="6.31"/>
    <n v="4016.5"/>
    <n v="0.42099999999999999"/>
    <n v="7"/>
  </r>
  <r>
    <x v="28"/>
    <x v="10"/>
    <x v="6"/>
    <n v="28997"/>
    <n v="56304.66"/>
    <n v="6.52"/>
    <n v="4527"/>
    <n v="0.57099999999999995"/>
    <n v="6.7"/>
  </r>
  <r>
    <x v="28"/>
    <x v="11"/>
    <x v="6"/>
    <n v="27836"/>
    <n v="62531.08"/>
    <n v="6.62"/>
    <n v="4219.8"/>
    <n v="0.61899999999999999"/>
    <n v="7.8"/>
  </r>
  <r>
    <x v="28"/>
    <x v="12"/>
    <x v="13"/>
    <n v="32403"/>
    <n v="69633.72"/>
    <n v="6.7"/>
    <n v="4860"/>
    <n v="0.5"/>
    <n v="7.5"/>
  </r>
  <r>
    <x v="28"/>
    <x v="13"/>
    <x v="19"/>
    <n v="19324"/>
    <n v="40782.86"/>
    <n v="6.53"/>
    <n v="2954.1"/>
    <n v="0.3"/>
    <n v="8.3000000000000007"/>
  </r>
  <r>
    <x v="28"/>
    <x v="14"/>
    <x v="9"/>
    <n v="29584"/>
    <n v="68412.850000000006"/>
    <n v="6.52"/>
    <n v="4633.8999999999996"/>
    <n v="0.29399999999999998"/>
    <n v="5.9"/>
  </r>
  <r>
    <x v="28"/>
    <x v="15"/>
    <x v="3"/>
    <n v="24674"/>
    <n v="50138.85"/>
    <n v="6.39"/>
    <n v="3800.3"/>
    <n v="0.63200000000000001"/>
    <n v="7.1"/>
  </r>
  <r>
    <x v="28"/>
    <x v="16"/>
    <x v="3"/>
    <n v="20705"/>
    <n v="46305.81"/>
    <n v="6.33"/>
    <n v="3282.4"/>
    <n v="0.47399999999999998"/>
    <n v="7.9"/>
  </r>
  <r>
    <x v="28"/>
    <x v="17"/>
    <x v="3"/>
    <n v="32100"/>
    <n v="75312.23"/>
    <n v="6.49"/>
    <n v="5034.2"/>
    <n v="0.63200000000000001"/>
    <n v="8.5"/>
  </r>
  <r>
    <x v="28"/>
    <x v="18"/>
    <x v="17"/>
    <n v="41839"/>
    <n v="88226.21"/>
    <n v="6.41"/>
    <n v="6575.5"/>
    <n v="0.48"/>
    <n v="7.2"/>
  </r>
  <r>
    <x v="28"/>
    <x v="19"/>
    <x v="6"/>
    <n v="24830"/>
    <n v="49788.43"/>
    <n v="6.68"/>
    <n v="3772.8"/>
    <n v="0.28599999999999998"/>
    <n v="7.2"/>
  </r>
  <r>
    <x v="28"/>
    <x v="20"/>
    <x v="4"/>
    <n v="22227"/>
    <n v="44916.01"/>
    <n v="6.39"/>
    <n v="3525.1"/>
    <n v="0.64300000000000002"/>
    <n v="6.6"/>
  </r>
  <r>
    <x v="28"/>
    <x v="21"/>
    <x v="12"/>
    <n v="30513"/>
    <n v="63767.63"/>
    <n v="6.59"/>
    <n v="4607.8"/>
    <n v="0.27800000000000002"/>
    <n v="6.1"/>
  </r>
  <r>
    <x v="28"/>
    <x v="22"/>
    <x v="13"/>
    <n v="30686"/>
    <n v="70163.83"/>
    <n v="6.57"/>
    <n v="4692.3999999999996"/>
    <n v="0.36399999999999999"/>
    <n v="8"/>
  </r>
  <r>
    <x v="28"/>
    <x v="23"/>
    <x v="11"/>
    <n v="36032"/>
    <n v="77804.59"/>
    <n v="6.47"/>
    <n v="5600.8"/>
    <n v="0.5"/>
    <n v="6.6"/>
  </r>
  <r>
    <x v="28"/>
    <x v="24"/>
    <x v="8"/>
    <n v="14960"/>
    <n v="29615.74"/>
    <n v="6.34"/>
    <n v="2357.4"/>
    <n v="0.375"/>
    <n v="7.1"/>
  </r>
  <r>
    <x v="28"/>
    <x v="25"/>
    <x v="15"/>
    <n v="33620"/>
    <n v="77915.210000000006"/>
    <n v="6.53"/>
    <n v="5157.7"/>
    <n v="0.30399999999999999"/>
    <n v="6.4"/>
  </r>
  <r>
    <x v="28"/>
    <x v="26"/>
    <x v="9"/>
    <n v="22424"/>
    <n v="44579.16"/>
    <n v="6.73"/>
    <n v="3445.4"/>
    <n v="0.41199999999999998"/>
    <n v="8"/>
  </r>
  <r>
    <x v="28"/>
    <x v="27"/>
    <x v="7"/>
    <n v="18439"/>
    <n v="39938.639999999999"/>
    <n v="6.65"/>
    <n v="2791"/>
    <n v="0.5"/>
    <n v="6.7"/>
  </r>
  <r>
    <x v="28"/>
    <x v="28"/>
    <x v="12"/>
    <n v="22837"/>
    <n v="48975.77"/>
    <n v="6.59"/>
    <n v="3546.2"/>
    <n v="0.55600000000000005"/>
    <n v="6.9"/>
  </r>
  <r>
    <x v="28"/>
    <x v="29"/>
    <x v="9"/>
    <n v="18043"/>
    <n v="38610.83"/>
    <n v="6.57"/>
    <n v="2726.1"/>
    <n v="0.29399999999999998"/>
    <n v="6.9"/>
  </r>
  <r>
    <x v="28"/>
    <x v="30"/>
    <x v="2"/>
    <n v="24901"/>
    <n v="51638.36"/>
    <n v="6.55"/>
    <n v="3906.9"/>
    <n v="0.5"/>
    <n v="7.8"/>
  </r>
  <r>
    <x v="28"/>
    <x v="31"/>
    <x v="5"/>
    <n v="18345"/>
    <n v="41132.699999999997"/>
    <n v="6.37"/>
    <n v="2842.3"/>
    <n v="0.46200000000000002"/>
    <n v="6.9"/>
  </r>
  <r>
    <x v="28"/>
    <x v="32"/>
    <x v="2"/>
    <n v="29239"/>
    <n v="64468.45"/>
    <n v="6.48"/>
    <n v="4502.6000000000004"/>
    <n v="0.45"/>
    <n v="8.1999999999999993"/>
  </r>
  <r>
    <x v="28"/>
    <x v="33"/>
    <x v="9"/>
    <n v="18253"/>
    <n v="36801.53"/>
    <n v="6.5"/>
    <n v="2930.6"/>
    <n v="0.41199999999999998"/>
    <n v="7.2"/>
  </r>
  <r>
    <x v="28"/>
    <x v="34"/>
    <x v="4"/>
    <n v="24015"/>
    <n v="50877.93"/>
    <n v="6.64"/>
    <n v="3576.6"/>
    <n v="0.57099999999999995"/>
    <n v="7.3"/>
  </r>
  <r>
    <x v="28"/>
    <x v="35"/>
    <x v="8"/>
    <n v="24971"/>
    <n v="59880.5"/>
    <n v="6.35"/>
    <n v="3941.3"/>
    <n v="0.5"/>
    <n v="6.8"/>
  </r>
  <r>
    <x v="29"/>
    <x v="0"/>
    <x v="9"/>
    <n v="26501"/>
    <n v="53581.120000000003"/>
    <n v="6.49"/>
    <n v="4021.1"/>
    <n v="0.47099999999999997"/>
    <n v="6.8"/>
  </r>
  <r>
    <x v="29"/>
    <x v="1"/>
    <x v="4"/>
    <n v="20671"/>
    <n v="45932.22"/>
    <n v="6.7"/>
    <n v="3086.3"/>
    <n v="0.5"/>
    <n v="6.7"/>
  </r>
  <r>
    <x v="29"/>
    <x v="2"/>
    <x v="3"/>
    <n v="25759"/>
    <n v="54630.86"/>
    <n v="6.72"/>
    <n v="3868.6"/>
    <n v="0.57899999999999996"/>
    <n v="7.7"/>
  </r>
  <r>
    <x v="29"/>
    <x v="3"/>
    <x v="21"/>
    <n v="14988"/>
    <n v="29589.88"/>
    <n v="6.43"/>
    <n v="2374"/>
    <n v="0.63600000000000001"/>
    <n v="6.5"/>
  </r>
  <r>
    <x v="29"/>
    <x v="4"/>
    <x v="7"/>
    <n v="18400"/>
    <n v="40224.83"/>
    <n v="6.87"/>
    <n v="2601.1"/>
    <n v="0.33300000000000002"/>
    <n v="7.6"/>
  </r>
  <r>
    <x v="29"/>
    <x v="5"/>
    <x v="5"/>
    <n v="20322"/>
    <n v="45671.22"/>
    <n v="6.15"/>
    <n v="3267.4"/>
    <n v="0.69199999999999995"/>
    <n v="7.7"/>
  </r>
  <r>
    <x v="29"/>
    <x v="6"/>
    <x v="5"/>
    <n v="16806"/>
    <n v="35720.949999999997"/>
    <n v="6.42"/>
    <n v="2616"/>
    <n v="0.53800000000000003"/>
    <n v="8.9"/>
  </r>
  <r>
    <x v="29"/>
    <x v="7"/>
    <x v="4"/>
    <n v="27653"/>
    <n v="55321.52"/>
    <n v="6.45"/>
    <n v="4365.6000000000004"/>
    <n v="0.35699999999999998"/>
    <n v="7.7"/>
  </r>
  <r>
    <x v="29"/>
    <x v="8"/>
    <x v="3"/>
    <n v="22671"/>
    <n v="47083.7"/>
    <n v="6.31"/>
    <n v="3623.1"/>
    <n v="0.36799999999999999"/>
    <n v="6.6"/>
  </r>
  <r>
    <x v="29"/>
    <x v="9"/>
    <x v="13"/>
    <n v="34166"/>
    <n v="72765.59"/>
    <n v="6.36"/>
    <n v="5424.4"/>
    <n v="0.27300000000000002"/>
    <n v="6.9"/>
  </r>
  <r>
    <x v="29"/>
    <x v="10"/>
    <x v="12"/>
    <n v="27118"/>
    <n v="58163.68"/>
    <n v="6.52"/>
    <n v="4111.3999999999996"/>
    <n v="0.38900000000000001"/>
    <n v="6.6"/>
  </r>
  <r>
    <x v="29"/>
    <x v="11"/>
    <x v="6"/>
    <n v="36588"/>
    <n v="79199.320000000007"/>
    <n v="6.39"/>
    <n v="5794.1"/>
    <n v="0.47599999999999998"/>
    <n v="6.8"/>
  </r>
  <r>
    <x v="29"/>
    <x v="12"/>
    <x v="8"/>
    <n v="23030"/>
    <n v="48638.11"/>
    <n v="6.63"/>
    <n v="3498.6"/>
    <n v="0.25"/>
    <n v="5.4"/>
  </r>
  <r>
    <x v="29"/>
    <x v="13"/>
    <x v="11"/>
    <n v="39023"/>
    <n v="81697.399999999994"/>
    <n v="6.54"/>
    <n v="5958.9"/>
    <n v="0.45800000000000002"/>
    <n v="6.3"/>
  </r>
  <r>
    <x v="29"/>
    <x v="14"/>
    <x v="17"/>
    <n v="36265"/>
    <n v="74376.41"/>
    <n v="6.57"/>
    <n v="5673.1"/>
    <n v="0.52"/>
    <n v="7.2"/>
  </r>
  <r>
    <x v="29"/>
    <x v="15"/>
    <x v="17"/>
    <n v="37667"/>
    <n v="89698.09"/>
    <n v="6.56"/>
    <n v="5731.2"/>
    <n v="0.68"/>
    <n v="6.9"/>
  </r>
  <r>
    <x v="29"/>
    <x v="16"/>
    <x v="29"/>
    <n v="12365"/>
    <n v="29193.3"/>
    <n v="6.29"/>
    <n v="1944.6"/>
    <n v="0.625"/>
    <n v="7.2"/>
  </r>
  <r>
    <x v="29"/>
    <x v="17"/>
    <x v="2"/>
    <n v="29085"/>
    <n v="63439.53"/>
    <n v="6.39"/>
    <n v="4640.7"/>
    <n v="0.3"/>
    <n v="6.7"/>
  </r>
  <r>
    <x v="29"/>
    <x v="18"/>
    <x v="2"/>
    <n v="33387"/>
    <n v="68321.58"/>
    <n v="6.6"/>
    <n v="5037.7"/>
    <n v="0.6"/>
    <n v="7"/>
  </r>
  <r>
    <x v="29"/>
    <x v="19"/>
    <x v="5"/>
    <n v="15799"/>
    <n v="32734.2"/>
    <n v="6.86"/>
    <n v="2295.6"/>
    <n v="0.23100000000000001"/>
    <n v="6.6"/>
  </r>
  <r>
    <x v="29"/>
    <x v="20"/>
    <x v="9"/>
    <n v="27295"/>
    <n v="54986.37"/>
    <n v="6.46"/>
    <n v="4263.1000000000004"/>
    <n v="0.41199999999999998"/>
    <n v="6.9"/>
  </r>
  <r>
    <x v="29"/>
    <x v="21"/>
    <x v="12"/>
    <n v="28677"/>
    <n v="63448.15"/>
    <n v="6.49"/>
    <n v="4469.3"/>
    <n v="0.55600000000000005"/>
    <n v="5.9"/>
  </r>
  <r>
    <x v="29"/>
    <x v="22"/>
    <x v="5"/>
    <n v="20460"/>
    <n v="41439.78"/>
    <n v="6.9"/>
    <n v="2918.8"/>
    <n v="0.46200000000000002"/>
    <n v="7.3"/>
  </r>
  <r>
    <x v="29"/>
    <x v="23"/>
    <x v="14"/>
    <n v="20261"/>
    <n v="42198.96"/>
    <n v="6.62"/>
    <n v="3085.2"/>
    <n v="0.53300000000000003"/>
    <n v="7.9"/>
  </r>
  <r>
    <x v="29"/>
    <x v="24"/>
    <x v="2"/>
    <n v="18414"/>
    <n v="36965.79"/>
    <n v="6.2"/>
    <n v="3024"/>
    <n v="0.15"/>
    <n v="6.8"/>
  </r>
  <r>
    <x v="29"/>
    <x v="25"/>
    <x v="8"/>
    <n v="20946"/>
    <n v="40399.230000000003"/>
    <n v="6.1"/>
    <n v="3505.6"/>
    <n v="0.375"/>
    <n v="7.2"/>
  </r>
  <r>
    <x v="29"/>
    <x v="26"/>
    <x v="6"/>
    <n v="29410"/>
    <n v="62250.57"/>
    <n v="6.68"/>
    <n v="4426.6000000000004"/>
    <n v="0.52400000000000002"/>
    <n v="6.8"/>
  </r>
  <r>
    <x v="29"/>
    <x v="27"/>
    <x v="4"/>
    <n v="25501"/>
    <n v="53908.84"/>
    <n v="6.69"/>
    <n v="3812.7"/>
    <n v="0.64300000000000002"/>
    <n v="7.1"/>
  </r>
  <r>
    <x v="29"/>
    <x v="28"/>
    <x v="9"/>
    <n v="18762"/>
    <n v="40456.480000000003"/>
    <n v="6.46"/>
    <n v="2962.8"/>
    <n v="0.47099999999999997"/>
    <n v="8.8000000000000007"/>
  </r>
  <r>
    <x v="29"/>
    <x v="29"/>
    <x v="9"/>
    <n v="23126"/>
    <n v="51039.3"/>
    <n v="6.47"/>
    <n v="3538.1"/>
    <n v="0.29399999999999998"/>
    <n v="7.6"/>
  </r>
  <r>
    <x v="29"/>
    <x v="30"/>
    <x v="8"/>
    <n v="21832"/>
    <n v="49432.07"/>
    <n v="6.51"/>
    <n v="3335"/>
    <n v="0.438"/>
    <n v="8.4"/>
  </r>
  <r>
    <x v="29"/>
    <x v="31"/>
    <x v="28"/>
    <n v="34179"/>
    <n v="72465.38"/>
    <n v="6.39"/>
    <n v="5384.4"/>
    <n v="0.44800000000000001"/>
    <n v="6.6"/>
  </r>
  <r>
    <x v="29"/>
    <x v="32"/>
    <x v="14"/>
    <n v="19063"/>
    <n v="41673.01"/>
    <n v="6.38"/>
    <n v="3047"/>
    <n v="0.46700000000000003"/>
    <n v="7.2"/>
  </r>
  <r>
    <x v="29"/>
    <x v="33"/>
    <x v="14"/>
    <n v="18137"/>
    <n v="40899"/>
    <n v="6.71"/>
    <n v="2715.8"/>
    <n v="0.66700000000000004"/>
    <n v="6.7"/>
  </r>
  <r>
    <x v="29"/>
    <x v="34"/>
    <x v="9"/>
    <n v="28235"/>
    <n v="54131.17"/>
    <n v="6.57"/>
    <n v="4249.2"/>
    <n v="0.52900000000000003"/>
    <n v="7.1"/>
  </r>
  <r>
    <x v="29"/>
    <x v="35"/>
    <x v="15"/>
    <n v="38166"/>
    <n v="83243.039999999994"/>
    <n v="6.35"/>
    <n v="6097.1"/>
    <n v="0.60899999999999999"/>
    <n v="6.8"/>
  </r>
  <r>
    <x v="30"/>
    <x v="0"/>
    <x v="28"/>
    <n v="37319"/>
    <n v="79220.179999999993"/>
    <n v="6.58"/>
    <n v="5702"/>
    <n v="0.41399999999999998"/>
    <n v="5.9"/>
  </r>
  <r>
    <x v="30"/>
    <x v="1"/>
    <x v="13"/>
    <n v="35992"/>
    <n v="72103.17"/>
    <n v="6.66"/>
    <n v="5450.5"/>
    <n v="0.45500000000000002"/>
    <n v="7.2"/>
  </r>
  <r>
    <x v="30"/>
    <x v="2"/>
    <x v="15"/>
    <n v="32638"/>
    <n v="63461.87"/>
    <n v="6.51"/>
    <n v="5000.3"/>
    <n v="0.47799999999999998"/>
    <n v="6.8"/>
  </r>
  <r>
    <x v="30"/>
    <x v="3"/>
    <x v="14"/>
    <n v="19308"/>
    <n v="41281.15"/>
    <n v="6.33"/>
    <n v="3085.4"/>
    <n v="0.46700000000000003"/>
    <n v="6.7"/>
  </r>
  <r>
    <x v="30"/>
    <x v="4"/>
    <x v="12"/>
    <n v="25161"/>
    <n v="53330.42"/>
    <n v="6.52"/>
    <n v="3861.6"/>
    <n v="0.55600000000000005"/>
    <n v="7.4"/>
  </r>
  <r>
    <x v="30"/>
    <x v="5"/>
    <x v="10"/>
    <n v="41960"/>
    <n v="89712.15"/>
    <n v="6.58"/>
    <n v="6404.1"/>
    <n v="0.33300000000000002"/>
    <n v="6.8"/>
  </r>
  <r>
    <x v="30"/>
    <x v="6"/>
    <x v="6"/>
    <n v="31713"/>
    <n v="68633.84"/>
    <n v="6.62"/>
    <n v="4867.8999999999996"/>
    <n v="0.57099999999999995"/>
    <n v="7.2"/>
  </r>
  <r>
    <x v="30"/>
    <x v="7"/>
    <x v="3"/>
    <n v="29394"/>
    <n v="62354.36"/>
    <n v="6.57"/>
    <n v="4480.5"/>
    <n v="0.52600000000000002"/>
    <n v="7.5"/>
  </r>
  <r>
    <x v="30"/>
    <x v="8"/>
    <x v="3"/>
    <n v="27668"/>
    <n v="55121.52"/>
    <n v="6.73"/>
    <n v="4149.3999999999996"/>
    <n v="0.316"/>
    <n v="7.3"/>
  </r>
  <r>
    <x v="30"/>
    <x v="9"/>
    <x v="13"/>
    <n v="36560"/>
    <n v="77812.67"/>
    <n v="6.5"/>
    <n v="5710.9"/>
    <n v="0.27300000000000002"/>
    <n v="6.8"/>
  </r>
  <r>
    <x v="30"/>
    <x v="10"/>
    <x v="12"/>
    <n v="20450"/>
    <n v="44884.37"/>
    <n v="6.32"/>
    <n v="3259.1"/>
    <n v="0.72199999999999998"/>
    <n v="6.3"/>
  </r>
  <r>
    <x v="30"/>
    <x v="11"/>
    <x v="3"/>
    <n v="28428"/>
    <n v="64751.45"/>
    <n v="6.6"/>
    <n v="4331"/>
    <n v="0.68400000000000005"/>
    <n v="6.5"/>
  </r>
  <r>
    <x v="30"/>
    <x v="12"/>
    <x v="3"/>
    <n v="22391"/>
    <n v="45074.85"/>
    <n v="6.76"/>
    <n v="3393.7"/>
    <n v="0.36799999999999999"/>
    <n v="6.7"/>
  </r>
  <r>
    <x v="30"/>
    <x v="13"/>
    <x v="13"/>
    <n v="37865"/>
    <n v="82407"/>
    <n v="6.54"/>
    <n v="5815.9"/>
    <n v="0.54500000000000004"/>
    <n v="7.4"/>
  </r>
  <r>
    <x v="30"/>
    <x v="14"/>
    <x v="15"/>
    <n v="35631"/>
    <n v="74052.44"/>
    <n v="6.47"/>
    <n v="5490.9"/>
    <n v="0.47799999999999998"/>
    <n v="7.3"/>
  </r>
  <r>
    <x v="30"/>
    <x v="15"/>
    <x v="4"/>
    <n v="17611"/>
    <n v="38481.69"/>
    <n v="6.41"/>
    <n v="2808.3"/>
    <n v="0.5"/>
    <n v="7.8"/>
  </r>
  <r>
    <x v="30"/>
    <x v="16"/>
    <x v="14"/>
    <n v="15229"/>
    <n v="33315.06"/>
    <n v="6.51"/>
    <n v="2363.5"/>
    <n v="0.66700000000000004"/>
    <n v="5.9"/>
  </r>
  <r>
    <x v="30"/>
    <x v="17"/>
    <x v="8"/>
    <n v="25338"/>
    <n v="60115.47"/>
    <n v="6.81"/>
    <n v="3700.6"/>
    <n v="0.5"/>
    <n v="8"/>
  </r>
  <r>
    <x v="30"/>
    <x v="18"/>
    <x v="2"/>
    <n v="28170"/>
    <n v="64750.37"/>
    <n v="6.54"/>
    <n v="4339.3999999999996"/>
    <n v="0.55000000000000004"/>
    <n v="7.4"/>
  </r>
  <r>
    <x v="30"/>
    <x v="19"/>
    <x v="6"/>
    <n v="32408"/>
    <n v="69867.75"/>
    <n v="6.48"/>
    <n v="4961.3999999999996"/>
    <n v="0.38100000000000001"/>
    <n v="7.5"/>
  </r>
  <r>
    <x v="30"/>
    <x v="20"/>
    <x v="8"/>
    <n v="25995"/>
    <n v="51939.64"/>
    <n v="6.55"/>
    <n v="3958.4"/>
    <n v="0.68799999999999994"/>
    <n v="7.4"/>
  </r>
  <r>
    <x v="30"/>
    <x v="21"/>
    <x v="17"/>
    <n v="40205"/>
    <n v="88362.62"/>
    <n v="6.56"/>
    <n v="6142"/>
    <n v="0.6"/>
    <n v="7.3"/>
  </r>
  <r>
    <x v="30"/>
    <x v="22"/>
    <x v="3"/>
    <n v="27652"/>
    <n v="59035.03"/>
    <n v="6.42"/>
    <n v="4364.3"/>
    <n v="0.42099999999999999"/>
    <n v="6.8"/>
  </r>
  <r>
    <x v="30"/>
    <x v="23"/>
    <x v="21"/>
    <n v="13930"/>
    <n v="30290.79"/>
    <n v="6.54"/>
    <n v="2105.8000000000002"/>
    <n v="0.45500000000000002"/>
    <n v="7.7"/>
  </r>
  <r>
    <x v="30"/>
    <x v="24"/>
    <x v="15"/>
    <n v="35588"/>
    <n v="71578.990000000005"/>
    <n v="6.51"/>
    <n v="5590.3"/>
    <n v="0.39100000000000001"/>
    <n v="7.6"/>
  </r>
  <r>
    <x v="30"/>
    <x v="25"/>
    <x v="8"/>
    <n v="23395"/>
    <n v="48640.51"/>
    <n v="6.5"/>
    <n v="3687.9"/>
    <n v="0.438"/>
    <n v="6.8"/>
  </r>
  <r>
    <x v="30"/>
    <x v="26"/>
    <x v="8"/>
    <n v="26203"/>
    <n v="58874.33"/>
    <n v="6.32"/>
    <n v="4176.3999999999996"/>
    <n v="0.375"/>
    <n v="6.1"/>
  </r>
  <r>
    <x v="30"/>
    <x v="27"/>
    <x v="3"/>
    <n v="29169"/>
    <n v="64892.23"/>
    <n v="6.55"/>
    <n v="4395.8"/>
    <n v="0.26300000000000001"/>
    <n v="6.8"/>
  </r>
  <r>
    <x v="30"/>
    <x v="28"/>
    <x v="8"/>
    <n v="24166"/>
    <n v="51888.92"/>
    <n v="6.59"/>
    <n v="3710.8"/>
    <n v="0.625"/>
    <n v="7.2"/>
  </r>
  <r>
    <x v="30"/>
    <x v="29"/>
    <x v="15"/>
    <n v="35992"/>
    <n v="76618.55"/>
    <n v="6.5"/>
    <n v="5583.8"/>
    <n v="0.39100000000000001"/>
    <n v="7.1"/>
  </r>
  <r>
    <x v="30"/>
    <x v="30"/>
    <x v="23"/>
    <n v="46305"/>
    <n v="96942.65"/>
    <n v="6.46"/>
    <n v="7210.9"/>
    <n v="0.36699999999999999"/>
    <n v="7.1"/>
  </r>
  <r>
    <x v="30"/>
    <x v="31"/>
    <x v="9"/>
    <n v="18410"/>
    <n v="42585.02"/>
    <n v="6.28"/>
    <n v="2943.6"/>
    <n v="0.52900000000000003"/>
    <n v="6.1"/>
  </r>
  <r>
    <x v="30"/>
    <x v="32"/>
    <x v="14"/>
    <n v="21654"/>
    <n v="44867.54"/>
    <n v="6.43"/>
    <n v="3382.5"/>
    <n v="0.46700000000000003"/>
    <n v="7.4"/>
  </r>
  <r>
    <x v="30"/>
    <x v="33"/>
    <x v="11"/>
    <n v="34202"/>
    <n v="75932.850000000006"/>
    <n v="6.36"/>
    <n v="5423.3"/>
    <n v="0.5"/>
    <n v="6.8"/>
  </r>
  <r>
    <x v="30"/>
    <x v="34"/>
    <x v="27"/>
    <n v="11331"/>
    <n v="24733.3"/>
    <n v="6.64"/>
    <n v="1732.2"/>
    <n v="0.71399999999999997"/>
    <n v="7.5"/>
  </r>
  <r>
    <x v="30"/>
    <x v="35"/>
    <x v="9"/>
    <n v="22278"/>
    <n v="51533.39"/>
    <n v="6.61"/>
    <n v="3348.8"/>
    <n v="0.64700000000000002"/>
    <n v="6"/>
  </r>
  <r>
    <x v="31"/>
    <x v="0"/>
    <x v="5"/>
    <n v="22234"/>
    <n v="42883.16"/>
    <n v="6.36"/>
    <n v="3582.3"/>
    <n v="0.23100000000000001"/>
    <n v="7.2"/>
  </r>
  <r>
    <x v="31"/>
    <x v="1"/>
    <x v="21"/>
    <n v="15084"/>
    <n v="30502.14"/>
    <n v="6.64"/>
    <n v="2328.3000000000002"/>
    <n v="0.54500000000000004"/>
    <n v="6.4"/>
  </r>
  <r>
    <x v="31"/>
    <x v="2"/>
    <x v="8"/>
    <n v="24118"/>
    <n v="55669.58"/>
    <n v="6.59"/>
    <n v="3716.9"/>
    <n v="0.375"/>
    <n v="6.6"/>
  </r>
  <r>
    <x v="31"/>
    <x v="3"/>
    <x v="5"/>
    <n v="16807"/>
    <n v="38789.19"/>
    <n v="6.57"/>
    <n v="2619.3000000000002"/>
    <n v="0.308"/>
    <n v="6.9"/>
  </r>
  <r>
    <x v="31"/>
    <x v="4"/>
    <x v="11"/>
    <n v="40199"/>
    <n v="89505.5"/>
    <n v="6.76"/>
    <n v="5978.2"/>
    <n v="0.45800000000000002"/>
    <n v="5.7"/>
  </r>
  <r>
    <x v="31"/>
    <x v="5"/>
    <x v="5"/>
    <n v="17232"/>
    <n v="38236.559999999998"/>
    <n v="6.73"/>
    <n v="2587.6999999999998"/>
    <n v="0.38500000000000001"/>
    <n v="8.1"/>
  </r>
  <r>
    <x v="31"/>
    <x v="6"/>
    <x v="4"/>
    <n v="15898"/>
    <n v="36623.360000000001"/>
    <n v="6.44"/>
    <n v="2524"/>
    <n v="0.57099999999999995"/>
    <n v="6.4"/>
  </r>
  <r>
    <x v="31"/>
    <x v="7"/>
    <x v="22"/>
    <n v="47234"/>
    <n v="103340.79"/>
    <n v="6.47"/>
    <n v="7426.4"/>
    <n v="0.53600000000000003"/>
    <n v="6.1"/>
  </r>
  <r>
    <x v="31"/>
    <x v="8"/>
    <x v="14"/>
    <n v="22154"/>
    <n v="46805.61"/>
    <n v="6.18"/>
    <n v="3694.7"/>
    <n v="0.2"/>
    <n v="7"/>
  </r>
  <r>
    <x v="31"/>
    <x v="9"/>
    <x v="3"/>
    <n v="30811"/>
    <n v="69924.02"/>
    <n v="6.79"/>
    <n v="4546.6000000000004"/>
    <n v="0.57899999999999996"/>
    <n v="6.9"/>
  </r>
  <r>
    <x v="31"/>
    <x v="10"/>
    <x v="2"/>
    <n v="28940"/>
    <n v="59971.06"/>
    <n v="6.62"/>
    <n v="4383.6000000000004"/>
    <n v="0.45"/>
    <n v="6.4"/>
  </r>
  <r>
    <x v="31"/>
    <x v="11"/>
    <x v="15"/>
    <n v="23413"/>
    <n v="45702.81"/>
    <n v="6.55"/>
    <n v="3604.8"/>
    <n v="0.435"/>
    <n v="7.9"/>
  </r>
  <r>
    <x v="31"/>
    <x v="12"/>
    <x v="0"/>
    <n v="39528"/>
    <n v="82358.960000000006"/>
    <n v="6.54"/>
    <n v="6269.1"/>
    <n v="0.42299999999999999"/>
    <n v="7.6"/>
  </r>
  <r>
    <x v="31"/>
    <x v="13"/>
    <x v="3"/>
    <n v="31277"/>
    <n v="66331.59"/>
    <n v="6.57"/>
    <n v="4896.2"/>
    <n v="0.42099999999999999"/>
    <n v="7"/>
  </r>
  <r>
    <x v="31"/>
    <x v="14"/>
    <x v="9"/>
    <n v="19591"/>
    <n v="42973.88"/>
    <n v="6.44"/>
    <n v="3060.9"/>
    <n v="0.35299999999999998"/>
    <n v="7.5"/>
  </r>
  <r>
    <x v="31"/>
    <x v="15"/>
    <x v="2"/>
    <n v="25677"/>
    <n v="52263.54"/>
    <n v="6.41"/>
    <n v="4072.2"/>
    <n v="0.4"/>
    <n v="6.7"/>
  </r>
  <r>
    <x v="31"/>
    <x v="16"/>
    <x v="11"/>
    <n v="33795"/>
    <n v="73378.05"/>
    <n v="6.43"/>
    <n v="5224.8"/>
    <n v="0.41699999999999998"/>
    <n v="6.8"/>
  </r>
  <r>
    <x v="31"/>
    <x v="17"/>
    <x v="2"/>
    <n v="30348"/>
    <n v="60450.95"/>
    <n v="6.5"/>
    <n v="4728.6000000000004"/>
    <n v="0.45"/>
    <n v="7.6"/>
  </r>
  <r>
    <x v="31"/>
    <x v="18"/>
    <x v="22"/>
    <n v="38671"/>
    <n v="83936.36"/>
    <n v="6.65"/>
    <n v="5829.9"/>
    <n v="0.5"/>
    <n v="6.3"/>
  </r>
  <r>
    <x v="31"/>
    <x v="19"/>
    <x v="25"/>
    <n v="42912"/>
    <n v="91719.67"/>
    <n v="6.37"/>
    <n v="6832.9"/>
    <n v="0.35499999999999998"/>
    <n v="6.8"/>
  </r>
  <r>
    <x v="31"/>
    <x v="20"/>
    <x v="3"/>
    <n v="29771"/>
    <n v="56975.21"/>
    <n v="6.59"/>
    <n v="4640.2"/>
    <n v="0.63200000000000001"/>
    <n v="6.7"/>
  </r>
  <r>
    <x v="31"/>
    <x v="21"/>
    <x v="8"/>
    <n v="23111"/>
    <n v="49101.46"/>
    <n v="6.48"/>
    <n v="3541.5"/>
    <n v="0.375"/>
    <n v="5.9"/>
  </r>
  <r>
    <x v="31"/>
    <x v="22"/>
    <x v="19"/>
    <n v="15515"/>
    <n v="33228.019999999997"/>
    <n v="6.75"/>
    <n v="2245.1"/>
    <n v="0.6"/>
    <n v="7"/>
  </r>
  <r>
    <x v="31"/>
    <x v="23"/>
    <x v="12"/>
    <n v="27712"/>
    <n v="59699.360000000001"/>
    <n v="6.42"/>
    <n v="4296.8999999999996"/>
    <n v="0.66700000000000004"/>
    <n v="7"/>
  </r>
  <r>
    <x v="31"/>
    <x v="24"/>
    <x v="17"/>
    <n v="31878"/>
    <n v="74528.91"/>
    <n v="6.45"/>
    <n v="4989.3999999999996"/>
    <n v="0.44"/>
    <n v="6.9"/>
  </r>
  <r>
    <x v="31"/>
    <x v="25"/>
    <x v="15"/>
    <n v="26137"/>
    <n v="51981.52"/>
    <n v="6.59"/>
    <n v="3990.5"/>
    <n v="0.56499999999999995"/>
    <n v="6.8"/>
  </r>
  <r>
    <x v="31"/>
    <x v="26"/>
    <x v="13"/>
    <n v="23077"/>
    <n v="47843.16"/>
    <n v="6.47"/>
    <n v="3602.8"/>
    <n v="0.27300000000000002"/>
    <n v="6.4"/>
  </r>
  <r>
    <x v="31"/>
    <x v="27"/>
    <x v="4"/>
    <n v="19576"/>
    <n v="39791.1"/>
    <n v="6.64"/>
    <n v="2939.8"/>
    <n v="0.5"/>
    <n v="8.3000000000000007"/>
  </r>
  <r>
    <x v="31"/>
    <x v="28"/>
    <x v="0"/>
    <n v="39637"/>
    <n v="86857.98"/>
    <n v="6.4"/>
    <n v="6354.6"/>
    <n v="0.192"/>
    <n v="6.9"/>
  </r>
  <r>
    <x v="31"/>
    <x v="29"/>
    <x v="9"/>
    <n v="32653"/>
    <n v="71354.94"/>
    <n v="6.64"/>
    <n v="5024.8"/>
    <n v="0.52900000000000003"/>
    <n v="7.4"/>
  </r>
  <r>
    <x v="31"/>
    <x v="30"/>
    <x v="21"/>
    <n v="19133"/>
    <n v="41493.93"/>
    <n v="6.48"/>
    <n v="2908.7"/>
    <n v="0.54500000000000004"/>
    <n v="7.1"/>
  </r>
  <r>
    <x v="31"/>
    <x v="31"/>
    <x v="14"/>
    <n v="17194"/>
    <n v="37858.67"/>
    <n v="6.86"/>
    <n v="2498.3000000000002"/>
    <n v="0.26700000000000002"/>
    <n v="7.5"/>
  </r>
  <r>
    <x v="31"/>
    <x v="32"/>
    <x v="11"/>
    <n v="37961"/>
    <n v="75691.37"/>
    <n v="6.76"/>
    <n v="5690.6"/>
    <n v="0.125"/>
    <n v="6.3"/>
  </r>
  <r>
    <x v="31"/>
    <x v="33"/>
    <x v="11"/>
    <n v="43726"/>
    <n v="99365.74"/>
    <n v="6.48"/>
    <n v="6815.2"/>
    <n v="0.58299999999999996"/>
    <n v="7.1"/>
  </r>
  <r>
    <x v="31"/>
    <x v="34"/>
    <x v="8"/>
    <n v="29700"/>
    <n v="61193.72"/>
    <n v="6.41"/>
    <n v="4708.3999999999996"/>
    <n v="0.625"/>
    <n v="7.2"/>
  </r>
  <r>
    <x v="31"/>
    <x v="35"/>
    <x v="8"/>
    <n v="25585"/>
    <n v="57752.61"/>
    <n v="6.5"/>
    <n v="3967.1"/>
    <n v="0.56200000000000006"/>
    <n v="6.4"/>
  </r>
  <r>
    <x v="32"/>
    <x v="0"/>
    <x v="8"/>
    <n v="23893"/>
    <n v="47953.06"/>
    <n v="6.4"/>
    <n v="3788.2"/>
    <n v="0.375"/>
    <n v="7.1"/>
  </r>
  <r>
    <x v="32"/>
    <x v="1"/>
    <x v="9"/>
    <n v="26211"/>
    <n v="56551.38"/>
    <n v="6.47"/>
    <n v="4057.8"/>
    <n v="0.41199999999999998"/>
    <n v="7.4"/>
  </r>
  <r>
    <x v="32"/>
    <x v="2"/>
    <x v="12"/>
    <n v="30681"/>
    <n v="62972.86"/>
    <n v="6.72"/>
    <n v="4677.8"/>
    <n v="0.27800000000000002"/>
    <n v="7.1"/>
  </r>
  <r>
    <x v="32"/>
    <x v="3"/>
    <x v="12"/>
    <n v="26404"/>
    <n v="60109.33"/>
    <n v="6.55"/>
    <n v="3998.2"/>
    <n v="0.72199999999999998"/>
    <n v="6.7"/>
  </r>
  <r>
    <x v="32"/>
    <x v="4"/>
    <x v="22"/>
    <n v="40138"/>
    <n v="81676.27"/>
    <n v="6.51"/>
    <n v="6250.9"/>
    <n v="0.53600000000000003"/>
    <n v="6.6"/>
  </r>
  <r>
    <x v="32"/>
    <x v="5"/>
    <x v="12"/>
    <n v="30726"/>
    <n v="70209.02"/>
    <n v="6.6"/>
    <n v="4725"/>
    <n v="0.5"/>
    <n v="7.3"/>
  </r>
  <r>
    <x v="32"/>
    <x v="6"/>
    <x v="6"/>
    <n v="30182"/>
    <n v="59465.27"/>
    <n v="6.48"/>
    <n v="4743.1000000000004"/>
    <n v="0.61899999999999999"/>
    <n v="7"/>
  </r>
  <r>
    <x v="32"/>
    <x v="7"/>
    <x v="1"/>
    <n v="12725"/>
    <n v="28170.02"/>
    <n v="6.77"/>
    <n v="1880.4"/>
    <n v="0.44400000000000001"/>
    <n v="7.5"/>
  </r>
  <r>
    <x v="32"/>
    <x v="8"/>
    <x v="2"/>
    <n v="27242"/>
    <n v="58014.61"/>
    <n v="6.52"/>
    <n v="4160.5"/>
    <n v="0.3"/>
    <n v="6.2"/>
  </r>
  <r>
    <x v="32"/>
    <x v="9"/>
    <x v="23"/>
    <n v="47560"/>
    <n v="101573.41"/>
    <n v="6.53"/>
    <n v="7315"/>
    <n v="0.56699999999999995"/>
    <n v="6"/>
  </r>
  <r>
    <x v="32"/>
    <x v="10"/>
    <x v="9"/>
    <n v="21646"/>
    <n v="45376.28"/>
    <n v="6.6"/>
    <n v="3288.2"/>
    <n v="0.41199999999999998"/>
    <n v="7.1"/>
  </r>
  <r>
    <x v="32"/>
    <x v="11"/>
    <x v="4"/>
    <n v="12729"/>
    <n v="29630.12"/>
    <n v="6.47"/>
    <n v="2055.9"/>
    <n v="0.5"/>
    <n v="7.5"/>
  </r>
  <r>
    <x v="32"/>
    <x v="12"/>
    <x v="28"/>
    <n v="35615"/>
    <n v="74722.41"/>
    <n v="6.58"/>
    <n v="5440"/>
    <n v="0.44800000000000001"/>
    <n v="7.1"/>
  </r>
  <r>
    <x v="32"/>
    <x v="13"/>
    <x v="3"/>
    <n v="27390"/>
    <n v="57155.51"/>
    <n v="6.48"/>
    <n v="4256.8"/>
    <n v="0.52600000000000002"/>
    <n v="7"/>
  </r>
  <r>
    <x v="32"/>
    <x v="14"/>
    <x v="3"/>
    <n v="30206"/>
    <n v="58998.18"/>
    <n v="6.53"/>
    <n v="4671"/>
    <n v="0.42099999999999999"/>
    <n v="6.6"/>
  </r>
  <r>
    <x v="32"/>
    <x v="15"/>
    <x v="3"/>
    <n v="27669"/>
    <n v="60779.519999999997"/>
    <n v="6.47"/>
    <n v="4319.8"/>
    <n v="0.42099999999999999"/>
    <n v="7.7"/>
  </r>
  <r>
    <x v="32"/>
    <x v="16"/>
    <x v="13"/>
    <n v="32657"/>
    <n v="69565.119999999995"/>
    <n v="6.45"/>
    <n v="5077.5"/>
    <n v="0.318"/>
    <n v="6.1"/>
  </r>
  <r>
    <x v="32"/>
    <x v="17"/>
    <x v="3"/>
    <n v="32849"/>
    <n v="69259.91"/>
    <n v="6.55"/>
    <n v="5096.3"/>
    <n v="0.26300000000000001"/>
    <n v="7.5"/>
  </r>
  <r>
    <x v="32"/>
    <x v="18"/>
    <x v="14"/>
    <n v="22769"/>
    <n v="52076.800000000003"/>
    <n v="6.66"/>
    <n v="3450.3"/>
    <n v="0.26700000000000002"/>
    <n v="6.1"/>
  </r>
  <r>
    <x v="32"/>
    <x v="19"/>
    <x v="12"/>
    <n v="29215"/>
    <n v="62770.87"/>
    <n v="6.39"/>
    <n v="4676.3999999999996"/>
    <n v="0.55600000000000005"/>
    <n v="7.8"/>
  </r>
  <r>
    <x v="32"/>
    <x v="20"/>
    <x v="14"/>
    <n v="20331"/>
    <n v="45222.52"/>
    <n v="6.73"/>
    <n v="3038.9"/>
    <n v="0.53300000000000003"/>
    <n v="7.3"/>
  </r>
  <r>
    <x v="32"/>
    <x v="21"/>
    <x v="2"/>
    <n v="31966"/>
    <n v="63733.71"/>
    <n v="6.62"/>
    <n v="4819.7"/>
    <n v="0.4"/>
    <n v="7.9"/>
  </r>
  <r>
    <x v="32"/>
    <x v="22"/>
    <x v="3"/>
    <n v="24155"/>
    <n v="50417.279999999999"/>
    <n v="6.49"/>
    <n v="3682.6"/>
    <n v="0.42099999999999999"/>
    <n v="6.8"/>
  </r>
  <r>
    <x v="32"/>
    <x v="23"/>
    <x v="13"/>
    <n v="30491"/>
    <n v="66076.960000000006"/>
    <n v="6.47"/>
    <n v="4696"/>
    <n v="0.27300000000000002"/>
    <n v="6.9"/>
  </r>
  <r>
    <x v="32"/>
    <x v="24"/>
    <x v="13"/>
    <n v="35914"/>
    <n v="75137.279999999999"/>
    <n v="6.48"/>
    <n v="5570.1"/>
    <n v="0.45500000000000002"/>
    <n v="6.8"/>
  </r>
  <r>
    <x v="32"/>
    <x v="25"/>
    <x v="13"/>
    <n v="37686"/>
    <n v="80085.37"/>
    <n v="6.52"/>
    <n v="5801.2"/>
    <n v="0.45500000000000002"/>
    <n v="7.5"/>
  </r>
  <r>
    <x v="32"/>
    <x v="26"/>
    <x v="7"/>
    <n v="14835"/>
    <n v="31055.97"/>
    <n v="6.65"/>
    <n v="2202.1"/>
    <n v="0.41699999999999998"/>
    <n v="8.4"/>
  </r>
  <r>
    <x v="32"/>
    <x v="27"/>
    <x v="11"/>
    <n v="26117"/>
    <n v="53090.05"/>
    <n v="6.42"/>
    <n v="4151.8"/>
    <n v="0.45800000000000002"/>
    <n v="7.5"/>
  </r>
  <r>
    <x v="32"/>
    <x v="28"/>
    <x v="3"/>
    <n v="25620"/>
    <n v="54504.07"/>
    <n v="6.72"/>
    <n v="3909.4"/>
    <n v="0.47399999999999998"/>
    <n v="6.4"/>
  </r>
  <r>
    <x v="32"/>
    <x v="29"/>
    <x v="3"/>
    <n v="30386"/>
    <n v="65881.960000000006"/>
    <n v="6.61"/>
    <n v="4582.2"/>
    <n v="0.52600000000000002"/>
    <n v="7.3"/>
  </r>
  <r>
    <x v="32"/>
    <x v="30"/>
    <x v="10"/>
    <n v="34427"/>
    <n v="78173"/>
    <n v="6.53"/>
    <n v="5397.8"/>
    <n v="0.51900000000000002"/>
    <n v="7.5"/>
  </r>
  <r>
    <x v="32"/>
    <x v="31"/>
    <x v="6"/>
    <n v="31049"/>
    <n v="65630.64"/>
    <n v="6.58"/>
    <n v="4768.1000000000004"/>
    <n v="0.38100000000000001"/>
    <n v="6.9"/>
  </r>
  <r>
    <x v="32"/>
    <x v="32"/>
    <x v="2"/>
    <n v="25245"/>
    <n v="56352.99"/>
    <n v="6.52"/>
    <n v="3850.7"/>
    <n v="0.45"/>
    <n v="6.7"/>
  </r>
  <r>
    <x v="32"/>
    <x v="33"/>
    <x v="15"/>
    <n v="27586"/>
    <n v="59048.47"/>
    <n v="6.62"/>
    <n v="4209.2"/>
    <n v="0.60899999999999999"/>
    <n v="7.4"/>
  </r>
  <r>
    <x v="32"/>
    <x v="34"/>
    <x v="3"/>
    <n v="26479"/>
    <n v="52801.63"/>
    <n v="6.46"/>
    <n v="4120.8"/>
    <n v="0.42099999999999999"/>
    <n v="7.3"/>
  </r>
  <r>
    <x v="32"/>
    <x v="35"/>
    <x v="14"/>
    <n v="25677"/>
    <n v="56254.87"/>
    <n v="6.62"/>
    <n v="3990.4"/>
    <n v="0.33300000000000002"/>
    <n v="6.5"/>
  </r>
  <r>
    <x v="33"/>
    <x v="0"/>
    <x v="3"/>
    <n v="27306"/>
    <n v="61664.32"/>
    <n v="6.65"/>
    <n v="3994.2"/>
    <n v="0.42099999999999999"/>
    <n v="7.2"/>
  </r>
  <r>
    <x v="33"/>
    <x v="1"/>
    <x v="5"/>
    <n v="19098"/>
    <n v="42745.67"/>
    <n v="6.59"/>
    <n v="2922.5"/>
    <n v="0.23100000000000001"/>
    <n v="6.8"/>
  </r>
  <r>
    <x v="33"/>
    <x v="2"/>
    <x v="8"/>
    <n v="23001"/>
    <n v="54912.01"/>
    <n v="6.48"/>
    <n v="3516.1"/>
    <n v="0.625"/>
    <n v="7.3"/>
  </r>
  <r>
    <x v="33"/>
    <x v="3"/>
    <x v="12"/>
    <n v="25996"/>
    <n v="60883.67"/>
    <n v="6.69"/>
    <n v="3889.4"/>
    <n v="0.38900000000000001"/>
    <n v="7"/>
  </r>
  <r>
    <x v="33"/>
    <x v="4"/>
    <x v="5"/>
    <n v="22059"/>
    <n v="48016.02"/>
    <n v="6.35"/>
    <n v="3477.7"/>
    <n v="0.61499999999999999"/>
    <n v="6.4"/>
  </r>
  <r>
    <x v="33"/>
    <x v="5"/>
    <x v="14"/>
    <n v="23465"/>
    <n v="47148.47"/>
    <n v="6.65"/>
    <n v="3583"/>
    <n v="0.4"/>
    <n v="6.3"/>
  </r>
  <r>
    <x v="33"/>
    <x v="6"/>
    <x v="8"/>
    <n v="22289"/>
    <n v="48417.95"/>
    <n v="6.3"/>
    <n v="3533.8"/>
    <n v="0.438"/>
    <n v="8.6"/>
  </r>
  <r>
    <x v="33"/>
    <x v="7"/>
    <x v="3"/>
    <n v="25538"/>
    <n v="51602.99"/>
    <n v="6.65"/>
    <n v="3885.5"/>
    <n v="0.47399999999999998"/>
    <n v="7.5"/>
  </r>
  <r>
    <x v="33"/>
    <x v="8"/>
    <x v="0"/>
    <n v="38370"/>
    <n v="87664.320000000007"/>
    <n v="6.54"/>
    <n v="5941.9"/>
    <n v="0.5"/>
    <n v="7.3"/>
  </r>
  <r>
    <x v="33"/>
    <x v="9"/>
    <x v="2"/>
    <n v="22140"/>
    <n v="44344.11"/>
    <n v="6.51"/>
    <n v="3434.3"/>
    <n v="0.6"/>
    <n v="6.8"/>
  </r>
  <r>
    <x v="33"/>
    <x v="10"/>
    <x v="9"/>
    <n v="23197"/>
    <n v="46978.27"/>
    <n v="6.62"/>
    <n v="3521.8"/>
    <n v="0.47099999999999997"/>
    <n v="6.8"/>
  </r>
  <r>
    <x v="33"/>
    <x v="11"/>
    <x v="15"/>
    <n v="23589"/>
    <n v="50804.44"/>
    <n v="6.43"/>
    <n v="3695.9"/>
    <n v="0.52200000000000002"/>
    <n v="6.9"/>
  </r>
  <r>
    <x v="33"/>
    <x v="12"/>
    <x v="6"/>
    <n v="29205"/>
    <n v="61499.64"/>
    <n v="6.62"/>
    <n v="4416"/>
    <n v="0.52400000000000002"/>
    <n v="6.8"/>
  </r>
  <r>
    <x v="33"/>
    <x v="13"/>
    <x v="21"/>
    <n v="10867"/>
    <n v="21260.49"/>
    <n v="6.47"/>
    <n v="1726.1"/>
    <n v="0.45500000000000002"/>
    <n v="8.3000000000000007"/>
  </r>
  <r>
    <x v="33"/>
    <x v="14"/>
    <x v="8"/>
    <n v="21247"/>
    <n v="40472.019999999997"/>
    <n v="6.52"/>
    <n v="3254.1"/>
    <n v="0.56200000000000006"/>
    <n v="6.6"/>
  </r>
  <r>
    <x v="33"/>
    <x v="15"/>
    <x v="14"/>
    <n v="22726"/>
    <n v="47010.11"/>
    <n v="6.69"/>
    <n v="3425.5"/>
    <n v="0.53300000000000003"/>
    <n v="6.4"/>
  </r>
  <r>
    <x v="33"/>
    <x v="16"/>
    <x v="12"/>
    <n v="22067"/>
    <n v="47474.34"/>
    <n v="6.67"/>
    <n v="3305.6"/>
    <n v="0.61099999999999999"/>
    <n v="5.9"/>
  </r>
  <r>
    <x v="33"/>
    <x v="17"/>
    <x v="14"/>
    <n v="22712"/>
    <n v="51892.93"/>
    <n v="6.93"/>
    <n v="3267.8"/>
    <n v="0.6"/>
    <n v="7.5"/>
  </r>
  <r>
    <x v="33"/>
    <x v="18"/>
    <x v="11"/>
    <n v="39632"/>
    <n v="85474.89"/>
    <n v="6.56"/>
    <n v="6011.1"/>
    <n v="0.45800000000000002"/>
    <n v="8"/>
  </r>
  <r>
    <x v="33"/>
    <x v="19"/>
    <x v="9"/>
    <n v="21584"/>
    <n v="47778.19"/>
    <n v="6.53"/>
    <n v="3308.5"/>
    <n v="0.35299999999999998"/>
    <n v="6.3"/>
  </r>
  <r>
    <x v="33"/>
    <x v="20"/>
    <x v="13"/>
    <n v="31705"/>
    <n v="61133.99"/>
    <n v="6.71"/>
    <n v="4678.8999999999996"/>
    <n v="0.40899999999999997"/>
    <n v="6.6"/>
  </r>
  <r>
    <x v="33"/>
    <x v="21"/>
    <x v="2"/>
    <n v="27025"/>
    <n v="59188.160000000003"/>
    <n v="6.41"/>
    <n v="4270.8999999999996"/>
    <n v="0.5"/>
    <n v="6.9"/>
  </r>
  <r>
    <x v="33"/>
    <x v="22"/>
    <x v="11"/>
    <n v="28275"/>
    <n v="60673.4"/>
    <n v="6.44"/>
    <n v="4441.8"/>
    <n v="0.45800000000000002"/>
    <n v="7"/>
  </r>
  <r>
    <x v="33"/>
    <x v="23"/>
    <x v="11"/>
    <n v="36682"/>
    <n v="80933.63"/>
    <n v="6.35"/>
    <n v="5863.2"/>
    <n v="0.16700000000000001"/>
    <n v="6.2"/>
  </r>
  <r>
    <x v="33"/>
    <x v="24"/>
    <x v="15"/>
    <n v="34672"/>
    <n v="81977.38"/>
    <n v="6.55"/>
    <n v="5446.8"/>
    <n v="0.52200000000000002"/>
    <n v="6.1"/>
  </r>
  <r>
    <x v="33"/>
    <x v="25"/>
    <x v="10"/>
    <n v="37928"/>
    <n v="81331.3"/>
    <n v="6.5"/>
    <n v="5843.5"/>
    <n v="0.59299999999999997"/>
    <n v="6"/>
  </r>
  <r>
    <x v="33"/>
    <x v="26"/>
    <x v="3"/>
    <n v="29975"/>
    <n v="63313.35"/>
    <n v="6.3"/>
    <n v="4794.8"/>
    <n v="0.26300000000000001"/>
    <n v="7.6"/>
  </r>
  <r>
    <x v="33"/>
    <x v="27"/>
    <x v="17"/>
    <n v="33614"/>
    <n v="71469.009999999995"/>
    <n v="6.51"/>
    <n v="5165.8"/>
    <n v="0.44"/>
    <n v="6.1"/>
  </r>
  <r>
    <x v="33"/>
    <x v="28"/>
    <x v="3"/>
    <n v="18179"/>
    <n v="38896.559999999998"/>
    <n v="6.33"/>
    <n v="2971.3"/>
    <n v="0.57899999999999996"/>
    <n v="6.9"/>
  </r>
  <r>
    <x v="33"/>
    <x v="29"/>
    <x v="9"/>
    <n v="25151"/>
    <n v="55329.68"/>
    <n v="6.33"/>
    <n v="3999.7"/>
    <n v="0.47099999999999997"/>
    <n v="7.8"/>
  </r>
  <r>
    <x v="33"/>
    <x v="30"/>
    <x v="15"/>
    <n v="37227"/>
    <n v="81693.48"/>
    <n v="6.43"/>
    <n v="5842.5"/>
    <n v="0.435"/>
    <n v="7.1"/>
  </r>
  <r>
    <x v="33"/>
    <x v="31"/>
    <x v="9"/>
    <n v="26331"/>
    <n v="57878.45"/>
    <n v="6.56"/>
    <n v="4060.2"/>
    <n v="0.41199999999999998"/>
    <n v="6.7"/>
  </r>
  <r>
    <x v="33"/>
    <x v="32"/>
    <x v="19"/>
    <n v="19164"/>
    <n v="41182.33"/>
    <n v="6.52"/>
    <n v="2897.9"/>
    <n v="0.5"/>
    <n v="6.5"/>
  </r>
  <r>
    <x v="33"/>
    <x v="33"/>
    <x v="15"/>
    <n v="37911"/>
    <n v="82462.42"/>
    <n v="6.72"/>
    <n v="5662.1"/>
    <n v="0.34799999999999998"/>
    <n v="6.8"/>
  </r>
  <r>
    <x v="33"/>
    <x v="34"/>
    <x v="3"/>
    <n v="27704"/>
    <n v="56224.66"/>
    <n v="6.57"/>
    <n v="4240.3"/>
    <n v="0.26300000000000001"/>
    <n v="6.9"/>
  </r>
  <r>
    <x v="33"/>
    <x v="35"/>
    <x v="12"/>
    <n v="28027"/>
    <n v="57809.77"/>
    <n v="6.63"/>
    <n v="4269.3999999999996"/>
    <n v="0.38900000000000001"/>
    <n v="8.6"/>
  </r>
  <r>
    <x v="34"/>
    <x v="0"/>
    <x v="6"/>
    <n v="22668"/>
    <n v="50028.26"/>
    <n v="6.67"/>
    <n v="3445.2"/>
    <n v="0.38100000000000001"/>
    <n v="8.1"/>
  </r>
  <r>
    <x v="34"/>
    <x v="1"/>
    <x v="8"/>
    <n v="25234"/>
    <n v="46380.09"/>
    <n v="6.43"/>
    <n v="4020.3"/>
    <n v="0.5"/>
    <n v="7.5"/>
  </r>
  <r>
    <x v="34"/>
    <x v="2"/>
    <x v="6"/>
    <n v="40137"/>
    <n v="80176.69"/>
    <n v="6.63"/>
    <n v="6111.2"/>
    <n v="0.57099999999999995"/>
    <n v="6.7"/>
  </r>
  <r>
    <x v="34"/>
    <x v="3"/>
    <x v="17"/>
    <n v="31879"/>
    <n v="70252.22"/>
    <n v="6.46"/>
    <n v="4956.8999999999996"/>
    <n v="0.6"/>
    <n v="6.3"/>
  </r>
  <r>
    <x v="34"/>
    <x v="4"/>
    <x v="3"/>
    <n v="23981"/>
    <n v="45603.21"/>
    <n v="6.19"/>
    <n v="3949.5"/>
    <n v="0.316"/>
    <n v="7.6"/>
  </r>
  <r>
    <x v="34"/>
    <x v="5"/>
    <x v="13"/>
    <n v="30125"/>
    <n v="61062.87"/>
    <n v="6.55"/>
    <n v="4670.6000000000004"/>
    <n v="0.318"/>
    <n v="6.4"/>
  </r>
  <r>
    <x v="34"/>
    <x v="6"/>
    <x v="5"/>
    <n v="22165"/>
    <n v="45965.23"/>
    <n v="6.67"/>
    <n v="3338.6"/>
    <n v="0.53800000000000003"/>
    <n v="6.7"/>
  </r>
  <r>
    <x v="34"/>
    <x v="7"/>
    <x v="2"/>
    <n v="27816"/>
    <n v="61984.11"/>
    <n v="6.6"/>
    <n v="4220.6000000000004"/>
    <n v="0.45"/>
    <n v="7.2"/>
  </r>
  <r>
    <x v="34"/>
    <x v="8"/>
    <x v="13"/>
    <n v="36913"/>
    <n v="77257.27"/>
    <n v="6.39"/>
    <n v="5824.6"/>
    <n v="0.36399999999999999"/>
    <n v="7.5"/>
  </r>
  <r>
    <x v="34"/>
    <x v="9"/>
    <x v="15"/>
    <n v="30447"/>
    <n v="65233.45"/>
    <n v="6.48"/>
    <n v="4824.2"/>
    <n v="0.435"/>
    <n v="7.1"/>
  </r>
  <r>
    <x v="34"/>
    <x v="10"/>
    <x v="6"/>
    <n v="28448"/>
    <n v="54958.49"/>
    <n v="6.43"/>
    <n v="4506.2"/>
    <n v="0.42899999999999999"/>
    <n v="7.5"/>
  </r>
  <r>
    <x v="34"/>
    <x v="11"/>
    <x v="13"/>
    <n v="31783"/>
    <n v="67737.259999999995"/>
    <n v="6.43"/>
    <n v="4954.5"/>
    <n v="0.40899999999999997"/>
    <n v="7.6"/>
  </r>
  <r>
    <x v="34"/>
    <x v="12"/>
    <x v="19"/>
    <n v="13759"/>
    <n v="31023.07"/>
    <n v="6.18"/>
    <n v="2265.9"/>
    <n v="0.8"/>
    <n v="5.6"/>
  </r>
  <r>
    <x v="34"/>
    <x v="13"/>
    <x v="8"/>
    <n v="23329"/>
    <n v="53063.56"/>
    <n v="6.86"/>
    <n v="3474.9"/>
    <n v="0.312"/>
    <n v="7.2"/>
  </r>
  <r>
    <x v="34"/>
    <x v="14"/>
    <x v="11"/>
    <n v="26304"/>
    <n v="57249.919999999998"/>
    <n v="6.54"/>
    <n v="4070.9"/>
    <n v="0.375"/>
    <n v="6.4"/>
  </r>
  <r>
    <x v="34"/>
    <x v="15"/>
    <x v="7"/>
    <n v="18599"/>
    <n v="42981.99"/>
    <n v="6.18"/>
    <n v="2990.8"/>
    <n v="0.33300000000000002"/>
    <n v="6.9"/>
  </r>
  <r>
    <x v="34"/>
    <x v="16"/>
    <x v="3"/>
    <n v="30675"/>
    <n v="65864.22"/>
    <n v="6.44"/>
    <n v="4814.8"/>
    <n v="0.42099999999999999"/>
    <n v="6.6"/>
  </r>
  <r>
    <x v="34"/>
    <x v="17"/>
    <x v="6"/>
    <n v="25745"/>
    <n v="56649.07"/>
    <n v="6.74"/>
    <n v="3790.6"/>
    <n v="0.47599999999999998"/>
    <n v="6.5"/>
  </r>
  <r>
    <x v="34"/>
    <x v="18"/>
    <x v="8"/>
    <n v="21017"/>
    <n v="44605.27"/>
    <n v="6.53"/>
    <n v="3267.3"/>
    <n v="0.438"/>
    <n v="8.6999999999999993"/>
  </r>
  <r>
    <x v="34"/>
    <x v="19"/>
    <x v="1"/>
    <n v="15992"/>
    <n v="32930.79"/>
    <n v="6.44"/>
    <n v="2512.6"/>
    <n v="0.222"/>
    <n v="6.4"/>
  </r>
  <r>
    <x v="34"/>
    <x v="20"/>
    <x v="12"/>
    <n v="21877"/>
    <n v="46884.28"/>
    <n v="6.22"/>
    <n v="3543.3"/>
    <n v="0.5"/>
    <n v="7.2"/>
  </r>
  <r>
    <x v="34"/>
    <x v="21"/>
    <x v="12"/>
    <n v="21881"/>
    <n v="43044.480000000003"/>
    <n v="6.47"/>
    <n v="3411.4"/>
    <n v="0.5"/>
    <n v="7.6"/>
  </r>
  <r>
    <x v="34"/>
    <x v="22"/>
    <x v="14"/>
    <n v="20913"/>
    <n v="42635.92"/>
    <n v="6.32"/>
    <n v="3308.3"/>
    <n v="0.46700000000000003"/>
    <n v="5.8"/>
  </r>
  <r>
    <x v="34"/>
    <x v="23"/>
    <x v="9"/>
    <n v="19497"/>
    <n v="41925.54"/>
    <n v="6.38"/>
    <n v="3138.8"/>
    <n v="0.47099999999999997"/>
    <n v="7.4"/>
  </r>
  <r>
    <x v="34"/>
    <x v="24"/>
    <x v="5"/>
    <n v="19055"/>
    <n v="40539.050000000003"/>
    <n v="6.74"/>
    <n v="2817.6"/>
    <n v="0.46200000000000002"/>
    <n v="7.2"/>
  </r>
  <r>
    <x v="34"/>
    <x v="25"/>
    <x v="9"/>
    <n v="24086"/>
    <n v="45792.28"/>
    <n v="6.41"/>
    <n v="3720.6"/>
    <n v="0.47099999999999997"/>
    <n v="7.6"/>
  </r>
  <r>
    <x v="34"/>
    <x v="26"/>
    <x v="9"/>
    <n v="20387"/>
    <n v="44473.27"/>
    <n v="6.32"/>
    <n v="3270.3"/>
    <n v="0.35299999999999998"/>
    <n v="7.6"/>
  </r>
  <r>
    <x v="34"/>
    <x v="27"/>
    <x v="6"/>
    <n v="32106"/>
    <n v="67494.06"/>
    <n v="6.42"/>
    <n v="5066.6000000000004"/>
    <n v="0.57099999999999995"/>
    <n v="6.6"/>
  </r>
  <r>
    <x v="34"/>
    <x v="28"/>
    <x v="3"/>
    <n v="24841"/>
    <n v="53372.6"/>
    <n v="6.43"/>
    <n v="3957.5"/>
    <n v="0.26300000000000001"/>
    <n v="6.4"/>
  </r>
  <r>
    <x v="34"/>
    <x v="29"/>
    <x v="3"/>
    <n v="29892"/>
    <n v="69376.09"/>
    <n v="6.45"/>
    <n v="4683.8"/>
    <n v="0.42099999999999999"/>
    <n v="6.6"/>
  </r>
  <r>
    <x v="34"/>
    <x v="30"/>
    <x v="4"/>
    <n v="18383"/>
    <n v="40682.720000000001"/>
    <n v="6.4"/>
    <n v="2915"/>
    <n v="0.35699999999999998"/>
    <n v="6.5"/>
  </r>
  <r>
    <x v="34"/>
    <x v="31"/>
    <x v="4"/>
    <n v="25172"/>
    <n v="51134.239999999998"/>
    <n v="6.63"/>
    <n v="3780.7"/>
    <n v="0.5"/>
    <n v="7.3"/>
  </r>
  <r>
    <x v="34"/>
    <x v="32"/>
    <x v="6"/>
    <n v="25588"/>
    <n v="48557.77"/>
    <n v="6.56"/>
    <n v="3864"/>
    <n v="0.57099999999999995"/>
    <n v="5.9"/>
  </r>
  <r>
    <x v="34"/>
    <x v="33"/>
    <x v="12"/>
    <n v="27834"/>
    <n v="65937.119999999995"/>
    <n v="6.35"/>
    <n v="4386.7"/>
    <n v="0.44400000000000001"/>
    <n v="7.8"/>
  </r>
  <r>
    <x v="34"/>
    <x v="34"/>
    <x v="3"/>
    <n v="21699"/>
    <n v="47759.21"/>
    <n v="6.38"/>
    <n v="3467.3"/>
    <n v="0.47399999999999998"/>
    <n v="7.6"/>
  </r>
  <r>
    <x v="34"/>
    <x v="35"/>
    <x v="17"/>
    <n v="38228"/>
    <n v="80409.2"/>
    <n v="6.36"/>
    <n v="6038"/>
    <n v="0.32"/>
    <n v="6.7"/>
  </r>
  <r>
    <x v="35"/>
    <x v="0"/>
    <x v="15"/>
    <n v="30345"/>
    <n v="61688"/>
    <n v="6.67"/>
    <n v="4543.6000000000004"/>
    <n v="0.65200000000000002"/>
    <n v="6"/>
  </r>
  <r>
    <x v="35"/>
    <x v="1"/>
    <x v="3"/>
    <n v="16701"/>
    <n v="36072.92"/>
    <n v="6.34"/>
    <n v="2720.1"/>
    <n v="0.47399999999999998"/>
    <n v="5.8"/>
  </r>
  <r>
    <x v="35"/>
    <x v="2"/>
    <x v="6"/>
    <n v="35497"/>
    <n v="76866.31"/>
    <n v="6.44"/>
    <n v="5496"/>
    <n v="0.47599999999999998"/>
    <n v="6.7"/>
  </r>
  <r>
    <x v="35"/>
    <x v="3"/>
    <x v="17"/>
    <n v="29599"/>
    <n v="65377.73"/>
    <n v="6.66"/>
    <n v="4518.8999999999996"/>
    <n v="0.44"/>
    <n v="6.7"/>
  </r>
  <r>
    <x v="35"/>
    <x v="4"/>
    <x v="6"/>
    <n v="35440"/>
    <n v="74041.59"/>
    <n v="6.32"/>
    <n v="5612.9"/>
    <n v="0.47599999999999998"/>
    <n v="7.6"/>
  </r>
  <r>
    <x v="35"/>
    <x v="5"/>
    <x v="17"/>
    <n v="37164"/>
    <n v="83844.77"/>
    <n v="6.52"/>
    <n v="5876.8"/>
    <n v="0.56000000000000005"/>
    <n v="6.7"/>
  </r>
  <r>
    <x v="35"/>
    <x v="6"/>
    <x v="23"/>
    <n v="44874"/>
    <n v="96565.88"/>
    <n v="6.41"/>
    <n v="7078.8"/>
    <n v="0.433"/>
    <n v="7.7"/>
  </r>
  <r>
    <x v="35"/>
    <x v="7"/>
    <x v="2"/>
    <n v="33530"/>
    <n v="67794.13"/>
    <n v="6.52"/>
    <n v="5111.2"/>
    <n v="0.5"/>
    <n v="6.6"/>
  </r>
  <r>
    <x v="35"/>
    <x v="8"/>
    <x v="13"/>
    <n v="34728"/>
    <n v="68006.38"/>
    <n v="6.76"/>
    <n v="5229.3999999999996"/>
    <n v="0.45500000000000002"/>
    <n v="6.6"/>
  </r>
  <r>
    <x v="35"/>
    <x v="9"/>
    <x v="21"/>
    <n v="14009"/>
    <n v="27821.77"/>
    <n v="6.54"/>
    <n v="2157.1999999999998"/>
    <n v="0.72699999999999998"/>
    <n v="8"/>
  </r>
  <r>
    <x v="35"/>
    <x v="10"/>
    <x v="17"/>
    <n v="34521"/>
    <n v="74484.94"/>
    <n v="6.38"/>
    <n v="5481.6"/>
    <n v="0.4"/>
    <n v="6.4"/>
  </r>
  <r>
    <x v="35"/>
    <x v="11"/>
    <x v="0"/>
    <n v="34536"/>
    <n v="73804.27"/>
    <n v="6.64"/>
    <n v="5260.6"/>
    <n v="0.5"/>
    <n v="7.3"/>
  </r>
  <r>
    <x v="35"/>
    <x v="12"/>
    <x v="6"/>
    <n v="28190"/>
    <n v="63596.67"/>
    <n v="6.52"/>
    <n v="4310.6000000000004"/>
    <n v="0.28599999999999998"/>
    <n v="5.7"/>
  </r>
  <r>
    <x v="35"/>
    <x v="13"/>
    <x v="14"/>
    <n v="22983"/>
    <n v="48661.75"/>
    <n v="6.35"/>
    <n v="3690.2"/>
    <n v="0.53300000000000003"/>
    <n v="6.9"/>
  </r>
  <r>
    <x v="35"/>
    <x v="14"/>
    <x v="6"/>
    <n v="26559"/>
    <n v="53911.05"/>
    <n v="6.59"/>
    <n v="4005.6"/>
    <n v="0.28599999999999998"/>
    <n v="6.2"/>
  </r>
  <r>
    <x v="35"/>
    <x v="15"/>
    <x v="8"/>
    <n v="23883"/>
    <n v="49958.86"/>
    <n v="6.58"/>
    <n v="3672"/>
    <n v="0.188"/>
    <n v="7.3"/>
  </r>
  <r>
    <x v="35"/>
    <x v="16"/>
    <x v="3"/>
    <n v="30932"/>
    <n v="71904.84"/>
    <n v="6.43"/>
    <n v="4853.2"/>
    <n v="0.47399999999999998"/>
    <n v="7.2"/>
  </r>
  <r>
    <x v="35"/>
    <x v="17"/>
    <x v="14"/>
    <n v="20890"/>
    <n v="42915.8"/>
    <n v="6.5"/>
    <n v="3241.5"/>
    <n v="0.46700000000000003"/>
    <n v="6.5"/>
  </r>
  <r>
    <x v="35"/>
    <x v="18"/>
    <x v="8"/>
    <n v="20812"/>
    <n v="44029.32"/>
    <n v="6.73"/>
    <n v="3123.6"/>
    <n v="0.5"/>
    <n v="7.8"/>
  </r>
  <r>
    <x v="35"/>
    <x v="19"/>
    <x v="6"/>
    <n v="29275"/>
    <n v="67406.77"/>
    <n v="6.45"/>
    <n v="4549"/>
    <n v="0.38100000000000001"/>
    <n v="7.1"/>
  </r>
  <r>
    <x v="35"/>
    <x v="20"/>
    <x v="5"/>
    <n v="13950"/>
    <n v="30138.3"/>
    <n v="6.26"/>
    <n v="2281.3000000000002"/>
    <n v="0.46200000000000002"/>
    <n v="7.3"/>
  </r>
  <r>
    <x v="35"/>
    <x v="21"/>
    <x v="8"/>
    <n v="20585"/>
    <n v="38769.56"/>
    <n v="6.67"/>
    <n v="3061.8"/>
    <n v="0.25"/>
    <n v="6.9"/>
  </r>
  <r>
    <x v="35"/>
    <x v="22"/>
    <x v="17"/>
    <n v="40357"/>
    <n v="81424.12"/>
    <n v="6.44"/>
    <n v="6268.5"/>
    <n v="0.52"/>
    <n v="6.4"/>
  </r>
  <r>
    <x v="35"/>
    <x v="23"/>
    <x v="11"/>
    <n v="34829"/>
    <n v="73822.429999999993"/>
    <n v="6.49"/>
    <n v="5470.7"/>
    <n v="0.45800000000000002"/>
    <n v="5.8"/>
  </r>
  <r>
    <x v="35"/>
    <x v="24"/>
    <x v="1"/>
    <n v="14272"/>
    <n v="29679.439999999999"/>
    <n v="6.3"/>
    <n v="2239.6"/>
    <n v="0.33300000000000002"/>
    <n v="5.8"/>
  </r>
  <r>
    <x v="35"/>
    <x v="25"/>
    <x v="3"/>
    <n v="33852"/>
    <n v="68961.179999999993"/>
    <n v="6.5"/>
    <n v="5390"/>
    <n v="0.47399999999999998"/>
    <n v="7.2"/>
  </r>
  <r>
    <x v="35"/>
    <x v="26"/>
    <x v="4"/>
    <n v="23331"/>
    <n v="56419.03"/>
    <n v="6.68"/>
    <n v="3485.6"/>
    <n v="0.57099999999999995"/>
    <n v="6.5"/>
  </r>
  <r>
    <x v="35"/>
    <x v="27"/>
    <x v="4"/>
    <n v="11566"/>
    <n v="23702.62"/>
    <n v="6.34"/>
    <n v="1822.7"/>
    <n v="0.5"/>
    <n v="7.3"/>
  </r>
  <r>
    <x v="35"/>
    <x v="28"/>
    <x v="5"/>
    <n v="20162"/>
    <n v="42347.89"/>
    <n v="6.49"/>
    <n v="3144.1"/>
    <n v="0.38500000000000001"/>
    <n v="6.7"/>
  </r>
  <r>
    <x v="35"/>
    <x v="29"/>
    <x v="14"/>
    <n v="20627"/>
    <n v="41724.79"/>
    <n v="6.35"/>
    <n v="3266.9"/>
    <n v="0.46700000000000003"/>
    <n v="7.5"/>
  </r>
  <r>
    <x v="35"/>
    <x v="30"/>
    <x v="0"/>
    <n v="32146"/>
    <n v="72398.64"/>
    <n v="6.7"/>
    <n v="4735.2"/>
    <n v="0.5"/>
    <n v="6.7"/>
  </r>
  <r>
    <x v="35"/>
    <x v="31"/>
    <x v="3"/>
    <n v="20563"/>
    <n v="45824.9"/>
    <n v="6.33"/>
    <n v="3259.2"/>
    <n v="0.36799999999999999"/>
    <n v="6.9"/>
  </r>
  <r>
    <x v="35"/>
    <x v="32"/>
    <x v="9"/>
    <n v="18971"/>
    <n v="41814.730000000003"/>
    <n v="6.45"/>
    <n v="2969.1"/>
    <n v="0.41199999999999998"/>
    <n v="7.3"/>
  </r>
  <r>
    <x v="35"/>
    <x v="33"/>
    <x v="5"/>
    <n v="17433"/>
    <n v="34189.65"/>
    <n v="6.62"/>
    <n v="2634.7"/>
    <n v="0.38500000000000001"/>
    <n v="6.8"/>
  </r>
  <r>
    <x v="35"/>
    <x v="34"/>
    <x v="5"/>
    <n v="19929"/>
    <n v="35586.29"/>
    <n v="6.51"/>
    <n v="3064.5"/>
    <n v="7.6999999999999999E-2"/>
    <n v="6.6"/>
  </r>
  <r>
    <x v="35"/>
    <x v="35"/>
    <x v="14"/>
    <n v="15252"/>
    <n v="28084.2"/>
    <n v="6.66"/>
    <n v="2282.3000000000002"/>
    <n v="0.6"/>
    <n v="7.6"/>
  </r>
  <r>
    <x v="36"/>
    <x v="0"/>
    <x v="13"/>
    <n v="34887"/>
    <n v="68019.179999999993"/>
    <n v="6.6"/>
    <n v="5282.6"/>
    <n v="0.63600000000000001"/>
    <n v="7.8"/>
  </r>
  <r>
    <x v="36"/>
    <x v="1"/>
    <x v="12"/>
    <n v="22417"/>
    <n v="46616.04"/>
    <n v="6.45"/>
    <n v="3474.8"/>
    <n v="0.61099999999999999"/>
    <n v="7.4"/>
  </r>
  <r>
    <x v="36"/>
    <x v="2"/>
    <x v="12"/>
    <n v="29276"/>
    <n v="61089.760000000002"/>
    <n v="6.58"/>
    <n v="4537.8999999999996"/>
    <n v="0.5"/>
    <n v="6.6"/>
  </r>
  <r>
    <x v="36"/>
    <x v="3"/>
    <x v="3"/>
    <n v="22310"/>
    <n v="44003.86"/>
    <n v="6.66"/>
    <n v="3472.2"/>
    <n v="0.36799999999999999"/>
    <n v="6.4"/>
  </r>
  <r>
    <x v="36"/>
    <x v="4"/>
    <x v="2"/>
    <n v="29933"/>
    <n v="63781.14"/>
    <n v="6.32"/>
    <n v="4804"/>
    <n v="0.35"/>
    <n v="6"/>
  </r>
  <r>
    <x v="36"/>
    <x v="5"/>
    <x v="2"/>
    <n v="23377"/>
    <n v="52902.9"/>
    <n v="6.55"/>
    <n v="3590.2"/>
    <n v="0.4"/>
    <n v="7.2"/>
  </r>
  <r>
    <x v="36"/>
    <x v="6"/>
    <x v="10"/>
    <n v="43354"/>
    <n v="92001.04"/>
    <n v="6.5"/>
    <n v="6683.6"/>
    <n v="0.40699999999999997"/>
    <n v="7.8"/>
  </r>
  <r>
    <x v="36"/>
    <x v="7"/>
    <x v="12"/>
    <n v="29308"/>
    <n v="62885.91"/>
    <n v="6.56"/>
    <n v="4463"/>
    <n v="0.27800000000000002"/>
    <n v="7.3"/>
  </r>
  <r>
    <x v="36"/>
    <x v="8"/>
    <x v="12"/>
    <n v="24621"/>
    <n v="48554.44"/>
    <n v="6.49"/>
    <n v="3876.1"/>
    <n v="0.44400000000000001"/>
    <n v="7.1"/>
  </r>
  <r>
    <x v="36"/>
    <x v="9"/>
    <x v="0"/>
    <n v="41015"/>
    <n v="88998.74"/>
    <n v="6.52"/>
    <n v="6333.8"/>
    <n v="0.61499999999999999"/>
    <n v="7.6"/>
  </r>
  <r>
    <x v="36"/>
    <x v="10"/>
    <x v="4"/>
    <n v="15710"/>
    <n v="32128.26"/>
    <n v="6.46"/>
    <n v="2437.8000000000002"/>
    <n v="0.35699999999999998"/>
    <n v="7.5"/>
  </r>
  <r>
    <x v="36"/>
    <x v="11"/>
    <x v="12"/>
    <n v="27027"/>
    <n v="57699.13"/>
    <n v="6.45"/>
    <n v="4284.8"/>
    <n v="0.33300000000000002"/>
    <n v="7.1"/>
  </r>
  <r>
    <x v="36"/>
    <x v="12"/>
    <x v="15"/>
    <n v="31901"/>
    <n v="64346.22"/>
    <n v="6.32"/>
    <n v="5112"/>
    <n v="0.34799999999999998"/>
    <n v="6.4"/>
  </r>
  <r>
    <x v="36"/>
    <x v="13"/>
    <x v="8"/>
    <n v="23361"/>
    <n v="54851.14"/>
    <n v="6.49"/>
    <n v="3593.1"/>
    <n v="0.56200000000000006"/>
    <n v="7"/>
  </r>
  <r>
    <x v="36"/>
    <x v="14"/>
    <x v="12"/>
    <n v="26480"/>
    <n v="55017.85"/>
    <n v="6.33"/>
    <n v="4272.2"/>
    <n v="0.38900000000000001"/>
    <n v="7.4"/>
  </r>
  <r>
    <x v="36"/>
    <x v="15"/>
    <x v="8"/>
    <n v="26113"/>
    <n v="60917.96"/>
    <n v="6.52"/>
    <n v="4078.5"/>
    <n v="0.25"/>
    <n v="7.6"/>
  </r>
  <r>
    <x v="36"/>
    <x v="16"/>
    <x v="9"/>
    <n v="22625"/>
    <n v="48177.08"/>
    <n v="6.42"/>
    <n v="3574.1"/>
    <n v="0.17599999999999999"/>
    <n v="6.9"/>
  </r>
  <r>
    <x v="36"/>
    <x v="17"/>
    <x v="13"/>
    <n v="28716"/>
    <n v="66442.509999999995"/>
    <n v="6.39"/>
    <n v="4519.8"/>
    <n v="0.68200000000000005"/>
    <n v="7.4"/>
  </r>
  <r>
    <x v="36"/>
    <x v="18"/>
    <x v="6"/>
    <n v="31499"/>
    <n v="64323.31"/>
    <n v="6.74"/>
    <n v="4631.7"/>
    <n v="0.33300000000000002"/>
    <n v="6.4"/>
  </r>
  <r>
    <x v="36"/>
    <x v="19"/>
    <x v="2"/>
    <n v="27847"/>
    <n v="62072.87"/>
    <n v="6.4"/>
    <n v="4444"/>
    <n v="0.3"/>
    <n v="6.8"/>
  </r>
  <r>
    <x v="36"/>
    <x v="20"/>
    <x v="15"/>
    <n v="29701"/>
    <n v="60053.43"/>
    <n v="6.36"/>
    <n v="4683.1000000000004"/>
    <n v="0.34799999999999998"/>
    <n v="7.7"/>
  </r>
  <r>
    <x v="36"/>
    <x v="21"/>
    <x v="21"/>
    <n v="17786"/>
    <n v="38094.300000000003"/>
    <n v="6.28"/>
    <n v="2878.7"/>
    <n v="0.45500000000000002"/>
    <n v="7.1"/>
  </r>
  <r>
    <x v="36"/>
    <x v="22"/>
    <x v="6"/>
    <n v="29020"/>
    <n v="55773.75"/>
    <n v="6.72"/>
    <n v="4337.5"/>
    <n v="0.52400000000000002"/>
    <n v="6.6"/>
  </r>
  <r>
    <x v="36"/>
    <x v="23"/>
    <x v="22"/>
    <n v="41499"/>
    <n v="88463.54"/>
    <n v="6.5"/>
    <n v="6395.8"/>
    <n v="0.39300000000000002"/>
    <n v="5.9"/>
  </r>
  <r>
    <x v="36"/>
    <x v="24"/>
    <x v="12"/>
    <n v="19321"/>
    <n v="43833.59"/>
    <n v="6.62"/>
    <n v="2962.9"/>
    <n v="0.44400000000000001"/>
    <n v="6.4"/>
  </r>
  <r>
    <x v="36"/>
    <x v="25"/>
    <x v="4"/>
    <n v="19150"/>
    <n v="38012.69"/>
    <n v="6.3"/>
    <n v="3062.9"/>
    <n v="0.42899999999999999"/>
    <n v="7.2"/>
  </r>
  <r>
    <x v="36"/>
    <x v="26"/>
    <x v="2"/>
    <n v="34832"/>
    <n v="77938.820000000007"/>
    <n v="6.43"/>
    <n v="5551.9"/>
    <n v="0.6"/>
    <n v="7.6"/>
  </r>
  <r>
    <x v="36"/>
    <x v="27"/>
    <x v="2"/>
    <n v="26154"/>
    <n v="54438.6"/>
    <n v="6.57"/>
    <n v="4041"/>
    <n v="0.5"/>
    <n v="6.6"/>
  </r>
  <r>
    <x v="36"/>
    <x v="28"/>
    <x v="7"/>
    <n v="14357"/>
    <n v="29586.43"/>
    <n v="6.87"/>
    <n v="2066.9"/>
    <n v="0.58299999999999996"/>
    <n v="6.7"/>
  </r>
  <r>
    <x v="36"/>
    <x v="29"/>
    <x v="6"/>
    <n v="29920"/>
    <n v="59460.69"/>
    <n v="6.36"/>
    <n v="4767"/>
    <n v="0.42899999999999999"/>
    <n v="6.4"/>
  </r>
  <r>
    <x v="36"/>
    <x v="30"/>
    <x v="15"/>
    <n v="33211"/>
    <n v="70971.34"/>
    <n v="6.67"/>
    <n v="5072.8"/>
    <n v="0.39100000000000001"/>
    <n v="6.9"/>
  </r>
  <r>
    <x v="36"/>
    <x v="31"/>
    <x v="3"/>
    <n v="31974"/>
    <n v="72768.149999999994"/>
    <n v="6.48"/>
    <n v="5016.7"/>
    <n v="0.52600000000000002"/>
    <n v="7.5"/>
  </r>
  <r>
    <x v="36"/>
    <x v="32"/>
    <x v="6"/>
    <n v="24069"/>
    <n v="49472.74"/>
    <n v="6.62"/>
    <n v="3731.3"/>
    <n v="0.66700000000000004"/>
    <n v="7"/>
  </r>
  <r>
    <x v="36"/>
    <x v="33"/>
    <x v="3"/>
    <n v="23278"/>
    <n v="49047.06"/>
    <n v="6.52"/>
    <n v="3600.2"/>
    <n v="0.42099999999999999"/>
    <n v="6.2"/>
  </r>
  <r>
    <x v="36"/>
    <x v="34"/>
    <x v="5"/>
    <n v="17743"/>
    <n v="37002.160000000003"/>
    <n v="6.44"/>
    <n v="2846.5"/>
    <n v="0.38500000000000001"/>
    <n v="6.7"/>
  </r>
  <r>
    <x v="36"/>
    <x v="35"/>
    <x v="2"/>
    <n v="26417"/>
    <n v="52190.2"/>
    <n v="6.61"/>
    <n v="4018.5"/>
    <n v="0.3"/>
    <n v="6.7"/>
  </r>
  <r>
    <x v="37"/>
    <x v="0"/>
    <x v="14"/>
    <n v="20754"/>
    <n v="43364.87"/>
    <n v="6.41"/>
    <n v="3269.8"/>
    <n v="0.33300000000000002"/>
    <n v="7.3"/>
  </r>
  <r>
    <x v="37"/>
    <x v="1"/>
    <x v="12"/>
    <n v="25247"/>
    <n v="55265.34"/>
    <n v="6.44"/>
    <n v="3851.3"/>
    <n v="0.55600000000000005"/>
    <n v="6.9"/>
  </r>
  <r>
    <x v="37"/>
    <x v="2"/>
    <x v="14"/>
    <n v="20738"/>
    <n v="44146.41"/>
    <n v="6.65"/>
    <n v="3091.4"/>
    <n v="0.6"/>
    <n v="5.7"/>
  </r>
  <r>
    <x v="37"/>
    <x v="3"/>
    <x v="12"/>
    <n v="26922"/>
    <n v="55607.38"/>
    <n v="6.51"/>
    <n v="4211.7"/>
    <n v="0.61099999999999999"/>
    <n v="7.7"/>
  </r>
  <r>
    <x v="37"/>
    <x v="4"/>
    <x v="3"/>
    <n v="24214"/>
    <n v="53098.58"/>
    <n v="6.62"/>
    <n v="3667.4"/>
    <n v="0.36799999999999999"/>
    <n v="6.6"/>
  </r>
  <r>
    <x v="37"/>
    <x v="5"/>
    <x v="3"/>
    <n v="23700"/>
    <n v="49990.2"/>
    <n v="6.5"/>
    <n v="3733.9"/>
    <n v="0.47399999999999998"/>
    <n v="6.8"/>
  </r>
  <r>
    <x v="37"/>
    <x v="6"/>
    <x v="3"/>
    <n v="26237"/>
    <n v="54573.45"/>
    <n v="6.53"/>
    <n v="4049.2"/>
    <n v="0.47399999999999998"/>
    <n v="6.6"/>
  </r>
  <r>
    <x v="37"/>
    <x v="7"/>
    <x v="9"/>
    <n v="24344"/>
    <n v="52097.09"/>
    <n v="6.39"/>
    <n v="3824.3"/>
    <n v="0.47099999999999997"/>
    <n v="6.1"/>
  </r>
  <r>
    <x v="37"/>
    <x v="8"/>
    <x v="9"/>
    <n v="20418"/>
    <n v="43942.23"/>
    <n v="6.5"/>
    <n v="3116.8"/>
    <n v="0.23499999999999999"/>
    <n v="7.5"/>
  </r>
  <r>
    <x v="37"/>
    <x v="9"/>
    <x v="3"/>
    <n v="24548"/>
    <n v="56305.75"/>
    <n v="6.49"/>
    <n v="3858.4"/>
    <n v="0.52600000000000002"/>
    <n v="6.5"/>
  </r>
  <r>
    <x v="37"/>
    <x v="10"/>
    <x v="7"/>
    <n v="12943"/>
    <n v="28077.74"/>
    <n v="6.59"/>
    <n v="1944.7"/>
    <n v="0.41699999999999998"/>
    <n v="8"/>
  </r>
  <r>
    <x v="37"/>
    <x v="11"/>
    <x v="4"/>
    <n v="21541"/>
    <n v="43593.120000000003"/>
    <n v="6.6"/>
    <n v="3432.2"/>
    <n v="0.28599999999999998"/>
    <n v="6.8"/>
  </r>
  <r>
    <x v="37"/>
    <x v="12"/>
    <x v="6"/>
    <n v="30477"/>
    <n v="68675.81"/>
    <n v="6.37"/>
    <n v="4787.7"/>
    <n v="0.52400000000000002"/>
    <n v="7.1"/>
  </r>
  <r>
    <x v="37"/>
    <x v="13"/>
    <x v="6"/>
    <n v="28358"/>
    <n v="55040.3"/>
    <n v="6.48"/>
    <n v="4423.3999999999996"/>
    <n v="0.52400000000000002"/>
    <n v="6.8"/>
  </r>
  <r>
    <x v="37"/>
    <x v="14"/>
    <x v="2"/>
    <n v="34549"/>
    <n v="66769.06"/>
    <n v="6.45"/>
    <n v="5439"/>
    <n v="0.4"/>
    <n v="6.5"/>
  </r>
  <r>
    <x v="37"/>
    <x v="15"/>
    <x v="12"/>
    <n v="26922"/>
    <n v="57414.31"/>
    <n v="6.65"/>
    <n v="4043.5"/>
    <n v="0.55600000000000005"/>
    <n v="7.1"/>
  </r>
  <r>
    <x v="37"/>
    <x v="16"/>
    <x v="8"/>
    <n v="16916"/>
    <n v="34423.72"/>
    <n v="6.37"/>
    <n v="2690.6"/>
    <n v="0.438"/>
    <n v="6.6"/>
  </r>
  <r>
    <x v="37"/>
    <x v="17"/>
    <x v="2"/>
    <n v="30057"/>
    <n v="62666.79"/>
    <n v="6.64"/>
    <n v="4678.8"/>
    <n v="0.3"/>
    <n v="5.6"/>
  </r>
  <r>
    <x v="37"/>
    <x v="18"/>
    <x v="6"/>
    <n v="25278"/>
    <n v="58010.37"/>
    <n v="6.52"/>
    <n v="3891.1"/>
    <n v="0.33300000000000002"/>
    <n v="6.7"/>
  </r>
  <r>
    <x v="37"/>
    <x v="19"/>
    <x v="9"/>
    <n v="28070"/>
    <n v="54403.31"/>
    <n v="6.49"/>
    <n v="4400.1000000000004"/>
    <n v="0.41199999999999998"/>
    <n v="7"/>
  </r>
  <r>
    <x v="37"/>
    <x v="20"/>
    <x v="13"/>
    <n v="25795"/>
    <n v="56541.99"/>
    <n v="6.61"/>
    <n v="4009.9"/>
    <n v="0.45500000000000002"/>
    <n v="6.7"/>
  </r>
  <r>
    <x v="37"/>
    <x v="21"/>
    <x v="6"/>
    <n v="34354"/>
    <n v="70868.070000000007"/>
    <n v="6.44"/>
    <n v="5304.5"/>
    <n v="0.57099999999999995"/>
    <n v="6.2"/>
  </r>
  <r>
    <x v="37"/>
    <x v="22"/>
    <x v="11"/>
    <n v="33456"/>
    <n v="68403.88"/>
    <n v="6.58"/>
    <n v="5155.8"/>
    <n v="0.54200000000000004"/>
    <n v="6.9"/>
  </r>
  <r>
    <x v="37"/>
    <x v="23"/>
    <x v="6"/>
    <n v="28182"/>
    <n v="66237.91"/>
    <n v="6.54"/>
    <n v="4361.7"/>
    <n v="0.47599999999999998"/>
    <n v="7"/>
  </r>
  <r>
    <x v="37"/>
    <x v="24"/>
    <x v="15"/>
    <n v="27902"/>
    <n v="58943.69"/>
    <n v="6.39"/>
    <n v="4381.8"/>
    <n v="0.30399999999999999"/>
    <n v="6.8"/>
  </r>
  <r>
    <x v="37"/>
    <x v="25"/>
    <x v="21"/>
    <n v="17692"/>
    <n v="36707.78"/>
    <n v="6.4"/>
    <n v="2743.7"/>
    <n v="0.54500000000000004"/>
    <n v="7.6"/>
  </r>
  <r>
    <x v="37"/>
    <x v="26"/>
    <x v="12"/>
    <n v="25633"/>
    <n v="51230.23"/>
    <n v="6.44"/>
    <n v="4134.3999999999996"/>
    <n v="0.72199999999999998"/>
    <n v="6.7"/>
  </r>
  <r>
    <x v="37"/>
    <x v="27"/>
    <x v="6"/>
    <n v="29280"/>
    <n v="59764.65"/>
    <n v="6.32"/>
    <n v="4639.5"/>
    <n v="0.38100000000000001"/>
    <n v="5.9"/>
  </r>
  <r>
    <x v="37"/>
    <x v="28"/>
    <x v="7"/>
    <n v="22425"/>
    <n v="46118.9"/>
    <n v="6.61"/>
    <n v="3377.6"/>
    <n v="0.5"/>
    <n v="6.8"/>
  </r>
  <r>
    <x v="37"/>
    <x v="29"/>
    <x v="5"/>
    <n v="16072"/>
    <n v="34277.47"/>
    <n v="6.62"/>
    <n v="2451.3000000000002"/>
    <n v="0.38500000000000001"/>
    <n v="6.6"/>
  </r>
  <r>
    <x v="37"/>
    <x v="30"/>
    <x v="13"/>
    <n v="35250"/>
    <n v="67170.05"/>
    <n v="6.48"/>
    <n v="5506.8"/>
    <n v="0.318"/>
    <n v="6.8"/>
  </r>
  <r>
    <x v="37"/>
    <x v="31"/>
    <x v="14"/>
    <n v="22949"/>
    <n v="49706.9"/>
    <n v="6.46"/>
    <n v="3522.9"/>
    <n v="0.4"/>
    <n v="6.4"/>
  </r>
  <r>
    <x v="37"/>
    <x v="32"/>
    <x v="14"/>
    <n v="22636"/>
    <n v="48387.9"/>
    <n v="6.49"/>
    <n v="3501.5"/>
    <n v="0.6"/>
    <n v="6.1"/>
  </r>
  <r>
    <x v="37"/>
    <x v="33"/>
    <x v="12"/>
    <n v="21913"/>
    <n v="45238.720000000001"/>
    <n v="6.62"/>
    <n v="3338"/>
    <n v="0.222"/>
    <n v="8.8000000000000007"/>
  </r>
  <r>
    <x v="37"/>
    <x v="34"/>
    <x v="12"/>
    <n v="26618"/>
    <n v="61245.87"/>
    <n v="6.46"/>
    <n v="4178.8"/>
    <n v="0.55600000000000005"/>
    <n v="6"/>
  </r>
  <r>
    <x v="37"/>
    <x v="35"/>
    <x v="2"/>
    <n v="25696"/>
    <n v="52997.4"/>
    <n v="6.44"/>
    <n v="3967.4"/>
    <n v="0.45"/>
    <n v="6.8"/>
  </r>
  <r>
    <x v="38"/>
    <x v="0"/>
    <x v="9"/>
    <n v="26279"/>
    <n v="52286.75"/>
    <n v="6.39"/>
    <n v="4204.2"/>
    <n v="0.47099999999999997"/>
    <n v="6.1"/>
  </r>
  <r>
    <x v="38"/>
    <x v="1"/>
    <x v="11"/>
    <n v="34875"/>
    <n v="78759"/>
    <n v="6.64"/>
    <n v="5241.5"/>
    <n v="0.45800000000000002"/>
    <n v="7"/>
  </r>
  <r>
    <x v="38"/>
    <x v="2"/>
    <x v="13"/>
    <n v="34730"/>
    <n v="76465.91"/>
    <n v="6.56"/>
    <n v="5328"/>
    <n v="0.54500000000000004"/>
    <n v="7.4"/>
  </r>
  <r>
    <x v="38"/>
    <x v="3"/>
    <x v="11"/>
    <n v="32054"/>
    <n v="68934.47"/>
    <n v="6.47"/>
    <n v="4999.8999999999996"/>
    <n v="0.45800000000000002"/>
    <n v="6.6"/>
  </r>
  <r>
    <x v="38"/>
    <x v="4"/>
    <x v="4"/>
    <n v="24642"/>
    <n v="57696.39"/>
    <n v="6.44"/>
    <n v="3850.6"/>
    <n v="0.71399999999999997"/>
    <n v="7.4"/>
  </r>
  <r>
    <x v="38"/>
    <x v="5"/>
    <x v="17"/>
    <n v="29135"/>
    <n v="61267.86"/>
    <n v="6.5"/>
    <n v="4450.5"/>
    <n v="0.48"/>
    <n v="6.6"/>
  </r>
  <r>
    <x v="38"/>
    <x v="6"/>
    <x v="14"/>
    <n v="16088"/>
    <n v="34494.99"/>
    <n v="6.37"/>
    <n v="2525.4"/>
    <n v="0.6"/>
    <n v="7"/>
  </r>
  <r>
    <x v="38"/>
    <x v="7"/>
    <x v="8"/>
    <n v="20483"/>
    <n v="42324.91"/>
    <n v="6.65"/>
    <n v="3093.1"/>
    <n v="0.438"/>
    <n v="5.0999999999999996"/>
  </r>
  <r>
    <x v="38"/>
    <x v="8"/>
    <x v="13"/>
    <n v="34888"/>
    <n v="70525.710000000006"/>
    <n v="6.35"/>
    <n v="5452.4"/>
    <n v="0.45500000000000002"/>
    <n v="7.3"/>
  </r>
  <r>
    <x v="38"/>
    <x v="9"/>
    <x v="2"/>
    <n v="24725"/>
    <n v="52292.4"/>
    <n v="6.35"/>
    <n v="3900.2"/>
    <n v="0.55000000000000004"/>
    <n v="6.7"/>
  </r>
  <r>
    <x v="38"/>
    <x v="10"/>
    <x v="13"/>
    <n v="29949"/>
    <n v="63702.64"/>
    <n v="6.59"/>
    <n v="4539.1000000000004"/>
    <n v="0.318"/>
    <n v="7.6"/>
  </r>
  <r>
    <x v="38"/>
    <x v="11"/>
    <x v="10"/>
    <n v="37591"/>
    <n v="77792.05"/>
    <n v="6.39"/>
    <n v="5897.2"/>
    <n v="0.51900000000000002"/>
    <n v="7.2"/>
  </r>
  <r>
    <x v="38"/>
    <x v="12"/>
    <x v="4"/>
    <n v="19397"/>
    <n v="40967.269999999997"/>
    <n v="6.45"/>
    <n v="3003.2"/>
    <n v="0.42899999999999999"/>
    <n v="6.5"/>
  </r>
  <r>
    <x v="38"/>
    <x v="13"/>
    <x v="3"/>
    <n v="23695"/>
    <n v="52536.88"/>
    <n v="6.41"/>
    <n v="3807.2"/>
    <n v="0.47399999999999998"/>
    <n v="6.4"/>
  </r>
  <r>
    <x v="38"/>
    <x v="14"/>
    <x v="17"/>
    <n v="46700"/>
    <n v="102757.11"/>
    <n v="6.46"/>
    <n v="7262.1"/>
    <n v="0.56000000000000005"/>
    <n v="7.2"/>
  </r>
  <r>
    <x v="38"/>
    <x v="15"/>
    <x v="17"/>
    <n v="46273"/>
    <n v="106122.15"/>
    <n v="6.64"/>
    <n v="7031.8"/>
    <n v="0.56000000000000005"/>
    <n v="7.5"/>
  </r>
  <r>
    <x v="38"/>
    <x v="16"/>
    <x v="14"/>
    <n v="21817"/>
    <n v="44798.7"/>
    <n v="6.37"/>
    <n v="3424.9"/>
    <n v="0.53300000000000003"/>
    <n v="7.4"/>
  </r>
  <r>
    <x v="38"/>
    <x v="17"/>
    <x v="9"/>
    <n v="22723"/>
    <n v="48813.74"/>
    <n v="6.5"/>
    <n v="3538.1"/>
    <n v="0.64700000000000002"/>
    <n v="5.7"/>
  </r>
  <r>
    <x v="38"/>
    <x v="18"/>
    <x v="8"/>
    <n v="22963"/>
    <n v="49750.89"/>
    <n v="6.44"/>
    <n v="3594.5"/>
    <n v="0.375"/>
    <n v="8.1999999999999993"/>
  </r>
  <r>
    <x v="38"/>
    <x v="19"/>
    <x v="3"/>
    <n v="24655"/>
    <n v="54886.65"/>
    <n v="6.47"/>
    <n v="3798.8"/>
    <n v="0.57899999999999996"/>
    <n v="6.4"/>
  </r>
  <r>
    <x v="38"/>
    <x v="20"/>
    <x v="6"/>
    <n v="27233"/>
    <n v="61051.96"/>
    <n v="6.59"/>
    <n v="4150.3"/>
    <n v="0.38100000000000001"/>
    <n v="6.6"/>
  </r>
  <r>
    <x v="38"/>
    <x v="21"/>
    <x v="6"/>
    <n v="27642"/>
    <n v="58342.09"/>
    <n v="6.46"/>
    <n v="4201.3999999999996"/>
    <n v="0.42899999999999999"/>
    <n v="6.9"/>
  </r>
  <r>
    <x v="38"/>
    <x v="22"/>
    <x v="6"/>
    <n v="31555"/>
    <n v="71602.720000000001"/>
    <n v="6.67"/>
    <n v="4768.3"/>
    <n v="0.52400000000000002"/>
    <n v="6.5"/>
  </r>
  <r>
    <x v="38"/>
    <x v="23"/>
    <x v="3"/>
    <n v="29530"/>
    <n v="59638.48"/>
    <n v="6.6"/>
    <n v="4571.8"/>
    <n v="0.21099999999999999"/>
    <n v="5.9"/>
  </r>
  <r>
    <x v="38"/>
    <x v="24"/>
    <x v="19"/>
    <n v="10552"/>
    <n v="20638.25"/>
    <n v="6.48"/>
    <n v="1681.2"/>
    <n v="0.6"/>
    <n v="7.2"/>
  </r>
  <r>
    <x v="38"/>
    <x v="25"/>
    <x v="6"/>
    <n v="31959"/>
    <n v="64926.28"/>
    <n v="6.55"/>
    <n v="4883.6000000000004"/>
    <n v="0.28599999999999998"/>
    <n v="6.1"/>
  </r>
  <r>
    <x v="38"/>
    <x v="26"/>
    <x v="4"/>
    <n v="22487"/>
    <n v="44113.16"/>
    <n v="6.67"/>
    <n v="3335.8"/>
    <n v="0.35699999999999998"/>
    <n v="6.8"/>
  </r>
  <r>
    <x v="38"/>
    <x v="27"/>
    <x v="2"/>
    <n v="28684"/>
    <n v="63901.1"/>
    <n v="6.32"/>
    <n v="4464.3"/>
    <n v="0.35"/>
    <n v="6.4"/>
  </r>
  <r>
    <x v="38"/>
    <x v="28"/>
    <x v="6"/>
    <n v="30510"/>
    <n v="66175.929999999993"/>
    <n v="6.68"/>
    <n v="4586.3"/>
    <n v="0.38100000000000001"/>
    <n v="6.7"/>
  </r>
  <r>
    <x v="38"/>
    <x v="29"/>
    <x v="6"/>
    <n v="30262"/>
    <n v="69703.350000000006"/>
    <n v="6.58"/>
    <n v="4650.8999999999996"/>
    <n v="0.28599999999999998"/>
    <n v="6.7"/>
  </r>
  <r>
    <x v="38"/>
    <x v="30"/>
    <x v="2"/>
    <n v="30028"/>
    <n v="65489.3"/>
    <n v="6.36"/>
    <n v="4626.8"/>
    <n v="0.3"/>
    <n v="8.3000000000000007"/>
  </r>
  <r>
    <x v="38"/>
    <x v="31"/>
    <x v="9"/>
    <n v="28838"/>
    <n v="62698.5"/>
    <n v="6.56"/>
    <n v="4463.7"/>
    <n v="0.35299999999999998"/>
    <n v="8.4"/>
  </r>
  <r>
    <x v="38"/>
    <x v="32"/>
    <x v="4"/>
    <n v="22534"/>
    <n v="49768.37"/>
    <n v="6.55"/>
    <n v="3449"/>
    <n v="0.5"/>
    <n v="7.3"/>
  </r>
  <r>
    <x v="38"/>
    <x v="33"/>
    <x v="6"/>
    <n v="31034"/>
    <n v="61515.24"/>
    <n v="6.53"/>
    <n v="4752.5"/>
    <n v="0.52400000000000002"/>
    <n v="6.4"/>
  </r>
  <r>
    <x v="38"/>
    <x v="34"/>
    <x v="10"/>
    <n v="41114"/>
    <n v="82290.320000000007"/>
    <n v="6.67"/>
    <n v="6251.4"/>
    <n v="0.40699999999999997"/>
    <n v="6.4"/>
  </r>
  <r>
    <x v="38"/>
    <x v="35"/>
    <x v="5"/>
    <n v="19547"/>
    <n v="41156.379999999997"/>
    <n v="6.72"/>
    <n v="2962.5"/>
    <n v="0.23100000000000001"/>
    <n v="6.9"/>
  </r>
  <r>
    <x v="39"/>
    <x v="0"/>
    <x v="14"/>
    <n v="19982"/>
    <n v="41820.01"/>
    <n v="6.5"/>
    <n v="3151.5"/>
    <n v="0.33300000000000002"/>
    <n v="8.3000000000000007"/>
  </r>
  <r>
    <x v="39"/>
    <x v="1"/>
    <x v="8"/>
    <n v="32230"/>
    <n v="68148.62"/>
    <n v="6.63"/>
    <n v="4950.6000000000004"/>
    <n v="0.56200000000000006"/>
    <n v="6.9"/>
  </r>
  <r>
    <x v="39"/>
    <x v="2"/>
    <x v="2"/>
    <n v="26471"/>
    <n v="59985.83"/>
    <n v="6.56"/>
    <n v="4087.4"/>
    <n v="0.45"/>
    <n v="6.6"/>
  </r>
  <r>
    <x v="39"/>
    <x v="3"/>
    <x v="14"/>
    <n v="25650"/>
    <n v="55193.99"/>
    <n v="6.54"/>
    <n v="3952.8"/>
    <n v="0.4"/>
    <n v="6"/>
  </r>
  <r>
    <x v="39"/>
    <x v="4"/>
    <x v="13"/>
    <n v="27462"/>
    <n v="58210.29"/>
    <n v="6.55"/>
    <n v="4286.1000000000004"/>
    <n v="0.45500000000000002"/>
    <n v="8"/>
  </r>
  <r>
    <x v="39"/>
    <x v="5"/>
    <x v="12"/>
    <n v="26292"/>
    <n v="56814.239999999998"/>
    <n v="6.58"/>
    <n v="4089.2"/>
    <n v="0.33300000000000002"/>
    <n v="5.6"/>
  </r>
  <r>
    <x v="39"/>
    <x v="6"/>
    <x v="2"/>
    <n v="26679"/>
    <n v="52276.41"/>
    <n v="6.76"/>
    <n v="3963.6"/>
    <n v="0.6"/>
    <n v="7.1"/>
  </r>
  <r>
    <x v="39"/>
    <x v="7"/>
    <x v="12"/>
    <n v="25778"/>
    <n v="49398.92"/>
    <n v="6.57"/>
    <n v="4043.9"/>
    <n v="0.5"/>
    <n v="6.4"/>
  </r>
  <r>
    <x v="39"/>
    <x v="8"/>
    <x v="15"/>
    <n v="31702"/>
    <n v="63303.14"/>
    <n v="6.67"/>
    <n v="4742.1000000000004"/>
    <n v="0.56499999999999995"/>
    <n v="7.7"/>
  </r>
  <r>
    <x v="39"/>
    <x v="9"/>
    <x v="13"/>
    <n v="29019"/>
    <n v="58429.29"/>
    <n v="6.48"/>
    <n v="4579.8"/>
    <n v="0.5"/>
    <n v="7"/>
  </r>
  <r>
    <x v="39"/>
    <x v="10"/>
    <x v="3"/>
    <n v="25886"/>
    <n v="52577.21"/>
    <n v="6.82"/>
    <n v="3812.2"/>
    <n v="0.42099999999999999"/>
    <n v="7.1"/>
  </r>
  <r>
    <x v="39"/>
    <x v="11"/>
    <x v="12"/>
    <n v="25150"/>
    <n v="55850.879999999997"/>
    <n v="6.34"/>
    <n v="3985.2"/>
    <n v="0.5"/>
    <n v="8"/>
  </r>
  <r>
    <x v="39"/>
    <x v="12"/>
    <x v="12"/>
    <n v="20312"/>
    <n v="40742.199999999997"/>
    <n v="6.61"/>
    <n v="3150.5"/>
    <n v="0.38900000000000001"/>
    <n v="7.6"/>
  </r>
  <r>
    <x v="39"/>
    <x v="13"/>
    <x v="4"/>
    <n v="20131"/>
    <n v="44500.52"/>
    <n v="6.36"/>
    <n v="3169.4"/>
    <n v="0.5"/>
    <n v="6.1"/>
  </r>
  <r>
    <x v="39"/>
    <x v="14"/>
    <x v="5"/>
    <n v="21366"/>
    <n v="48143.13"/>
    <n v="6.66"/>
    <n v="3261.6"/>
    <n v="0.308"/>
    <n v="6.4"/>
  </r>
  <r>
    <x v="39"/>
    <x v="15"/>
    <x v="7"/>
    <n v="14597"/>
    <n v="27935.599999999999"/>
    <n v="6.53"/>
    <n v="2240.6999999999998"/>
    <n v="0.41699999999999998"/>
    <n v="6.1"/>
  </r>
  <r>
    <x v="39"/>
    <x v="16"/>
    <x v="3"/>
    <n v="30340"/>
    <n v="70314.8"/>
    <n v="6.7"/>
    <n v="4495.2"/>
    <n v="0.36799999999999999"/>
    <n v="7.3"/>
  </r>
  <r>
    <x v="39"/>
    <x v="17"/>
    <x v="4"/>
    <n v="15490"/>
    <n v="34398.620000000003"/>
    <n v="6.57"/>
    <n v="2353.1999999999998"/>
    <n v="0.42899999999999999"/>
    <n v="6.8"/>
  </r>
  <r>
    <x v="39"/>
    <x v="18"/>
    <x v="14"/>
    <n v="15640"/>
    <n v="31518.71"/>
    <n v="6.46"/>
    <n v="2461.6"/>
    <n v="0.4"/>
    <n v="5.6"/>
  </r>
  <r>
    <x v="39"/>
    <x v="19"/>
    <x v="5"/>
    <n v="20574"/>
    <n v="46126.97"/>
    <n v="6.58"/>
    <n v="3222.6"/>
    <n v="0.69199999999999995"/>
    <n v="6.5"/>
  </r>
  <r>
    <x v="39"/>
    <x v="20"/>
    <x v="6"/>
    <n v="36145"/>
    <n v="79390.27"/>
    <n v="6.42"/>
    <n v="5730.8"/>
    <n v="0.38100000000000001"/>
    <n v="6.3"/>
  </r>
  <r>
    <x v="39"/>
    <x v="21"/>
    <x v="12"/>
    <n v="32850"/>
    <n v="68749.08"/>
    <n v="6.46"/>
    <n v="5162.8"/>
    <n v="0.33300000000000002"/>
    <n v="7.4"/>
  </r>
  <r>
    <x v="39"/>
    <x v="22"/>
    <x v="8"/>
    <n v="23686"/>
    <n v="49562.61"/>
    <n v="6.53"/>
    <n v="3670.7"/>
    <n v="0.25"/>
    <n v="8.1"/>
  </r>
  <r>
    <x v="39"/>
    <x v="23"/>
    <x v="7"/>
    <n v="17495"/>
    <n v="39189.440000000002"/>
    <n v="6.77"/>
    <n v="2631.9"/>
    <n v="0.66700000000000004"/>
    <n v="6.1"/>
  </r>
  <r>
    <x v="39"/>
    <x v="24"/>
    <x v="4"/>
    <n v="17279"/>
    <n v="39147.9"/>
    <n v="6.63"/>
    <n v="2629"/>
    <n v="0.35699999999999998"/>
    <n v="6.7"/>
  </r>
  <r>
    <x v="39"/>
    <x v="25"/>
    <x v="3"/>
    <n v="20131"/>
    <n v="42883.81"/>
    <n v="6.6"/>
    <n v="3012.5"/>
    <n v="0.42099999999999999"/>
    <n v="7"/>
  </r>
  <r>
    <x v="39"/>
    <x v="26"/>
    <x v="7"/>
    <n v="17254"/>
    <n v="35823.97"/>
    <n v="6.48"/>
    <n v="2699.7"/>
    <n v="0.25"/>
    <n v="5.9"/>
  </r>
  <r>
    <x v="39"/>
    <x v="27"/>
    <x v="11"/>
    <n v="32815"/>
    <n v="67554.12"/>
    <n v="6.46"/>
    <n v="5175.8"/>
    <n v="0.5"/>
    <n v="7"/>
  </r>
  <r>
    <x v="39"/>
    <x v="28"/>
    <x v="14"/>
    <n v="19798"/>
    <n v="41051.21"/>
    <n v="6.66"/>
    <n v="2936.9"/>
    <n v="0.26700000000000002"/>
    <n v="7.8"/>
  </r>
  <r>
    <x v="39"/>
    <x v="29"/>
    <x v="2"/>
    <n v="25089"/>
    <n v="59455.07"/>
    <n v="6.65"/>
    <n v="3804.1"/>
    <n v="0.6"/>
    <n v="6.9"/>
  </r>
  <r>
    <x v="39"/>
    <x v="30"/>
    <x v="8"/>
    <n v="22827"/>
    <n v="55725.66"/>
    <n v="6.58"/>
    <n v="3485.8"/>
    <n v="0.75"/>
    <n v="7.9"/>
  </r>
  <r>
    <x v="39"/>
    <x v="31"/>
    <x v="3"/>
    <n v="23675"/>
    <n v="53638.42"/>
    <n v="6.5"/>
    <n v="3792.3"/>
    <n v="0.52600000000000002"/>
    <n v="7.6"/>
  </r>
  <r>
    <x v="39"/>
    <x v="32"/>
    <x v="8"/>
    <n v="27655"/>
    <n v="62689.43"/>
    <n v="6.45"/>
    <n v="4404.6000000000004"/>
    <n v="0.438"/>
    <n v="6.7"/>
  </r>
  <r>
    <x v="39"/>
    <x v="33"/>
    <x v="8"/>
    <n v="22864"/>
    <n v="48807.97"/>
    <n v="6.29"/>
    <n v="3701.4"/>
    <n v="0.56200000000000006"/>
    <n v="5.6"/>
  </r>
  <r>
    <x v="39"/>
    <x v="34"/>
    <x v="3"/>
    <n v="34153"/>
    <n v="75611.55"/>
    <n v="6.37"/>
    <n v="5459.8"/>
    <n v="0.47399999999999998"/>
    <n v="8.1999999999999993"/>
  </r>
  <r>
    <x v="39"/>
    <x v="35"/>
    <x v="13"/>
    <n v="34399"/>
    <n v="76459.27"/>
    <n v="6.58"/>
    <n v="5218"/>
    <n v="0.318"/>
    <n v="6.4"/>
  </r>
  <r>
    <x v="40"/>
    <x v="0"/>
    <x v="15"/>
    <n v="34500"/>
    <n v="74816.94"/>
    <n v="6.52"/>
    <n v="5259.2"/>
    <n v="0.39100000000000001"/>
    <n v="6.8"/>
  </r>
  <r>
    <x v="40"/>
    <x v="1"/>
    <x v="9"/>
    <n v="20163"/>
    <n v="42751.42"/>
    <n v="6.52"/>
    <n v="3144.8"/>
    <n v="0.29399999999999998"/>
    <n v="7"/>
  </r>
  <r>
    <x v="40"/>
    <x v="2"/>
    <x v="4"/>
    <n v="18182"/>
    <n v="42027.89"/>
    <n v="6.47"/>
    <n v="2804.9"/>
    <n v="0.42899999999999999"/>
    <n v="7.1"/>
  </r>
  <r>
    <x v="40"/>
    <x v="3"/>
    <x v="21"/>
    <n v="20092"/>
    <n v="48810.77"/>
    <n v="6.5"/>
    <n v="3141.4"/>
    <n v="0.27300000000000002"/>
    <n v="7"/>
  </r>
  <r>
    <x v="40"/>
    <x v="4"/>
    <x v="21"/>
    <n v="15688"/>
    <n v="33504.83"/>
    <n v="6.12"/>
    <n v="2572.4"/>
    <n v="0.27300000000000002"/>
    <n v="8.1999999999999993"/>
  </r>
  <r>
    <x v="40"/>
    <x v="5"/>
    <x v="9"/>
    <n v="22413"/>
    <n v="47286.62"/>
    <n v="6.5"/>
    <n v="3508"/>
    <n v="0.23499999999999999"/>
    <n v="7.9"/>
  </r>
  <r>
    <x v="40"/>
    <x v="6"/>
    <x v="8"/>
    <n v="22837"/>
    <n v="50977.59"/>
    <n v="6.4"/>
    <n v="3681.4"/>
    <n v="0.5"/>
    <n v="6.6"/>
  </r>
  <r>
    <x v="40"/>
    <x v="7"/>
    <x v="6"/>
    <n v="31865"/>
    <n v="68411.460000000006"/>
    <n v="6.38"/>
    <n v="5081.3"/>
    <n v="0.38100000000000001"/>
    <n v="7.4"/>
  </r>
  <r>
    <x v="40"/>
    <x v="8"/>
    <x v="15"/>
    <n v="27685"/>
    <n v="53366.35"/>
    <n v="6.48"/>
    <n v="4295.2"/>
    <n v="0.39100000000000001"/>
    <n v="6.7"/>
  </r>
  <r>
    <x v="40"/>
    <x v="9"/>
    <x v="9"/>
    <n v="18766"/>
    <n v="39553.49"/>
    <n v="6.51"/>
    <n v="2879.6"/>
    <n v="0.52900000000000003"/>
    <n v="7.3"/>
  </r>
  <r>
    <x v="40"/>
    <x v="10"/>
    <x v="3"/>
    <n v="24752"/>
    <n v="53495.99"/>
    <n v="6.63"/>
    <n v="3680.5"/>
    <n v="0.42099999999999999"/>
    <n v="6.4"/>
  </r>
  <r>
    <x v="40"/>
    <x v="11"/>
    <x v="14"/>
    <n v="17510"/>
    <n v="34230.730000000003"/>
    <n v="6.26"/>
    <n v="2880.5"/>
    <n v="0.6"/>
    <n v="6.8"/>
  </r>
  <r>
    <x v="40"/>
    <x v="12"/>
    <x v="3"/>
    <n v="34942"/>
    <n v="75932.13"/>
    <n v="6.36"/>
    <n v="5500.7"/>
    <n v="0.42099999999999999"/>
    <n v="7.9"/>
  </r>
  <r>
    <x v="40"/>
    <x v="13"/>
    <x v="13"/>
    <n v="35120"/>
    <n v="73308.34"/>
    <n v="6.47"/>
    <n v="5489.1"/>
    <n v="0.5"/>
    <n v="7.6"/>
  </r>
  <r>
    <x v="40"/>
    <x v="14"/>
    <x v="13"/>
    <n v="33346"/>
    <n v="70196.3"/>
    <n v="6.37"/>
    <n v="5144.3"/>
    <n v="0.59099999999999997"/>
    <n v="7.1"/>
  </r>
  <r>
    <x v="40"/>
    <x v="15"/>
    <x v="14"/>
    <n v="19175"/>
    <n v="39498.79"/>
    <n v="6.61"/>
    <n v="2975.3"/>
    <n v="0.4"/>
    <n v="8.3000000000000007"/>
  </r>
  <r>
    <x v="40"/>
    <x v="16"/>
    <x v="9"/>
    <n v="25705"/>
    <n v="60303.26"/>
    <n v="6.71"/>
    <n v="3801.1"/>
    <n v="0.47099999999999997"/>
    <n v="7.4"/>
  </r>
  <r>
    <x v="40"/>
    <x v="17"/>
    <x v="8"/>
    <n v="25969"/>
    <n v="58799.58"/>
    <n v="6.56"/>
    <n v="3990.8"/>
    <n v="0.5"/>
    <n v="7.9"/>
  </r>
  <r>
    <x v="40"/>
    <x v="18"/>
    <x v="2"/>
    <n v="28443"/>
    <n v="59618.080000000002"/>
    <n v="6.52"/>
    <n v="4402.3999999999996"/>
    <n v="0.4"/>
    <n v="7.1"/>
  </r>
  <r>
    <x v="40"/>
    <x v="19"/>
    <x v="14"/>
    <n v="20246"/>
    <n v="42845.760000000002"/>
    <n v="6.56"/>
    <n v="3153.7"/>
    <n v="0.6"/>
    <n v="6.7"/>
  </r>
  <r>
    <x v="40"/>
    <x v="20"/>
    <x v="5"/>
    <n v="18024"/>
    <n v="35917.72"/>
    <n v="6.58"/>
    <n v="2770.4"/>
    <n v="0.38500000000000001"/>
    <n v="6.6"/>
  </r>
  <r>
    <x v="40"/>
    <x v="21"/>
    <x v="12"/>
    <n v="25098"/>
    <n v="52984.65"/>
    <n v="6.52"/>
    <n v="3846.3"/>
    <n v="0.5"/>
    <n v="6.6"/>
  </r>
  <r>
    <x v="40"/>
    <x v="22"/>
    <x v="15"/>
    <n v="33958"/>
    <n v="78078.12"/>
    <n v="6.77"/>
    <n v="5082.1000000000004"/>
    <n v="0.47799999999999998"/>
    <n v="7.1"/>
  </r>
  <r>
    <x v="40"/>
    <x v="23"/>
    <x v="13"/>
    <n v="28142"/>
    <n v="64046.27"/>
    <n v="6.37"/>
    <n v="4392.6000000000004"/>
    <n v="0.5"/>
    <n v="7.2"/>
  </r>
  <r>
    <x v="40"/>
    <x v="24"/>
    <x v="3"/>
    <n v="34257"/>
    <n v="71618.710000000006"/>
    <n v="6.5"/>
    <n v="5399.6"/>
    <n v="0.63200000000000001"/>
    <n v="7.8"/>
  </r>
  <r>
    <x v="40"/>
    <x v="25"/>
    <x v="13"/>
    <n v="32742"/>
    <n v="73588.87"/>
    <n v="6.71"/>
    <n v="4881"/>
    <n v="0.63600000000000001"/>
    <n v="7.5"/>
  </r>
  <r>
    <x v="40"/>
    <x v="26"/>
    <x v="5"/>
    <n v="15576"/>
    <n v="33485.75"/>
    <n v="6.28"/>
    <n v="2464.1999999999998"/>
    <n v="0.53800000000000003"/>
    <n v="6"/>
  </r>
  <r>
    <x v="40"/>
    <x v="27"/>
    <x v="4"/>
    <n v="15110"/>
    <n v="30183.77"/>
    <n v="6.7"/>
    <n v="2247.6999999999998"/>
    <n v="0.64300000000000002"/>
    <n v="7.1"/>
  </r>
  <r>
    <x v="40"/>
    <x v="28"/>
    <x v="6"/>
    <n v="24641"/>
    <n v="51361.27"/>
    <n v="6.6"/>
    <n v="3747.5"/>
    <n v="0.42899999999999999"/>
    <n v="6.9"/>
  </r>
  <r>
    <x v="40"/>
    <x v="29"/>
    <x v="15"/>
    <n v="32212"/>
    <n v="71128.800000000003"/>
    <n v="6.41"/>
    <n v="5099.7"/>
    <n v="0.34799999999999998"/>
    <n v="8.4"/>
  </r>
  <r>
    <x v="40"/>
    <x v="30"/>
    <x v="2"/>
    <n v="28534"/>
    <n v="60175.55"/>
    <n v="6.32"/>
    <n v="4593.2"/>
    <n v="0.4"/>
    <n v="7.9"/>
  </r>
  <r>
    <x v="40"/>
    <x v="31"/>
    <x v="13"/>
    <n v="27084"/>
    <n v="58101.56"/>
    <n v="6.38"/>
    <n v="4331.3"/>
    <n v="0.27300000000000002"/>
    <n v="6"/>
  </r>
  <r>
    <x v="40"/>
    <x v="32"/>
    <x v="15"/>
    <n v="34748"/>
    <n v="76367.38"/>
    <n v="6.55"/>
    <n v="5306.7"/>
    <n v="0.435"/>
    <n v="7"/>
  </r>
  <r>
    <x v="40"/>
    <x v="33"/>
    <x v="2"/>
    <n v="24601"/>
    <n v="53369.49"/>
    <n v="6.16"/>
    <n v="3993.6"/>
    <n v="0.3"/>
    <n v="7.4"/>
  </r>
  <r>
    <x v="40"/>
    <x v="34"/>
    <x v="6"/>
    <n v="28343"/>
    <n v="59359.79"/>
    <n v="6.34"/>
    <n v="4554.8"/>
    <n v="0.47599999999999998"/>
    <n v="6"/>
  </r>
  <r>
    <x v="40"/>
    <x v="35"/>
    <x v="4"/>
    <n v="17272"/>
    <n v="37814.03"/>
    <n v="6.44"/>
    <n v="2692.3"/>
    <n v="0.35699999999999998"/>
    <n v="7.1"/>
  </r>
  <r>
    <x v="41"/>
    <x v="0"/>
    <x v="13"/>
    <n v="39222"/>
    <n v="85580.77"/>
    <n v="6.49"/>
    <n v="6016.8"/>
    <n v="0.45500000000000002"/>
    <n v="8.1"/>
  </r>
  <r>
    <x v="41"/>
    <x v="1"/>
    <x v="4"/>
    <n v="19935"/>
    <n v="42502.07"/>
    <n v="6.41"/>
    <n v="3170.5"/>
    <n v="0.5"/>
    <n v="7.1"/>
  </r>
  <r>
    <x v="41"/>
    <x v="2"/>
    <x v="2"/>
    <n v="24210"/>
    <n v="55575.32"/>
    <n v="6.64"/>
    <n v="3701.7"/>
    <n v="0.5"/>
    <n v="8"/>
  </r>
  <r>
    <x v="41"/>
    <x v="3"/>
    <x v="2"/>
    <n v="25075"/>
    <n v="49765.79"/>
    <n v="6.59"/>
    <n v="3866"/>
    <n v="0.55000000000000004"/>
    <n v="7.5"/>
  </r>
  <r>
    <x v="41"/>
    <x v="4"/>
    <x v="4"/>
    <n v="19297"/>
    <n v="40387.19"/>
    <n v="6.53"/>
    <n v="2986.7"/>
    <n v="0.42899999999999999"/>
    <n v="7.4"/>
  </r>
  <r>
    <x v="41"/>
    <x v="5"/>
    <x v="15"/>
    <n v="30049"/>
    <n v="67810.34"/>
    <n v="6.26"/>
    <n v="4878.3"/>
    <n v="0.30399999999999999"/>
    <n v="5.9"/>
  </r>
  <r>
    <x v="41"/>
    <x v="6"/>
    <x v="2"/>
    <n v="29149"/>
    <n v="61236.14"/>
    <n v="6.42"/>
    <n v="4569.7"/>
    <n v="0.5"/>
    <n v="7.6"/>
  </r>
  <r>
    <x v="41"/>
    <x v="7"/>
    <x v="2"/>
    <n v="33599"/>
    <n v="64902.98"/>
    <n v="6.55"/>
    <n v="5190"/>
    <n v="0.4"/>
    <n v="6.4"/>
  </r>
  <r>
    <x v="41"/>
    <x v="8"/>
    <x v="9"/>
    <n v="29263"/>
    <n v="64553.67"/>
    <n v="6.57"/>
    <n v="4502.6000000000004"/>
    <n v="0.58799999999999997"/>
    <n v="7.2"/>
  </r>
  <r>
    <x v="41"/>
    <x v="9"/>
    <x v="23"/>
    <n v="45116"/>
    <n v="95042.880000000005"/>
    <n v="6.47"/>
    <n v="6926.6"/>
    <n v="0.4"/>
    <n v="7.1"/>
  </r>
  <r>
    <x v="41"/>
    <x v="10"/>
    <x v="3"/>
    <n v="25205"/>
    <n v="57830.71"/>
    <n v="6.36"/>
    <n v="4010.7"/>
    <n v="0.36799999999999999"/>
    <n v="6.7"/>
  </r>
  <r>
    <x v="41"/>
    <x v="11"/>
    <x v="11"/>
    <n v="32523"/>
    <n v="73357.929999999993"/>
    <n v="6.6"/>
    <n v="4997.6000000000004"/>
    <n v="0.54200000000000004"/>
    <n v="6.1"/>
  </r>
  <r>
    <x v="41"/>
    <x v="12"/>
    <x v="15"/>
    <n v="30279"/>
    <n v="64387.61"/>
    <n v="6.51"/>
    <n v="4640.7"/>
    <n v="0.30399999999999999"/>
    <n v="6.9"/>
  </r>
  <r>
    <x v="41"/>
    <x v="13"/>
    <x v="9"/>
    <n v="20518"/>
    <n v="45043.41"/>
    <n v="6.64"/>
    <n v="3083.1"/>
    <n v="0.47099999999999997"/>
    <n v="7.4"/>
  </r>
  <r>
    <x v="41"/>
    <x v="14"/>
    <x v="3"/>
    <n v="29227"/>
    <n v="59793.33"/>
    <n v="6.18"/>
    <n v="4812.7"/>
    <n v="0.316"/>
    <n v="7.1"/>
  </r>
  <r>
    <x v="41"/>
    <x v="15"/>
    <x v="10"/>
    <n v="44564"/>
    <n v="98341.79"/>
    <n v="6.44"/>
    <n v="6977.6"/>
    <n v="0.48099999999999998"/>
    <n v="7.7"/>
  </r>
  <r>
    <x v="41"/>
    <x v="16"/>
    <x v="2"/>
    <n v="31804"/>
    <n v="68970.58"/>
    <n v="6.56"/>
    <n v="4916.8"/>
    <n v="0.25"/>
    <n v="7.5"/>
  </r>
  <r>
    <x v="41"/>
    <x v="17"/>
    <x v="15"/>
    <n v="38539"/>
    <n v="83129.08"/>
    <n v="6.32"/>
    <n v="6191.9"/>
    <n v="0.56499999999999995"/>
    <n v="7.2"/>
  </r>
  <r>
    <x v="41"/>
    <x v="18"/>
    <x v="8"/>
    <n v="21105"/>
    <n v="42491.93"/>
    <n v="6.52"/>
    <n v="3220.8"/>
    <n v="0.625"/>
    <n v="7"/>
  </r>
  <r>
    <x v="41"/>
    <x v="19"/>
    <x v="5"/>
    <n v="22060"/>
    <n v="45842.7"/>
    <n v="6.56"/>
    <n v="3407.1"/>
    <n v="0.308"/>
    <n v="6.5"/>
  </r>
  <r>
    <x v="41"/>
    <x v="20"/>
    <x v="17"/>
    <n v="42154"/>
    <n v="88290.48"/>
    <n v="6.64"/>
    <n v="6354.1"/>
    <n v="0.28000000000000003"/>
    <n v="7.4"/>
  </r>
  <r>
    <x v="41"/>
    <x v="21"/>
    <x v="12"/>
    <n v="28239"/>
    <n v="57066.62"/>
    <n v="6.32"/>
    <n v="4502.3999999999996"/>
    <n v="0.38900000000000001"/>
    <n v="7.2"/>
  </r>
  <r>
    <x v="41"/>
    <x v="22"/>
    <x v="6"/>
    <n v="31796"/>
    <n v="70610.16"/>
    <n v="6.47"/>
    <n v="4910.6000000000004"/>
    <n v="0.52400000000000002"/>
    <n v="7.1"/>
  </r>
  <r>
    <x v="41"/>
    <x v="23"/>
    <x v="12"/>
    <n v="30200"/>
    <n v="66799.63"/>
    <n v="6.61"/>
    <n v="4596.1000000000004"/>
    <n v="0.33300000000000002"/>
    <n v="6.4"/>
  </r>
  <r>
    <x v="41"/>
    <x v="24"/>
    <x v="6"/>
    <n v="28189"/>
    <n v="64156.98"/>
    <n v="6.56"/>
    <n v="4324.3999999999996"/>
    <n v="0.38100000000000001"/>
    <n v="7.2"/>
  </r>
  <r>
    <x v="41"/>
    <x v="25"/>
    <x v="14"/>
    <n v="25103"/>
    <n v="48370.96"/>
    <n v="6.49"/>
    <n v="3876.7"/>
    <n v="0.46700000000000003"/>
    <n v="6.6"/>
  </r>
  <r>
    <x v="41"/>
    <x v="26"/>
    <x v="2"/>
    <n v="29969"/>
    <n v="67394.69"/>
    <n v="6.25"/>
    <n v="4846.5"/>
    <n v="0.6"/>
    <n v="7"/>
  </r>
  <r>
    <x v="41"/>
    <x v="27"/>
    <x v="14"/>
    <n v="22240"/>
    <n v="47574.44"/>
    <n v="6.77"/>
    <n v="3277.6"/>
    <n v="0.33300000000000002"/>
    <n v="5.7"/>
  </r>
  <r>
    <x v="41"/>
    <x v="28"/>
    <x v="2"/>
    <n v="23876"/>
    <n v="54851.86"/>
    <n v="6.71"/>
    <n v="3624.8"/>
    <n v="0.45"/>
    <n v="6.7"/>
  </r>
  <r>
    <x v="41"/>
    <x v="29"/>
    <x v="22"/>
    <n v="34660"/>
    <n v="79281.77"/>
    <n v="6.6"/>
    <n v="5397.3"/>
    <n v="0.42899999999999999"/>
    <n v="6.6"/>
  </r>
  <r>
    <x v="41"/>
    <x v="30"/>
    <x v="12"/>
    <n v="29264"/>
    <n v="61877.7"/>
    <n v="6.51"/>
    <n v="4582.8"/>
    <n v="0.5"/>
    <n v="7.2"/>
  </r>
  <r>
    <x v="41"/>
    <x v="31"/>
    <x v="13"/>
    <n v="34903"/>
    <n v="73564.490000000005"/>
    <n v="6.6"/>
    <n v="5360.4"/>
    <n v="0.5"/>
    <n v="7.1"/>
  </r>
  <r>
    <x v="41"/>
    <x v="32"/>
    <x v="3"/>
    <n v="22982"/>
    <n v="48802.06"/>
    <n v="6.48"/>
    <n v="3647.1"/>
    <n v="0.42099999999999999"/>
    <n v="7.1"/>
  </r>
  <r>
    <x v="41"/>
    <x v="33"/>
    <x v="15"/>
    <n v="41573"/>
    <n v="91027.94"/>
    <n v="6.49"/>
    <n v="6509.1"/>
    <n v="0.34799999999999998"/>
    <n v="8"/>
  </r>
  <r>
    <x v="41"/>
    <x v="34"/>
    <x v="3"/>
    <n v="31161"/>
    <n v="64084.29"/>
    <n v="6.57"/>
    <n v="4773.2"/>
    <n v="0.42099999999999999"/>
    <n v="7.5"/>
  </r>
  <r>
    <x v="41"/>
    <x v="35"/>
    <x v="2"/>
    <n v="27629"/>
    <n v="61544.01"/>
    <n v="6.45"/>
    <n v="4373.2"/>
    <n v="0.4"/>
    <n v="6.3"/>
  </r>
  <r>
    <x v="42"/>
    <x v="0"/>
    <x v="3"/>
    <n v="28282"/>
    <n v="62395.9"/>
    <n v="6.45"/>
    <n v="4481.5"/>
    <n v="0.42099999999999999"/>
    <n v="8.1"/>
  </r>
  <r>
    <x v="42"/>
    <x v="1"/>
    <x v="0"/>
    <n v="40638"/>
    <n v="93467.91"/>
    <n v="6.29"/>
    <n v="6535.6"/>
    <n v="0.57699999999999996"/>
    <n v="7"/>
  </r>
  <r>
    <x v="42"/>
    <x v="2"/>
    <x v="4"/>
    <n v="14559"/>
    <n v="33419.08"/>
    <n v="6.56"/>
    <n v="2248.5"/>
    <n v="0.35699999999999998"/>
    <n v="5.9"/>
  </r>
  <r>
    <x v="42"/>
    <x v="3"/>
    <x v="13"/>
    <n v="29923"/>
    <n v="61900.84"/>
    <n v="6.61"/>
    <n v="4578.7"/>
    <n v="0.36399999999999999"/>
    <n v="7.7"/>
  </r>
  <r>
    <x v="42"/>
    <x v="4"/>
    <x v="5"/>
    <n v="14816"/>
    <n v="32357.84"/>
    <n v="6.25"/>
    <n v="2472.6999999999998"/>
    <n v="0.46200000000000002"/>
    <n v="8.1"/>
  </r>
  <r>
    <x v="42"/>
    <x v="5"/>
    <x v="2"/>
    <n v="28437"/>
    <n v="58673.46"/>
    <n v="6.79"/>
    <n v="4211.3"/>
    <n v="0.4"/>
    <n v="7.9"/>
  </r>
  <r>
    <x v="42"/>
    <x v="6"/>
    <x v="8"/>
    <n v="22407"/>
    <n v="48120.46"/>
    <n v="6.73"/>
    <n v="3309.6"/>
    <n v="0.375"/>
    <n v="6.6"/>
  </r>
  <r>
    <x v="42"/>
    <x v="7"/>
    <x v="19"/>
    <n v="12425"/>
    <n v="26720.5"/>
    <n v="6.22"/>
    <n v="1972.1"/>
    <n v="0.5"/>
    <n v="6.3"/>
  </r>
  <r>
    <x v="42"/>
    <x v="8"/>
    <x v="15"/>
    <n v="31979"/>
    <n v="71194.820000000007"/>
    <n v="6.48"/>
    <n v="4858"/>
    <n v="0.47799999999999998"/>
    <n v="7.1"/>
  </r>
  <r>
    <x v="42"/>
    <x v="9"/>
    <x v="6"/>
    <n v="24044"/>
    <n v="53549.7"/>
    <n v="6.57"/>
    <n v="3736.3"/>
    <n v="0.52400000000000002"/>
    <n v="6.5"/>
  </r>
  <r>
    <x v="42"/>
    <x v="10"/>
    <x v="7"/>
    <n v="15957"/>
    <n v="35700.01"/>
    <n v="6.47"/>
    <n v="2560.6999999999998"/>
    <n v="0.41699999999999998"/>
    <n v="8.6"/>
  </r>
  <r>
    <x v="42"/>
    <x v="11"/>
    <x v="19"/>
    <n v="12399"/>
    <n v="29212.09"/>
    <n v="6.57"/>
    <n v="1865.1"/>
    <n v="0.3"/>
    <n v="8.4"/>
  </r>
  <r>
    <x v="42"/>
    <x v="12"/>
    <x v="6"/>
    <n v="21176"/>
    <n v="40920.400000000001"/>
    <n v="6.75"/>
    <n v="3141"/>
    <n v="0.47599999999999998"/>
    <n v="6.7"/>
  </r>
  <r>
    <x v="42"/>
    <x v="13"/>
    <x v="9"/>
    <n v="24635"/>
    <n v="53562.65"/>
    <n v="6.39"/>
    <n v="3894.3"/>
    <n v="0.23499999999999999"/>
    <n v="5.8"/>
  </r>
  <r>
    <x v="42"/>
    <x v="14"/>
    <x v="14"/>
    <n v="28912"/>
    <n v="62177.05"/>
    <n v="6.28"/>
    <n v="4639.5"/>
    <n v="0.26700000000000002"/>
    <n v="7.7"/>
  </r>
  <r>
    <x v="42"/>
    <x v="15"/>
    <x v="3"/>
    <n v="27197"/>
    <n v="52411.06"/>
    <n v="6.37"/>
    <n v="4291.8999999999996"/>
    <n v="0.47399999999999998"/>
    <n v="7.1"/>
  </r>
  <r>
    <x v="42"/>
    <x v="16"/>
    <x v="6"/>
    <n v="33031"/>
    <n v="68642.97"/>
    <n v="6.4"/>
    <n v="5125.3"/>
    <n v="0.38100000000000001"/>
    <n v="7.4"/>
  </r>
  <r>
    <x v="42"/>
    <x v="17"/>
    <x v="14"/>
    <n v="22813"/>
    <n v="46747.02"/>
    <n v="6.24"/>
    <n v="3708.7"/>
    <n v="0.4"/>
    <n v="6.5"/>
  </r>
  <r>
    <x v="42"/>
    <x v="18"/>
    <x v="14"/>
    <n v="16537"/>
    <n v="36349.160000000003"/>
    <n v="6.37"/>
    <n v="2600.5"/>
    <n v="0.66700000000000004"/>
    <n v="7.5"/>
  </r>
  <r>
    <x v="42"/>
    <x v="19"/>
    <x v="4"/>
    <n v="20215"/>
    <n v="45185.52"/>
    <n v="6.42"/>
    <n v="3222.8"/>
    <n v="0.28599999999999998"/>
    <n v="6"/>
  </r>
  <r>
    <x v="42"/>
    <x v="20"/>
    <x v="13"/>
    <n v="31282"/>
    <n v="65390.01"/>
    <n v="6.64"/>
    <n v="4680.2"/>
    <n v="0.36399999999999999"/>
    <n v="6.8"/>
  </r>
  <r>
    <x v="42"/>
    <x v="21"/>
    <x v="3"/>
    <n v="22482"/>
    <n v="51493.21"/>
    <n v="6.35"/>
    <n v="3506.1"/>
    <n v="0.57899999999999996"/>
    <n v="6.9"/>
  </r>
  <r>
    <x v="42"/>
    <x v="22"/>
    <x v="15"/>
    <n v="32947"/>
    <n v="70725.72"/>
    <n v="6.54"/>
    <n v="5092.3"/>
    <n v="0.60899999999999999"/>
    <n v="7.6"/>
  </r>
  <r>
    <x v="42"/>
    <x v="23"/>
    <x v="2"/>
    <n v="32602"/>
    <n v="65635.62"/>
    <n v="6.44"/>
    <n v="5111.2"/>
    <n v="0.45"/>
    <n v="6.8"/>
  </r>
  <r>
    <x v="42"/>
    <x v="24"/>
    <x v="17"/>
    <n v="37475"/>
    <n v="84247.81"/>
    <n v="6.64"/>
    <n v="5677.1"/>
    <n v="0.48"/>
    <n v="7.1"/>
  </r>
  <r>
    <x v="42"/>
    <x v="25"/>
    <x v="4"/>
    <n v="18211"/>
    <n v="40241.01"/>
    <n v="6.52"/>
    <n v="2792.6"/>
    <n v="0.28599999999999998"/>
    <n v="6.6"/>
  </r>
  <r>
    <x v="42"/>
    <x v="26"/>
    <x v="15"/>
    <n v="31819"/>
    <n v="65799.539999999994"/>
    <n v="6.45"/>
    <n v="4958.3"/>
    <n v="0.39100000000000001"/>
    <n v="7.8"/>
  </r>
  <r>
    <x v="42"/>
    <x v="27"/>
    <x v="14"/>
    <n v="13824"/>
    <n v="29729.84"/>
    <n v="6.36"/>
    <n v="2163"/>
    <n v="0.6"/>
    <n v="7.4"/>
  </r>
  <r>
    <x v="42"/>
    <x v="28"/>
    <x v="12"/>
    <n v="27714"/>
    <n v="57907.35"/>
    <n v="6.64"/>
    <n v="4181.8"/>
    <n v="0.44400000000000001"/>
    <n v="6.6"/>
  </r>
  <r>
    <x v="42"/>
    <x v="29"/>
    <x v="11"/>
    <n v="38491"/>
    <n v="80331.86"/>
    <n v="6.42"/>
    <n v="5973.9"/>
    <n v="0.58299999999999996"/>
    <n v="6.4"/>
  </r>
  <r>
    <x v="42"/>
    <x v="30"/>
    <x v="0"/>
    <n v="33383"/>
    <n v="68685.45"/>
    <n v="6.57"/>
    <n v="5242.7"/>
    <n v="0.42299999999999999"/>
    <n v="6.5"/>
  </r>
  <r>
    <x v="42"/>
    <x v="31"/>
    <x v="9"/>
    <n v="24469"/>
    <n v="53951.5"/>
    <n v="6.36"/>
    <n v="3835.4"/>
    <n v="0.35299999999999998"/>
    <n v="8.1999999999999993"/>
  </r>
  <r>
    <x v="42"/>
    <x v="32"/>
    <x v="3"/>
    <n v="26304"/>
    <n v="57916.45"/>
    <n v="6.58"/>
    <n v="4042.4"/>
    <n v="0.63200000000000001"/>
    <n v="6.7"/>
  </r>
  <r>
    <x v="42"/>
    <x v="33"/>
    <x v="14"/>
    <n v="28276"/>
    <n v="58324.19"/>
    <n v="6.71"/>
    <n v="4295.3999999999996"/>
    <n v="0.2"/>
    <n v="7"/>
  </r>
  <r>
    <x v="42"/>
    <x v="34"/>
    <x v="13"/>
    <n v="27439"/>
    <n v="58318.41"/>
    <n v="6.52"/>
    <n v="4278.7"/>
    <n v="0.5"/>
    <n v="7.3"/>
  </r>
  <r>
    <x v="42"/>
    <x v="35"/>
    <x v="20"/>
    <n v="10126"/>
    <n v="19439.27"/>
    <n v="6.63"/>
    <n v="1511.8"/>
    <n v="0.66700000000000004"/>
    <n v="6.6"/>
  </r>
  <r>
    <x v="43"/>
    <x v="0"/>
    <x v="13"/>
    <n v="33127"/>
    <n v="70613.2"/>
    <n v="6.56"/>
    <n v="5029.5"/>
    <n v="0.40899999999999997"/>
    <n v="6.4"/>
  </r>
  <r>
    <x v="43"/>
    <x v="1"/>
    <x v="21"/>
    <n v="17284"/>
    <n v="37912.39"/>
    <n v="6.37"/>
    <n v="2747.9"/>
    <n v="0.36399999999999999"/>
    <n v="7.3"/>
  </r>
  <r>
    <x v="43"/>
    <x v="2"/>
    <x v="8"/>
    <n v="21433"/>
    <n v="43864.14"/>
    <n v="6.6"/>
    <n v="3246.7"/>
    <n v="0.312"/>
    <n v="7.4"/>
  </r>
  <r>
    <x v="43"/>
    <x v="3"/>
    <x v="13"/>
    <n v="29922"/>
    <n v="62953.46"/>
    <n v="6.48"/>
    <n v="4615.5"/>
    <n v="0.54500000000000004"/>
    <n v="7.8"/>
  </r>
  <r>
    <x v="43"/>
    <x v="4"/>
    <x v="3"/>
    <n v="25955"/>
    <n v="60503.74"/>
    <n v="6.53"/>
    <n v="3905.3"/>
    <n v="0.57899999999999996"/>
    <n v="8.1"/>
  </r>
  <r>
    <x v="43"/>
    <x v="5"/>
    <x v="2"/>
    <n v="32752"/>
    <n v="72250.77"/>
    <n v="6.5"/>
    <n v="5098.3999999999996"/>
    <n v="0.45"/>
    <n v="6.6"/>
  </r>
  <r>
    <x v="43"/>
    <x v="6"/>
    <x v="11"/>
    <n v="29618"/>
    <n v="63248.95"/>
    <n v="6.76"/>
    <n v="4455.7"/>
    <n v="0.58299999999999996"/>
    <n v="6.1"/>
  </r>
  <r>
    <x v="43"/>
    <x v="7"/>
    <x v="22"/>
    <n v="42622"/>
    <n v="85099.13"/>
    <n v="6.54"/>
    <n v="6600.8"/>
    <n v="0.42899999999999999"/>
    <n v="6.4"/>
  </r>
  <r>
    <x v="43"/>
    <x v="8"/>
    <x v="9"/>
    <n v="23154"/>
    <n v="50661.25"/>
    <n v="6.44"/>
    <n v="3617.1"/>
    <n v="0.47099999999999997"/>
    <n v="6.7"/>
  </r>
  <r>
    <x v="43"/>
    <x v="9"/>
    <x v="25"/>
    <n v="46828"/>
    <n v="103502.32"/>
    <n v="6.59"/>
    <n v="7104.5"/>
    <n v="0.45200000000000001"/>
    <n v="7.7"/>
  </r>
  <r>
    <x v="43"/>
    <x v="10"/>
    <x v="17"/>
    <n v="36720"/>
    <n v="74897.45"/>
    <n v="6.51"/>
    <n v="5612.5"/>
    <n v="0.36"/>
    <n v="6.3"/>
  </r>
  <r>
    <x v="43"/>
    <x v="11"/>
    <x v="9"/>
    <n v="23599"/>
    <n v="51493.49"/>
    <n v="6.39"/>
    <n v="3713.4"/>
    <n v="0.47099999999999997"/>
    <n v="6.2"/>
  </r>
  <r>
    <x v="43"/>
    <x v="12"/>
    <x v="12"/>
    <n v="25187"/>
    <n v="52429.57"/>
    <n v="6.44"/>
    <n v="3984.2"/>
    <n v="0.44400000000000001"/>
    <n v="7.1"/>
  </r>
  <r>
    <x v="43"/>
    <x v="13"/>
    <x v="15"/>
    <n v="28568"/>
    <n v="61809.62"/>
    <n v="6.56"/>
    <n v="4395.8"/>
    <n v="0.39100000000000001"/>
    <n v="8.1"/>
  </r>
  <r>
    <x v="43"/>
    <x v="14"/>
    <x v="6"/>
    <n v="29978"/>
    <n v="65873.490000000005"/>
    <n v="6.39"/>
    <n v="4651.7"/>
    <n v="0.42899999999999999"/>
    <n v="6.2"/>
  </r>
  <r>
    <x v="43"/>
    <x v="15"/>
    <x v="2"/>
    <n v="24120"/>
    <n v="48048.7"/>
    <n v="6.53"/>
    <n v="3706.9"/>
    <n v="0.55000000000000004"/>
    <n v="7.3"/>
  </r>
  <r>
    <x v="43"/>
    <x v="16"/>
    <x v="5"/>
    <n v="15849"/>
    <n v="32283.85"/>
    <n v="6.68"/>
    <n v="2427.1999999999998"/>
    <n v="0.61499999999999999"/>
    <n v="7.9"/>
  </r>
  <r>
    <x v="43"/>
    <x v="17"/>
    <x v="11"/>
    <n v="35864"/>
    <n v="80905.070000000007"/>
    <n v="6.49"/>
    <n v="5663.9"/>
    <n v="0.45800000000000002"/>
    <n v="6.9"/>
  </r>
  <r>
    <x v="43"/>
    <x v="18"/>
    <x v="11"/>
    <n v="40522"/>
    <n v="89517.09"/>
    <n v="6.6"/>
    <n v="6235.4"/>
    <n v="0.45800000000000002"/>
    <n v="7"/>
  </r>
  <r>
    <x v="43"/>
    <x v="19"/>
    <x v="6"/>
    <n v="25020"/>
    <n v="49698.94"/>
    <n v="6.53"/>
    <n v="3890.5"/>
    <n v="0.19"/>
    <n v="7.4"/>
  </r>
  <r>
    <x v="43"/>
    <x v="20"/>
    <x v="12"/>
    <n v="20920"/>
    <n v="46074.43"/>
    <n v="6.33"/>
    <n v="3371.6"/>
    <n v="0.44400000000000001"/>
    <n v="7.6"/>
  </r>
  <r>
    <x v="43"/>
    <x v="21"/>
    <x v="1"/>
    <n v="16521"/>
    <n v="39911.01"/>
    <n v="6.31"/>
    <n v="2695"/>
    <n v="0.111"/>
    <n v="7.8"/>
  </r>
  <r>
    <x v="43"/>
    <x v="22"/>
    <x v="21"/>
    <n v="15473"/>
    <n v="35235.96"/>
    <n v="6.54"/>
    <n v="2391.6999999999998"/>
    <n v="0.45500000000000002"/>
    <n v="6.3"/>
  </r>
  <r>
    <x v="43"/>
    <x v="23"/>
    <x v="6"/>
    <n v="29139"/>
    <n v="64853.16"/>
    <n v="6.59"/>
    <n v="4488.7"/>
    <n v="0.38100000000000001"/>
    <n v="6.4"/>
  </r>
  <r>
    <x v="43"/>
    <x v="24"/>
    <x v="13"/>
    <n v="30511"/>
    <n v="60598.43"/>
    <n v="6.48"/>
    <n v="4782.2"/>
    <n v="0.36399999999999999"/>
    <n v="6.9"/>
  </r>
  <r>
    <x v="43"/>
    <x v="25"/>
    <x v="6"/>
    <n v="33058"/>
    <n v="70028.320000000007"/>
    <n v="6.39"/>
    <n v="5276.4"/>
    <n v="0.23799999999999999"/>
    <n v="7.9"/>
  </r>
  <r>
    <x v="43"/>
    <x v="26"/>
    <x v="5"/>
    <n v="22939"/>
    <n v="46024.26"/>
    <n v="6.48"/>
    <n v="3494.5"/>
    <n v="0.61499999999999999"/>
    <n v="7.4"/>
  </r>
  <r>
    <x v="43"/>
    <x v="27"/>
    <x v="2"/>
    <n v="27987"/>
    <n v="61951.95"/>
    <n v="6.3"/>
    <n v="4417.3999999999996"/>
    <n v="0.45"/>
    <n v="6.7"/>
  </r>
  <r>
    <x v="43"/>
    <x v="28"/>
    <x v="12"/>
    <n v="30651"/>
    <n v="63884.61"/>
    <n v="6.48"/>
    <n v="4780.1000000000004"/>
    <n v="0.55600000000000005"/>
    <n v="6.6"/>
  </r>
  <r>
    <x v="43"/>
    <x v="29"/>
    <x v="3"/>
    <n v="26794"/>
    <n v="55496.89"/>
    <n v="6.81"/>
    <n v="4014.2"/>
    <n v="0.36799999999999999"/>
    <n v="7.7"/>
  </r>
  <r>
    <x v="43"/>
    <x v="30"/>
    <x v="3"/>
    <n v="29842"/>
    <n v="61012.17"/>
    <n v="6.47"/>
    <n v="4705.2"/>
    <n v="0.57899999999999996"/>
    <n v="7.3"/>
  </r>
  <r>
    <x v="43"/>
    <x v="31"/>
    <x v="19"/>
    <n v="14649"/>
    <n v="30294.98"/>
    <n v="6.42"/>
    <n v="2336.5"/>
    <n v="0.3"/>
    <n v="6.7"/>
  </r>
  <r>
    <x v="43"/>
    <x v="32"/>
    <x v="11"/>
    <n v="39268"/>
    <n v="81127.649999999994"/>
    <n v="6.31"/>
    <n v="6363.5"/>
    <n v="0.33300000000000002"/>
    <n v="7.1"/>
  </r>
  <r>
    <x v="43"/>
    <x v="33"/>
    <x v="14"/>
    <n v="25573"/>
    <n v="56740.93"/>
    <n v="6.53"/>
    <n v="3913.6"/>
    <n v="0.4"/>
    <n v="6.8"/>
  </r>
  <r>
    <x v="43"/>
    <x v="34"/>
    <x v="2"/>
    <n v="29683"/>
    <n v="63330.6"/>
    <n v="6.49"/>
    <n v="4546"/>
    <n v="0.35"/>
    <n v="7.5"/>
  </r>
  <r>
    <x v="43"/>
    <x v="35"/>
    <x v="6"/>
    <n v="26407"/>
    <n v="56137.56"/>
    <n v="6.38"/>
    <n v="4238.3999999999996"/>
    <n v="0.57099999999999995"/>
    <n v="6.5"/>
  </r>
  <r>
    <x v="44"/>
    <x v="0"/>
    <x v="6"/>
    <n v="29489"/>
    <n v="63011.27"/>
    <n v="6.46"/>
    <n v="4686.1000000000004"/>
    <n v="0.52400000000000002"/>
    <n v="6"/>
  </r>
  <r>
    <x v="44"/>
    <x v="1"/>
    <x v="3"/>
    <n v="20489"/>
    <n v="47152.77"/>
    <n v="6.59"/>
    <n v="3131.2"/>
    <n v="0.36799999999999999"/>
    <n v="6.8"/>
  </r>
  <r>
    <x v="44"/>
    <x v="2"/>
    <x v="8"/>
    <n v="25206"/>
    <n v="56608.22"/>
    <n v="6.78"/>
    <n v="3695.1"/>
    <n v="0.625"/>
    <n v="6"/>
  </r>
  <r>
    <x v="44"/>
    <x v="3"/>
    <x v="15"/>
    <n v="29956"/>
    <n v="65083.33"/>
    <n v="6.45"/>
    <n v="4633.3999999999996"/>
    <n v="0.435"/>
    <n v="6.1"/>
  </r>
  <r>
    <x v="44"/>
    <x v="4"/>
    <x v="5"/>
    <n v="15358"/>
    <n v="36279.379999999997"/>
    <n v="6.5"/>
    <n v="2394.3000000000002"/>
    <n v="0.69199999999999995"/>
    <n v="7.3"/>
  </r>
  <r>
    <x v="44"/>
    <x v="5"/>
    <x v="17"/>
    <n v="38915"/>
    <n v="86957.119999999995"/>
    <n v="6.31"/>
    <n v="6297.8"/>
    <n v="0.48"/>
    <n v="7.2"/>
  </r>
  <r>
    <x v="44"/>
    <x v="6"/>
    <x v="15"/>
    <n v="32161"/>
    <n v="66919.86"/>
    <n v="6.47"/>
    <n v="5008.8999999999996"/>
    <n v="0.30399999999999999"/>
    <n v="6.8"/>
  </r>
  <r>
    <x v="44"/>
    <x v="7"/>
    <x v="6"/>
    <n v="30052"/>
    <n v="65807.839999999997"/>
    <n v="6.39"/>
    <n v="4735.8999999999996"/>
    <n v="0.33300000000000002"/>
    <n v="8"/>
  </r>
  <r>
    <x v="44"/>
    <x v="8"/>
    <x v="8"/>
    <n v="18919"/>
    <n v="44016.82"/>
    <n v="6.35"/>
    <n v="3006.7"/>
    <n v="0.438"/>
    <n v="7.6"/>
  </r>
  <r>
    <x v="44"/>
    <x v="9"/>
    <x v="2"/>
    <n v="23965"/>
    <n v="49688.13"/>
    <n v="6.66"/>
    <n v="3657.5"/>
    <n v="0.4"/>
    <n v="6.7"/>
  </r>
  <r>
    <x v="44"/>
    <x v="10"/>
    <x v="13"/>
    <n v="32512"/>
    <n v="71738.16"/>
    <n v="6.38"/>
    <n v="5291.6"/>
    <n v="0.36399999999999999"/>
    <n v="7.5"/>
  </r>
  <r>
    <x v="44"/>
    <x v="11"/>
    <x v="6"/>
    <n v="29555"/>
    <n v="65176.5"/>
    <n v="6.44"/>
    <n v="4626.8999999999996"/>
    <n v="0.42899999999999999"/>
    <n v="7.4"/>
  </r>
  <r>
    <x v="44"/>
    <x v="12"/>
    <x v="2"/>
    <n v="36994"/>
    <n v="72210.759999999995"/>
    <n v="6.36"/>
    <n v="5785"/>
    <n v="0.3"/>
    <n v="6.4"/>
  </r>
  <r>
    <x v="44"/>
    <x v="13"/>
    <x v="8"/>
    <n v="24595"/>
    <n v="53768.85"/>
    <n v="6.35"/>
    <n v="3899"/>
    <n v="0.375"/>
    <n v="6.1"/>
  </r>
  <r>
    <x v="44"/>
    <x v="14"/>
    <x v="12"/>
    <n v="23729"/>
    <n v="51264.69"/>
    <n v="6.49"/>
    <n v="3641.6"/>
    <n v="0.5"/>
    <n v="7.3"/>
  </r>
  <r>
    <x v="44"/>
    <x v="15"/>
    <x v="12"/>
    <n v="25602"/>
    <n v="54325.39"/>
    <n v="6.47"/>
    <n v="3932"/>
    <n v="0.61099999999999999"/>
    <n v="7.2"/>
  </r>
  <r>
    <x v="44"/>
    <x v="16"/>
    <x v="4"/>
    <n v="19690"/>
    <n v="41890.65"/>
    <n v="6.52"/>
    <n v="3058.5"/>
    <n v="0.5"/>
    <n v="6.7"/>
  </r>
  <r>
    <x v="44"/>
    <x v="17"/>
    <x v="3"/>
    <n v="30179"/>
    <n v="63992.47"/>
    <n v="6.41"/>
    <n v="4758.3"/>
    <n v="0.316"/>
    <n v="7"/>
  </r>
  <r>
    <x v="44"/>
    <x v="18"/>
    <x v="15"/>
    <n v="37776"/>
    <n v="87726.21"/>
    <n v="6.44"/>
    <n v="5925.6"/>
    <n v="0.56499999999999995"/>
    <n v="7.5"/>
  </r>
  <r>
    <x v="44"/>
    <x v="19"/>
    <x v="0"/>
    <n v="34453"/>
    <n v="74581.38"/>
    <n v="6.38"/>
    <n v="5400.8"/>
    <n v="0.5"/>
    <n v="7.2"/>
  </r>
  <r>
    <x v="44"/>
    <x v="20"/>
    <x v="12"/>
    <n v="18915"/>
    <n v="41852.910000000003"/>
    <n v="6.35"/>
    <n v="2976.6"/>
    <n v="0.27800000000000002"/>
    <n v="6.3"/>
  </r>
  <r>
    <x v="44"/>
    <x v="21"/>
    <x v="14"/>
    <n v="21753"/>
    <n v="51346.67"/>
    <n v="6.68"/>
    <n v="3273.9"/>
    <n v="0.6"/>
    <n v="6.7"/>
  </r>
  <r>
    <x v="44"/>
    <x v="22"/>
    <x v="13"/>
    <n v="28493"/>
    <n v="64647.79"/>
    <n v="6.63"/>
    <n v="4382.8"/>
    <n v="0.63600000000000001"/>
    <n v="8"/>
  </r>
  <r>
    <x v="44"/>
    <x v="23"/>
    <x v="3"/>
    <n v="24049"/>
    <n v="50645.71"/>
    <n v="6.47"/>
    <n v="3834.1"/>
    <n v="0.42099999999999999"/>
    <n v="7.6"/>
  </r>
  <r>
    <x v="44"/>
    <x v="24"/>
    <x v="15"/>
    <n v="38168"/>
    <n v="82684.600000000006"/>
    <n v="6.5"/>
    <n v="5977.8"/>
    <n v="0.52200000000000002"/>
    <n v="6.7"/>
  </r>
  <r>
    <x v="44"/>
    <x v="25"/>
    <x v="17"/>
    <n v="39343"/>
    <n v="87960.13"/>
    <n v="6.39"/>
    <n v="6212.5"/>
    <n v="0.48"/>
    <n v="6.6"/>
  </r>
  <r>
    <x v="44"/>
    <x v="26"/>
    <x v="14"/>
    <n v="19926"/>
    <n v="42286.42"/>
    <n v="6.54"/>
    <n v="3034.2"/>
    <n v="0.26700000000000002"/>
    <n v="6.2"/>
  </r>
  <r>
    <x v="44"/>
    <x v="27"/>
    <x v="15"/>
    <n v="37473"/>
    <n v="80979.460000000006"/>
    <n v="6.4"/>
    <n v="5833.4"/>
    <n v="0.60899999999999999"/>
    <n v="6.8"/>
  </r>
  <r>
    <x v="44"/>
    <x v="28"/>
    <x v="6"/>
    <n v="26080"/>
    <n v="53256.92"/>
    <n v="6.75"/>
    <n v="3936.9"/>
    <n v="0.42899999999999999"/>
    <n v="7"/>
  </r>
  <r>
    <x v="44"/>
    <x v="29"/>
    <x v="21"/>
    <n v="15897"/>
    <n v="33379.160000000003"/>
    <n v="6.59"/>
    <n v="2460.5"/>
    <n v="0.45500000000000002"/>
    <n v="7.6"/>
  </r>
  <r>
    <x v="44"/>
    <x v="30"/>
    <x v="9"/>
    <n v="27171"/>
    <n v="55068.160000000003"/>
    <n v="6.52"/>
    <n v="4164.1000000000004"/>
    <n v="0.29399999999999998"/>
    <n v="7"/>
  </r>
  <r>
    <x v="44"/>
    <x v="31"/>
    <x v="8"/>
    <n v="25960"/>
    <n v="53098.73"/>
    <n v="6.48"/>
    <n v="4030"/>
    <n v="0.438"/>
    <n v="5.7"/>
  </r>
  <r>
    <x v="44"/>
    <x v="32"/>
    <x v="7"/>
    <n v="18786"/>
    <n v="38313.550000000003"/>
    <n v="6.77"/>
    <n v="2764.1"/>
    <n v="0.5"/>
    <n v="8.1"/>
  </r>
  <r>
    <x v="44"/>
    <x v="33"/>
    <x v="17"/>
    <n v="38861"/>
    <n v="73538.27"/>
    <n v="6.54"/>
    <n v="5806"/>
    <n v="0.56000000000000005"/>
    <n v="8.1999999999999993"/>
  </r>
  <r>
    <x v="44"/>
    <x v="34"/>
    <x v="8"/>
    <n v="18308"/>
    <n v="37828.61"/>
    <n v="6.74"/>
    <n v="2770.3"/>
    <n v="0.188"/>
    <n v="7.9"/>
  </r>
  <r>
    <x v="44"/>
    <x v="35"/>
    <x v="8"/>
    <n v="20829"/>
    <n v="46095.43"/>
    <n v="6.56"/>
    <n v="3209"/>
    <n v="0.5"/>
    <n v="7.7"/>
  </r>
  <r>
    <x v="45"/>
    <x v="0"/>
    <x v="2"/>
    <n v="33872"/>
    <n v="72225.649999999994"/>
    <n v="6.48"/>
    <n v="5285.7"/>
    <n v="0.35"/>
    <n v="7.7"/>
  </r>
  <r>
    <x v="45"/>
    <x v="1"/>
    <x v="13"/>
    <n v="31118"/>
    <n v="72425.11"/>
    <n v="6.63"/>
    <n v="4645.6000000000004"/>
    <n v="0.5"/>
    <n v="7.4"/>
  </r>
  <r>
    <x v="45"/>
    <x v="2"/>
    <x v="8"/>
    <n v="21941"/>
    <n v="47776.62"/>
    <n v="6.35"/>
    <n v="3556.5"/>
    <n v="0.375"/>
    <n v="6.9"/>
  </r>
  <r>
    <x v="45"/>
    <x v="3"/>
    <x v="3"/>
    <n v="37291"/>
    <n v="87010.08"/>
    <n v="6.52"/>
    <n v="5824.2"/>
    <n v="0.47399999999999998"/>
    <n v="7.1"/>
  </r>
  <r>
    <x v="45"/>
    <x v="4"/>
    <x v="13"/>
    <n v="35085"/>
    <n v="78699.64"/>
    <n v="6.68"/>
    <n v="5252.8"/>
    <n v="0.54500000000000004"/>
    <n v="7"/>
  </r>
  <r>
    <x v="45"/>
    <x v="5"/>
    <x v="13"/>
    <n v="33850"/>
    <n v="73417.38"/>
    <n v="6.4"/>
    <n v="5430"/>
    <n v="0.45500000000000002"/>
    <n v="7.2"/>
  </r>
  <r>
    <x v="45"/>
    <x v="6"/>
    <x v="5"/>
    <n v="18353"/>
    <n v="39638.629999999997"/>
    <n v="6.4"/>
    <n v="2852.4"/>
    <n v="0.308"/>
    <n v="7.9"/>
  </r>
  <r>
    <x v="45"/>
    <x v="7"/>
    <x v="6"/>
    <n v="28940"/>
    <n v="63726.96"/>
    <n v="6.58"/>
    <n v="4523.5"/>
    <n v="0.33300000000000002"/>
    <n v="7"/>
  </r>
  <r>
    <x v="45"/>
    <x v="8"/>
    <x v="15"/>
    <n v="30909"/>
    <n v="68755.820000000007"/>
    <n v="6.6"/>
    <n v="4756.8999999999996"/>
    <n v="0.435"/>
    <n v="7.4"/>
  </r>
  <r>
    <x v="45"/>
    <x v="9"/>
    <x v="13"/>
    <n v="36472"/>
    <n v="77172.289999999994"/>
    <n v="6.41"/>
    <n v="5677.4"/>
    <n v="0.45500000000000002"/>
    <n v="7.5"/>
  </r>
  <r>
    <x v="45"/>
    <x v="10"/>
    <x v="9"/>
    <n v="22982"/>
    <n v="49405.56"/>
    <n v="6.28"/>
    <n v="3638"/>
    <n v="0.52900000000000003"/>
    <n v="7.3"/>
  </r>
  <r>
    <x v="45"/>
    <x v="11"/>
    <x v="4"/>
    <n v="18823"/>
    <n v="44203.07"/>
    <n v="6.5"/>
    <n v="2909.6"/>
    <n v="0.64300000000000002"/>
    <n v="6.4"/>
  </r>
  <r>
    <x v="45"/>
    <x v="12"/>
    <x v="10"/>
    <n v="35068"/>
    <n v="81671.11"/>
    <n v="6.44"/>
    <n v="5574.5"/>
    <n v="0.63"/>
    <n v="7.7"/>
  </r>
  <r>
    <x v="45"/>
    <x v="13"/>
    <x v="3"/>
    <n v="32952"/>
    <n v="69971.360000000001"/>
    <n v="6.42"/>
    <n v="5203.7"/>
    <n v="0.316"/>
    <n v="8.3000000000000007"/>
  </r>
  <r>
    <x v="45"/>
    <x v="14"/>
    <x v="9"/>
    <n v="25387"/>
    <n v="58300.91"/>
    <n v="6.4"/>
    <n v="3965.1"/>
    <n v="0.47099999999999997"/>
    <n v="6.9"/>
  </r>
  <r>
    <x v="45"/>
    <x v="15"/>
    <x v="8"/>
    <n v="21038"/>
    <n v="40157.15"/>
    <n v="6.64"/>
    <n v="3145.6"/>
    <n v="0.25"/>
    <n v="7.2"/>
  </r>
  <r>
    <x v="45"/>
    <x v="16"/>
    <x v="5"/>
    <n v="16384"/>
    <n v="32558.91"/>
    <n v="6.71"/>
    <n v="2465.4"/>
    <n v="0.53800000000000003"/>
    <n v="7.6"/>
  </r>
  <r>
    <x v="45"/>
    <x v="17"/>
    <x v="6"/>
    <n v="32936"/>
    <n v="77490.91"/>
    <n v="6.51"/>
    <n v="5084.8999999999996"/>
    <n v="0.47599999999999998"/>
    <n v="6.3"/>
  </r>
  <r>
    <x v="45"/>
    <x v="18"/>
    <x v="14"/>
    <n v="15942"/>
    <n v="36441.68"/>
    <n v="6.56"/>
    <n v="2498"/>
    <n v="0.53300000000000003"/>
    <n v="6.3"/>
  </r>
  <r>
    <x v="45"/>
    <x v="19"/>
    <x v="17"/>
    <n v="41755"/>
    <n v="85408.81"/>
    <n v="6.44"/>
    <n v="6505.1"/>
    <n v="0.36"/>
    <n v="8.1"/>
  </r>
  <r>
    <x v="45"/>
    <x v="20"/>
    <x v="9"/>
    <n v="25145"/>
    <n v="47931.12"/>
    <n v="6.45"/>
    <n v="3960.2"/>
    <n v="0.47099999999999997"/>
    <n v="8.6"/>
  </r>
  <r>
    <x v="45"/>
    <x v="21"/>
    <x v="6"/>
    <n v="28656"/>
    <n v="52979.360000000001"/>
    <n v="6.33"/>
    <n v="4535.2"/>
    <n v="0.52400000000000002"/>
    <n v="6.5"/>
  </r>
  <r>
    <x v="45"/>
    <x v="22"/>
    <x v="5"/>
    <n v="18030"/>
    <n v="39542.42"/>
    <n v="6.55"/>
    <n v="2788.3"/>
    <n v="0.46200000000000002"/>
    <n v="7.3"/>
  </r>
  <r>
    <x v="45"/>
    <x v="23"/>
    <x v="19"/>
    <n v="13915"/>
    <n v="31586.76"/>
    <n v="6.28"/>
    <n v="2207"/>
    <n v="0.4"/>
    <n v="7.1"/>
  </r>
  <r>
    <x v="45"/>
    <x v="24"/>
    <x v="15"/>
    <n v="29369"/>
    <n v="64112.14"/>
    <n v="6.47"/>
    <n v="4505.8"/>
    <n v="0.34799999999999998"/>
    <n v="6.9"/>
  </r>
  <r>
    <x v="45"/>
    <x v="25"/>
    <x v="14"/>
    <n v="19233"/>
    <n v="37965.99"/>
    <n v="6.38"/>
    <n v="3036"/>
    <n v="0.4"/>
    <n v="7.5"/>
  </r>
  <r>
    <x v="45"/>
    <x v="26"/>
    <x v="0"/>
    <n v="30870"/>
    <n v="72230.039999999994"/>
    <n v="6.54"/>
    <n v="4704.7"/>
    <n v="0.53800000000000003"/>
    <n v="6.8"/>
  </r>
  <r>
    <x v="45"/>
    <x v="27"/>
    <x v="14"/>
    <n v="18813"/>
    <n v="41333.410000000003"/>
    <n v="6.26"/>
    <n v="3112.5"/>
    <n v="0.4"/>
    <n v="7"/>
  </r>
  <r>
    <x v="45"/>
    <x v="28"/>
    <x v="6"/>
    <n v="30846"/>
    <n v="73024.19"/>
    <n v="6.41"/>
    <n v="4796.6000000000004"/>
    <n v="0.42899999999999999"/>
    <n v="6.9"/>
  </r>
  <r>
    <x v="45"/>
    <x v="29"/>
    <x v="12"/>
    <n v="26704"/>
    <n v="56206.77"/>
    <n v="6.67"/>
    <n v="4129.8999999999996"/>
    <n v="0.38900000000000001"/>
    <n v="7.3"/>
  </r>
  <r>
    <x v="45"/>
    <x v="30"/>
    <x v="10"/>
    <n v="29075"/>
    <n v="65627.11"/>
    <n v="6.35"/>
    <n v="4708.8"/>
    <n v="0.40699999999999997"/>
    <n v="6.3"/>
  </r>
  <r>
    <x v="45"/>
    <x v="31"/>
    <x v="2"/>
    <n v="31954"/>
    <n v="71671.25"/>
    <n v="6.57"/>
    <n v="4973.3"/>
    <n v="0.5"/>
    <n v="7.3"/>
  </r>
  <r>
    <x v="45"/>
    <x v="32"/>
    <x v="2"/>
    <n v="27553"/>
    <n v="55743.39"/>
    <n v="6.2"/>
    <n v="4467.6000000000004"/>
    <n v="0.4"/>
    <n v="6.2"/>
  </r>
  <r>
    <x v="45"/>
    <x v="33"/>
    <x v="2"/>
    <n v="20527"/>
    <n v="45090.45"/>
    <n v="6.56"/>
    <n v="3205.8"/>
    <n v="0.2"/>
    <n v="7.1"/>
  </r>
  <r>
    <x v="45"/>
    <x v="34"/>
    <x v="11"/>
    <n v="32731"/>
    <n v="71098.98"/>
    <n v="6.52"/>
    <n v="5115.2"/>
    <n v="0.29199999999999998"/>
    <n v="7"/>
  </r>
  <r>
    <x v="45"/>
    <x v="35"/>
    <x v="12"/>
    <n v="24636"/>
    <n v="54055.59"/>
    <n v="6.62"/>
    <n v="3775.3"/>
    <n v="0.33300000000000002"/>
    <n v="7.8"/>
  </r>
  <r>
    <x v="46"/>
    <x v="0"/>
    <x v="8"/>
    <n v="23446"/>
    <n v="48801.46"/>
    <n v="6.78"/>
    <n v="3441.1"/>
    <n v="0.312"/>
    <n v="7"/>
  </r>
  <r>
    <x v="46"/>
    <x v="1"/>
    <x v="14"/>
    <n v="28089"/>
    <n v="62730.35"/>
    <n v="6.58"/>
    <n v="4330.6000000000004"/>
    <n v="0.53300000000000003"/>
    <n v="7.6"/>
  </r>
  <r>
    <x v="46"/>
    <x v="2"/>
    <x v="8"/>
    <n v="23158"/>
    <n v="48200.45"/>
    <n v="6.3"/>
    <n v="3636.2"/>
    <n v="0.56200000000000006"/>
    <n v="7.6"/>
  </r>
  <r>
    <x v="46"/>
    <x v="3"/>
    <x v="8"/>
    <n v="22679"/>
    <n v="49158.22"/>
    <n v="6.78"/>
    <n v="3334.1"/>
    <n v="0.56200000000000006"/>
    <n v="6.2"/>
  </r>
  <r>
    <x v="46"/>
    <x v="4"/>
    <x v="4"/>
    <n v="24121"/>
    <n v="54799.77"/>
    <n v="6.4"/>
    <n v="3770.7"/>
    <n v="0.5"/>
    <n v="6.2"/>
  </r>
  <r>
    <x v="46"/>
    <x v="5"/>
    <x v="4"/>
    <n v="19001"/>
    <n v="42733.11"/>
    <n v="6.26"/>
    <n v="3005.5"/>
    <n v="0.5"/>
    <n v="7.8"/>
  </r>
  <r>
    <x v="46"/>
    <x v="6"/>
    <x v="10"/>
    <n v="36023"/>
    <n v="78287.990000000005"/>
    <n v="6.33"/>
    <n v="5692.3"/>
    <n v="0.48099999999999998"/>
    <n v="6.5"/>
  </r>
  <r>
    <x v="46"/>
    <x v="7"/>
    <x v="2"/>
    <n v="27552"/>
    <n v="61739.7"/>
    <n v="6.58"/>
    <n v="4219.8999999999996"/>
    <n v="0.55000000000000004"/>
    <n v="7"/>
  </r>
  <r>
    <x v="46"/>
    <x v="8"/>
    <x v="4"/>
    <n v="18664"/>
    <n v="40835.19"/>
    <n v="6.55"/>
    <n v="2881.2"/>
    <n v="0.42899999999999999"/>
    <n v="6.8"/>
  </r>
  <r>
    <x v="46"/>
    <x v="9"/>
    <x v="2"/>
    <n v="27521"/>
    <n v="60974.26"/>
    <n v="6.51"/>
    <n v="4291.6000000000004"/>
    <n v="0.5"/>
    <n v="6.9"/>
  </r>
  <r>
    <x v="46"/>
    <x v="10"/>
    <x v="0"/>
    <n v="33671"/>
    <n v="69496.45"/>
    <n v="6.62"/>
    <n v="5176.2"/>
    <n v="0.42299999999999999"/>
    <n v="6.6"/>
  </r>
  <r>
    <x v="46"/>
    <x v="11"/>
    <x v="4"/>
    <n v="18565"/>
    <n v="39164.54"/>
    <n v="6.72"/>
    <n v="2779.1"/>
    <n v="0.5"/>
    <n v="7.2"/>
  </r>
  <r>
    <x v="46"/>
    <x v="12"/>
    <x v="4"/>
    <n v="20550"/>
    <n v="41028.120000000003"/>
    <n v="6.54"/>
    <n v="3219.8"/>
    <n v="0.42899999999999999"/>
    <n v="6.5"/>
  </r>
  <r>
    <x v="46"/>
    <x v="13"/>
    <x v="6"/>
    <n v="29440"/>
    <n v="59713.31"/>
    <n v="6.71"/>
    <n v="4412.7"/>
    <n v="0.47599999999999998"/>
    <n v="7"/>
  </r>
  <r>
    <x v="46"/>
    <x v="14"/>
    <x v="12"/>
    <n v="27464"/>
    <n v="53824.97"/>
    <n v="6.65"/>
    <n v="4272.8"/>
    <n v="0.38900000000000001"/>
    <n v="7.5"/>
  </r>
  <r>
    <x v="46"/>
    <x v="15"/>
    <x v="14"/>
    <n v="19732"/>
    <n v="45747.72"/>
    <n v="6.41"/>
    <n v="3035.3"/>
    <n v="0.26700000000000002"/>
    <n v="6.8"/>
  </r>
  <r>
    <x v="46"/>
    <x v="16"/>
    <x v="8"/>
    <n v="21585"/>
    <n v="49442.92"/>
    <n v="6.34"/>
    <n v="3386"/>
    <n v="0.375"/>
    <n v="5.8"/>
  </r>
  <r>
    <x v="46"/>
    <x v="17"/>
    <x v="5"/>
    <n v="21163"/>
    <n v="50465.43"/>
    <n v="6.63"/>
    <n v="3256.6"/>
    <n v="0.46200000000000002"/>
    <n v="6.7"/>
  </r>
  <r>
    <x v="46"/>
    <x v="18"/>
    <x v="9"/>
    <n v="25094"/>
    <n v="53040.2"/>
    <n v="6.76"/>
    <n v="3712.5"/>
    <n v="0.41199999999999998"/>
    <n v="6.9"/>
  </r>
  <r>
    <x v="46"/>
    <x v="19"/>
    <x v="9"/>
    <n v="27861"/>
    <n v="65632.13"/>
    <n v="6.73"/>
    <n v="4194.1000000000004"/>
    <n v="0.41199999999999998"/>
    <n v="6.1"/>
  </r>
  <r>
    <x v="46"/>
    <x v="20"/>
    <x v="15"/>
    <n v="32831"/>
    <n v="70257.119999999995"/>
    <n v="6.47"/>
    <n v="5076"/>
    <n v="0.52200000000000002"/>
    <n v="5.9"/>
  </r>
  <r>
    <x v="46"/>
    <x v="21"/>
    <x v="12"/>
    <n v="27061"/>
    <n v="60243.33"/>
    <n v="6.52"/>
    <n v="4202.3999999999996"/>
    <n v="0.5"/>
    <n v="7.1"/>
  </r>
  <r>
    <x v="46"/>
    <x v="22"/>
    <x v="14"/>
    <n v="17530"/>
    <n v="35806.61"/>
    <n v="6.78"/>
    <n v="2574.3000000000002"/>
    <n v="0.46700000000000003"/>
    <n v="6.4"/>
  </r>
  <r>
    <x v="46"/>
    <x v="23"/>
    <x v="3"/>
    <n v="32343"/>
    <n v="73678.02"/>
    <n v="6.5"/>
    <n v="4979"/>
    <n v="0.316"/>
    <n v="7.2"/>
  </r>
  <r>
    <x v="46"/>
    <x v="24"/>
    <x v="2"/>
    <n v="27284"/>
    <n v="53157.45"/>
    <n v="6.5"/>
    <n v="4304.2"/>
    <n v="0.6"/>
    <n v="7.8"/>
  </r>
  <r>
    <x v="46"/>
    <x v="25"/>
    <x v="15"/>
    <n v="31781"/>
    <n v="71358.25"/>
    <n v="6.4"/>
    <n v="5007.3"/>
    <n v="0.30399999999999999"/>
    <n v="7.3"/>
  </r>
  <r>
    <x v="46"/>
    <x v="26"/>
    <x v="14"/>
    <n v="26465"/>
    <n v="59219.08"/>
    <n v="6.72"/>
    <n v="4001"/>
    <n v="0.26700000000000002"/>
    <n v="7.4"/>
  </r>
  <r>
    <x v="46"/>
    <x v="27"/>
    <x v="2"/>
    <n v="30487"/>
    <n v="62686.8"/>
    <n v="6.25"/>
    <n v="4870.8999999999996"/>
    <n v="0.45"/>
    <n v="7.4"/>
  </r>
  <r>
    <x v="46"/>
    <x v="28"/>
    <x v="7"/>
    <n v="18451"/>
    <n v="36807.300000000003"/>
    <n v="6.74"/>
    <n v="2739"/>
    <n v="0.58299999999999996"/>
    <n v="7.1"/>
  </r>
  <r>
    <x v="46"/>
    <x v="29"/>
    <x v="2"/>
    <n v="23372"/>
    <n v="51102.89"/>
    <n v="6.43"/>
    <n v="3607.3"/>
    <n v="0.5"/>
    <n v="7.3"/>
  </r>
  <r>
    <x v="46"/>
    <x v="30"/>
    <x v="4"/>
    <n v="20360"/>
    <n v="45779.11"/>
    <n v="6.51"/>
    <n v="3141.4"/>
    <n v="0.42899999999999999"/>
    <n v="6.6"/>
  </r>
  <r>
    <x v="46"/>
    <x v="31"/>
    <x v="5"/>
    <n v="16951"/>
    <n v="38641.379999999997"/>
    <n v="6.45"/>
    <n v="2641.3"/>
    <n v="0.53800000000000003"/>
    <n v="8.5"/>
  </r>
  <r>
    <x v="46"/>
    <x v="32"/>
    <x v="9"/>
    <n v="23676"/>
    <n v="52114.33"/>
    <n v="6.4"/>
    <n v="3725.3"/>
    <n v="0.29399999999999998"/>
    <n v="7.4"/>
  </r>
  <r>
    <x v="46"/>
    <x v="33"/>
    <x v="12"/>
    <n v="21999"/>
    <n v="47568.33"/>
    <n v="6.48"/>
    <n v="3465.3"/>
    <n v="0.5"/>
    <n v="6.7"/>
  </r>
  <r>
    <x v="46"/>
    <x v="34"/>
    <x v="2"/>
    <n v="29566"/>
    <n v="66745.06"/>
    <n v="6.57"/>
    <n v="4509.8999999999996"/>
    <n v="0.7"/>
    <n v="7.2"/>
  </r>
  <r>
    <x v="46"/>
    <x v="35"/>
    <x v="17"/>
    <n v="35838"/>
    <n v="83210.66"/>
    <n v="6.8"/>
    <n v="5330.1"/>
    <n v="0.48"/>
    <n v="5.6"/>
  </r>
  <r>
    <x v="47"/>
    <x v="0"/>
    <x v="13"/>
    <n v="34371"/>
    <n v="73259.100000000006"/>
    <n v="6.39"/>
    <n v="5544.3"/>
    <n v="0.5"/>
    <n v="7.5"/>
  </r>
  <r>
    <x v="47"/>
    <x v="1"/>
    <x v="11"/>
    <n v="37209"/>
    <n v="79848.59"/>
    <n v="6.31"/>
    <n v="5885.4"/>
    <n v="0.45800000000000002"/>
    <n v="7.1"/>
  </r>
  <r>
    <x v="47"/>
    <x v="2"/>
    <x v="0"/>
    <n v="40609"/>
    <n v="87372.93"/>
    <n v="6.51"/>
    <n v="6454.2"/>
    <n v="0.65400000000000003"/>
    <n v="4.9000000000000004"/>
  </r>
  <r>
    <x v="47"/>
    <x v="3"/>
    <x v="14"/>
    <n v="22276"/>
    <n v="42753.120000000003"/>
    <n v="6.59"/>
    <n v="3372.7"/>
    <n v="0.33300000000000002"/>
    <n v="8"/>
  </r>
  <r>
    <x v="47"/>
    <x v="4"/>
    <x v="3"/>
    <n v="30075"/>
    <n v="68638.17"/>
    <n v="6.67"/>
    <n v="4532"/>
    <n v="0.47399999999999998"/>
    <n v="7.4"/>
  </r>
  <r>
    <x v="47"/>
    <x v="5"/>
    <x v="2"/>
    <n v="30353"/>
    <n v="65761.240000000005"/>
    <n v="6.5"/>
    <n v="4694.1000000000004"/>
    <n v="0.4"/>
    <n v="6.4"/>
  </r>
  <r>
    <x v="47"/>
    <x v="6"/>
    <x v="12"/>
    <n v="29956"/>
    <n v="64440.63"/>
    <n v="6.61"/>
    <n v="4584.6000000000004"/>
    <n v="0.44400000000000001"/>
    <n v="6.5"/>
  </r>
  <r>
    <x v="47"/>
    <x v="7"/>
    <x v="9"/>
    <n v="23337"/>
    <n v="51301.47"/>
    <n v="6.63"/>
    <n v="3502.7"/>
    <n v="0.41199999999999998"/>
    <n v="7.1"/>
  </r>
  <r>
    <x v="47"/>
    <x v="8"/>
    <x v="14"/>
    <n v="25277"/>
    <n v="53122.51"/>
    <n v="6.4"/>
    <n v="4030.5"/>
    <n v="0.66700000000000004"/>
    <n v="7.2"/>
  </r>
  <r>
    <x v="47"/>
    <x v="9"/>
    <x v="7"/>
    <n v="16053"/>
    <n v="37976.54"/>
    <n v="6.51"/>
    <n v="2514.1999999999998"/>
    <n v="0.58299999999999996"/>
    <n v="7.8"/>
  </r>
  <r>
    <x v="47"/>
    <x v="10"/>
    <x v="7"/>
    <n v="18032"/>
    <n v="39804.06"/>
    <n v="6.28"/>
    <n v="2882.7"/>
    <n v="0.41699999999999998"/>
    <n v="7.2"/>
  </r>
  <r>
    <x v="47"/>
    <x v="11"/>
    <x v="29"/>
    <n v="10028"/>
    <n v="22044.62"/>
    <n v="6.22"/>
    <n v="1648.3"/>
    <n v="0.25"/>
    <n v="6.5"/>
  </r>
  <r>
    <x v="47"/>
    <x v="12"/>
    <x v="11"/>
    <n v="34041"/>
    <n v="77084.36"/>
    <n v="6.53"/>
    <n v="5342.4"/>
    <n v="0.33300000000000002"/>
    <n v="7.2"/>
  </r>
  <r>
    <x v="47"/>
    <x v="13"/>
    <x v="5"/>
    <n v="15436"/>
    <n v="34711.14"/>
    <n v="6.55"/>
    <n v="2356.9"/>
    <n v="0.53800000000000003"/>
    <n v="6.4"/>
  </r>
  <r>
    <x v="47"/>
    <x v="14"/>
    <x v="6"/>
    <n v="29982"/>
    <n v="62435.59"/>
    <n v="6.76"/>
    <n v="4473.1000000000004"/>
    <n v="0.52400000000000002"/>
    <n v="6.6"/>
  </r>
  <r>
    <x v="47"/>
    <x v="15"/>
    <x v="15"/>
    <n v="38573"/>
    <n v="79856.039999999994"/>
    <n v="6.37"/>
    <n v="6061.6"/>
    <n v="0.47799999999999998"/>
    <n v="6.5"/>
  </r>
  <r>
    <x v="47"/>
    <x v="16"/>
    <x v="9"/>
    <n v="20028"/>
    <n v="41988.12"/>
    <n v="6.49"/>
    <n v="3116.6"/>
    <n v="0.47099999999999997"/>
    <n v="6.8"/>
  </r>
  <r>
    <x v="47"/>
    <x v="17"/>
    <x v="3"/>
    <n v="25837"/>
    <n v="52668.67"/>
    <n v="6.75"/>
    <n v="3785.3"/>
    <n v="0.57899999999999996"/>
    <n v="7.1"/>
  </r>
  <r>
    <x v="47"/>
    <x v="18"/>
    <x v="14"/>
    <n v="22062"/>
    <n v="47435.85"/>
    <n v="6.4"/>
    <n v="3519"/>
    <n v="6.7000000000000004E-2"/>
    <n v="5.3"/>
  </r>
  <r>
    <x v="47"/>
    <x v="19"/>
    <x v="21"/>
    <n v="14021"/>
    <n v="28944.65"/>
    <n v="6.56"/>
    <n v="2183.1"/>
    <n v="0.63600000000000001"/>
    <n v="7.4"/>
  </r>
  <r>
    <x v="47"/>
    <x v="20"/>
    <x v="3"/>
    <n v="32722"/>
    <n v="71313.38"/>
    <n v="6.5"/>
    <n v="5078.5"/>
    <n v="0.42099999999999999"/>
    <n v="7.4"/>
  </r>
  <r>
    <x v="47"/>
    <x v="21"/>
    <x v="12"/>
    <n v="22728"/>
    <n v="51903.62"/>
    <n v="6.42"/>
    <n v="3548.7"/>
    <n v="0.33300000000000002"/>
    <n v="5.7"/>
  </r>
  <r>
    <x v="47"/>
    <x v="22"/>
    <x v="6"/>
    <n v="23119"/>
    <n v="49270.53"/>
    <n v="6.43"/>
    <n v="3562.4"/>
    <n v="0.33300000000000002"/>
    <n v="7.6"/>
  </r>
  <r>
    <x v="47"/>
    <x v="23"/>
    <x v="6"/>
    <n v="31373"/>
    <n v="60976.83"/>
    <n v="6.37"/>
    <n v="5042.5"/>
    <n v="0.52400000000000002"/>
    <n v="7.3"/>
  </r>
  <r>
    <x v="47"/>
    <x v="24"/>
    <x v="6"/>
    <n v="26882"/>
    <n v="62555.28"/>
    <n v="6.4"/>
    <n v="4230.8"/>
    <n v="0.61899999999999999"/>
    <n v="7.5"/>
  </r>
  <r>
    <x v="47"/>
    <x v="25"/>
    <x v="14"/>
    <n v="20739"/>
    <n v="45274.77"/>
    <n v="6.23"/>
    <n v="3393.8"/>
    <n v="0.33300000000000002"/>
    <n v="7.2"/>
  </r>
  <r>
    <x v="47"/>
    <x v="26"/>
    <x v="6"/>
    <n v="22318"/>
    <n v="46587.53"/>
    <n v="6.58"/>
    <n v="3451.8"/>
    <n v="0.47599999999999998"/>
    <n v="6.6"/>
  </r>
  <r>
    <x v="47"/>
    <x v="27"/>
    <x v="8"/>
    <n v="20871"/>
    <n v="45550.19"/>
    <n v="6.29"/>
    <n v="3279.3"/>
    <n v="0.375"/>
    <n v="7.7"/>
  </r>
  <r>
    <x v="47"/>
    <x v="28"/>
    <x v="17"/>
    <n v="37284"/>
    <n v="83493.25"/>
    <n v="6.37"/>
    <n v="5917.6"/>
    <n v="0.52"/>
    <n v="7.1"/>
  </r>
  <r>
    <x v="47"/>
    <x v="29"/>
    <x v="15"/>
    <n v="35793"/>
    <n v="74446.47"/>
    <n v="6.6"/>
    <n v="5457.9"/>
    <n v="0.39100000000000001"/>
    <n v="7.8"/>
  </r>
  <r>
    <x v="47"/>
    <x v="30"/>
    <x v="12"/>
    <n v="21508"/>
    <n v="48268.57"/>
    <n v="6.5"/>
    <n v="3423.9"/>
    <n v="0.27800000000000002"/>
    <n v="6.5"/>
  </r>
  <r>
    <x v="47"/>
    <x v="31"/>
    <x v="9"/>
    <n v="25888"/>
    <n v="58359.16"/>
    <n v="6.55"/>
    <n v="3986"/>
    <n v="0.29399999999999998"/>
    <n v="6"/>
  </r>
  <r>
    <x v="47"/>
    <x v="32"/>
    <x v="3"/>
    <n v="25896"/>
    <n v="52360.39"/>
    <n v="6.29"/>
    <n v="4176"/>
    <n v="0.47399999999999998"/>
    <n v="6.9"/>
  </r>
  <r>
    <x v="47"/>
    <x v="33"/>
    <x v="3"/>
    <n v="24139"/>
    <n v="56236.24"/>
    <n v="6.68"/>
    <n v="3626.6"/>
    <n v="0.52600000000000002"/>
    <n v="6.4"/>
  </r>
  <r>
    <x v="47"/>
    <x v="34"/>
    <x v="2"/>
    <n v="23244"/>
    <n v="49984.45"/>
    <n v="6.69"/>
    <n v="3624.9"/>
    <n v="0.35"/>
    <n v="6.5"/>
  </r>
  <r>
    <x v="47"/>
    <x v="35"/>
    <x v="8"/>
    <n v="26328"/>
    <n v="58289.43"/>
    <n v="6.7"/>
    <n v="3915.6"/>
    <n v="0.5"/>
    <n v="7.6"/>
  </r>
  <r>
    <x v="48"/>
    <x v="0"/>
    <x v="9"/>
    <n v="28932"/>
    <n v="64524.53"/>
    <n v="6.65"/>
    <n v="4357.3"/>
    <n v="0.23499999999999999"/>
    <n v="7.4"/>
  </r>
  <r>
    <x v="48"/>
    <x v="1"/>
    <x v="9"/>
    <n v="25912"/>
    <n v="54537.14"/>
    <n v="6.1"/>
    <n v="4288.1000000000004"/>
    <n v="0.58799999999999997"/>
    <n v="7.6"/>
  </r>
  <r>
    <x v="48"/>
    <x v="2"/>
    <x v="15"/>
    <n v="31763"/>
    <n v="70701.66"/>
    <n v="6.54"/>
    <n v="4915.1000000000004"/>
    <n v="0.39100000000000001"/>
    <n v="7.6"/>
  </r>
  <r>
    <x v="48"/>
    <x v="3"/>
    <x v="6"/>
    <n v="33121"/>
    <n v="77694.38"/>
    <n v="6.76"/>
    <n v="4876.6000000000004"/>
    <n v="0.47599999999999998"/>
    <n v="7.3"/>
  </r>
  <r>
    <x v="48"/>
    <x v="4"/>
    <x v="6"/>
    <n v="26565"/>
    <n v="63050.46"/>
    <n v="6.67"/>
    <n v="3989.6"/>
    <n v="0.42899999999999999"/>
    <n v="6.8"/>
  </r>
  <r>
    <x v="48"/>
    <x v="5"/>
    <x v="19"/>
    <n v="15026"/>
    <n v="33283.300000000003"/>
    <n v="6.39"/>
    <n v="2381.4"/>
    <n v="0.6"/>
    <n v="6.2"/>
  </r>
  <r>
    <x v="48"/>
    <x v="6"/>
    <x v="4"/>
    <n v="21454"/>
    <n v="40635.74"/>
    <n v="6.63"/>
    <n v="3242.2"/>
    <n v="0.42899999999999999"/>
    <n v="7.4"/>
  </r>
  <r>
    <x v="48"/>
    <x v="7"/>
    <x v="9"/>
    <n v="18123"/>
    <n v="39452.92"/>
    <n v="6.63"/>
    <n v="2690"/>
    <n v="0.35299999999999998"/>
    <n v="7.7"/>
  </r>
  <r>
    <x v="48"/>
    <x v="8"/>
    <x v="22"/>
    <n v="42143"/>
    <n v="81601.45"/>
    <n v="6.22"/>
    <n v="6771.1"/>
    <n v="0.35699999999999998"/>
    <n v="7.3"/>
  </r>
  <r>
    <x v="48"/>
    <x v="9"/>
    <x v="3"/>
    <n v="22128"/>
    <n v="45833.919999999998"/>
    <n v="6.46"/>
    <n v="3423.2"/>
    <n v="0.36799999999999999"/>
    <n v="6.3"/>
  </r>
  <r>
    <x v="48"/>
    <x v="10"/>
    <x v="12"/>
    <n v="29183"/>
    <n v="68241.48"/>
    <n v="6.54"/>
    <n v="4491.7"/>
    <n v="0.61099999999999999"/>
    <n v="6.4"/>
  </r>
  <r>
    <x v="48"/>
    <x v="11"/>
    <x v="3"/>
    <n v="25910"/>
    <n v="50413.85"/>
    <n v="6.42"/>
    <n v="4154.8999999999996"/>
    <n v="0.47399999999999998"/>
    <n v="6.4"/>
  </r>
  <r>
    <x v="48"/>
    <x v="12"/>
    <x v="15"/>
    <n v="30085"/>
    <n v="70668.78"/>
    <n v="6.51"/>
    <n v="4660.8999999999996"/>
    <n v="0.47799999999999998"/>
    <n v="6"/>
  </r>
  <r>
    <x v="48"/>
    <x v="13"/>
    <x v="12"/>
    <n v="31556"/>
    <n v="67843.5"/>
    <n v="6.25"/>
    <n v="5027.7"/>
    <n v="0.44400000000000001"/>
    <n v="7"/>
  </r>
  <r>
    <x v="48"/>
    <x v="14"/>
    <x v="9"/>
    <n v="31388"/>
    <n v="57594.25"/>
    <n v="6.47"/>
    <n v="4845"/>
    <n v="0.29399999999999998"/>
    <n v="7.5"/>
  </r>
  <r>
    <x v="48"/>
    <x v="15"/>
    <x v="10"/>
    <n v="40236"/>
    <n v="83723.91"/>
    <n v="6.44"/>
    <n v="6409.8"/>
    <n v="0.37"/>
    <n v="7"/>
  </r>
  <r>
    <x v="48"/>
    <x v="16"/>
    <x v="0"/>
    <n v="38266"/>
    <n v="81283.03"/>
    <n v="6.52"/>
    <n v="5850.4"/>
    <n v="0.5"/>
    <n v="7.3"/>
  </r>
  <r>
    <x v="48"/>
    <x v="17"/>
    <x v="6"/>
    <n v="33056"/>
    <n v="72018.850000000006"/>
    <n v="6.68"/>
    <n v="4961.3"/>
    <n v="0.42899999999999999"/>
    <n v="6.7"/>
  </r>
  <r>
    <x v="48"/>
    <x v="18"/>
    <x v="3"/>
    <n v="26516"/>
    <n v="61741.89"/>
    <n v="6.31"/>
    <n v="4258.6000000000004"/>
    <n v="0.47399999999999998"/>
    <n v="7"/>
  </r>
  <r>
    <x v="48"/>
    <x v="19"/>
    <x v="2"/>
    <n v="31533"/>
    <n v="76722.34"/>
    <n v="6.45"/>
    <n v="4937.2"/>
    <n v="0.45"/>
    <n v="7.6"/>
  </r>
  <r>
    <x v="48"/>
    <x v="20"/>
    <x v="12"/>
    <n v="20533"/>
    <n v="46582.47"/>
    <n v="6.51"/>
    <n v="3127.9"/>
    <n v="0.5"/>
    <n v="7.8"/>
  </r>
  <r>
    <x v="48"/>
    <x v="21"/>
    <x v="2"/>
    <n v="31593"/>
    <n v="64033.04"/>
    <n v="6.58"/>
    <n v="4863"/>
    <n v="0.45"/>
    <n v="7.9"/>
  </r>
  <r>
    <x v="48"/>
    <x v="22"/>
    <x v="11"/>
    <n v="27440"/>
    <n v="55783.16"/>
    <n v="6.6"/>
    <n v="4207.3999999999996"/>
    <n v="0.58299999999999996"/>
    <n v="5.6"/>
  </r>
  <r>
    <x v="48"/>
    <x v="23"/>
    <x v="8"/>
    <n v="32324"/>
    <n v="79091.37"/>
    <n v="6.19"/>
    <n v="5273.3"/>
    <n v="0.375"/>
    <n v="7.5"/>
  </r>
  <r>
    <x v="48"/>
    <x v="24"/>
    <x v="17"/>
    <n v="27600"/>
    <n v="58273.14"/>
    <n v="6.53"/>
    <n v="4212.5"/>
    <n v="0.36"/>
    <n v="7.1"/>
  </r>
  <r>
    <x v="48"/>
    <x v="25"/>
    <x v="12"/>
    <n v="25453"/>
    <n v="53907.58"/>
    <n v="6.66"/>
    <n v="3800.9"/>
    <n v="0.55600000000000005"/>
    <n v="7"/>
  </r>
  <r>
    <x v="48"/>
    <x v="26"/>
    <x v="14"/>
    <n v="19800"/>
    <n v="41566.519999999997"/>
    <n v="6.68"/>
    <n v="3034.2"/>
    <n v="0.73299999999999998"/>
    <n v="7.6"/>
  </r>
  <r>
    <x v="48"/>
    <x v="27"/>
    <x v="13"/>
    <n v="38587"/>
    <n v="85928.34"/>
    <n v="6.5"/>
    <n v="6011.3"/>
    <n v="0.36399999999999999"/>
    <n v="7.5"/>
  </r>
  <r>
    <x v="48"/>
    <x v="28"/>
    <x v="12"/>
    <n v="27197"/>
    <n v="59819.199999999997"/>
    <n v="6.7"/>
    <n v="4042.7"/>
    <n v="0.61099999999999999"/>
    <n v="7.8"/>
  </r>
  <r>
    <x v="48"/>
    <x v="29"/>
    <x v="22"/>
    <n v="32314"/>
    <n v="68993.66"/>
    <n v="6.46"/>
    <n v="5075.1000000000004"/>
    <n v="0.53600000000000003"/>
    <n v="7.4"/>
  </r>
  <r>
    <x v="48"/>
    <x v="30"/>
    <x v="15"/>
    <n v="35430"/>
    <n v="78144.14"/>
    <n v="6.47"/>
    <n v="5538.2"/>
    <n v="0.30399999999999999"/>
    <n v="6.7"/>
  </r>
  <r>
    <x v="48"/>
    <x v="31"/>
    <x v="9"/>
    <n v="29441"/>
    <n v="65096.31"/>
    <n v="6.59"/>
    <n v="4494.1000000000004"/>
    <n v="0.76500000000000001"/>
    <n v="7.8"/>
  </r>
  <r>
    <x v="48"/>
    <x v="32"/>
    <x v="15"/>
    <n v="29185"/>
    <n v="65428.32"/>
    <n v="6.6"/>
    <n v="4457"/>
    <n v="0.435"/>
    <n v="6.9"/>
  </r>
  <r>
    <x v="48"/>
    <x v="33"/>
    <x v="10"/>
    <n v="35545"/>
    <n v="76627.490000000005"/>
    <n v="6.65"/>
    <n v="5395.2"/>
    <n v="0.40699999999999997"/>
    <n v="6.8"/>
  </r>
  <r>
    <x v="48"/>
    <x v="34"/>
    <x v="9"/>
    <n v="34539"/>
    <n v="71507.95"/>
    <n v="6.63"/>
    <n v="5220.5"/>
    <n v="0.47099999999999997"/>
    <n v="5"/>
  </r>
  <r>
    <x v="48"/>
    <x v="35"/>
    <x v="15"/>
    <n v="34967"/>
    <n v="72706.53"/>
    <n v="6.62"/>
    <n v="5297.1"/>
    <n v="0.34799999999999998"/>
    <n v="6.2"/>
  </r>
  <r>
    <x v="49"/>
    <x v="0"/>
    <x v="6"/>
    <n v="31895"/>
    <n v="67584.41"/>
    <n v="6.4"/>
    <n v="4945.7"/>
    <n v="0.57099999999999995"/>
    <n v="7.8"/>
  </r>
  <r>
    <x v="49"/>
    <x v="1"/>
    <x v="3"/>
    <n v="21327"/>
    <n v="44647.83"/>
    <n v="6.5"/>
    <n v="3320.8"/>
    <n v="0.26300000000000001"/>
    <n v="7.6"/>
  </r>
  <r>
    <x v="49"/>
    <x v="2"/>
    <x v="8"/>
    <n v="24732"/>
    <n v="50025.26"/>
    <n v="6.52"/>
    <n v="3769.8"/>
    <n v="0.625"/>
    <n v="7"/>
  </r>
  <r>
    <x v="49"/>
    <x v="3"/>
    <x v="5"/>
    <n v="13478"/>
    <n v="24608.26"/>
    <n v="6.51"/>
    <n v="2107"/>
    <n v="0.61499999999999999"/>
    <n v="5.5"/>
  </r>
  <r>
    <x v="49"/>
    <x v="4"/>
    <x v="14"/>
    <n v="22834"/>
    <n v="49708.13"/>
    <n v="6.47"/>
    <n v="3575"/>
    <n v="0.26700000000000002"/>
    <n v="7.5"/>
  </r>
  <r>
    <x v="49"/>
    <x v="5"/>
    <x v="3"/>
    <n v="24511"/>
    <n v="54905.58"/>
    <n v="6.74"/>
    <n v="3774.6"/>
    <n v="0.42099999999999999"/>
    <n v="7.2"/>
  </r>
  <r>
    <x v="49"/>
    <x v="6"/>
    <x v="14"/>
    <n v="22564"/>
    <n v="45963.27"/>
    <n v="6.63"/>
    <n v="3466.3"/>
    <n v="0.46700000000000003"/>
    <n v="5.7"/>
  </r>
  <r>
    <x v="49"/>
    <x v="7"/>
    <x v="21"/>
    <n v="12544"/>
    <n v="27769.84"/>
    <n v="6.45"/>
    <n v="1961.2"/>
    <n v="0.63600000000000001"/>
    <n v="8.5"/>
  </r>
  <r>
    <x v="49"/>
    <x v="8"/>
    <x v="6"/>
    <n v="29489"/>
    <n v="61755.47"/>
    <n v="6.28"/>
    <n v="4765.8999999999996"/>
    <n v="0.42899999999999999"/>
    <n v="6.1"/>
  </r>
  <r>
    <x v="49"/>
    <x v="9"/>
    <x v="3"/>
    <n v="29809"/>
    <n v="67244.91"/>
    <n v="6.3"/>
    <n v="4793.3999999999996"/>
    <n v="0.47399999999999998"/>
    <n v="5.8"/>
  </r>
  <r>
    <x v="49"/>
    <x v="10"/>
    <x v="15"/>
    <n v="35944"/>
    <n v="81622.59"/>
    <n v="6.48"/>
    <n v="5620.4"/>
    <n v="0.52200000000000002"/>
    <n v="7.1"/>
  </r>
  <r>
    <x v="49"/>
    <x v="11"/>
    <x v="4"/>
    <n v="18056"/>
    <n v="35638.080000000002"/>
    <n v="6.51"/>
    <n v="2825.8"/>
    <n v="0.5"/>
    <n v="7.4"/>
  </r>
  <r>
    <x v="49"/>
    <x v="12"/>
    <x v="12"/>
    <n v="27766"/>
    <n v="59457.18"/>
    <n v="6.44"/>
    <n v="4384.2"/>
    <n v="0.44400000000000001"/>
    <n v="6.7"/>
  </r>
  <r>
    <x v="49"/>
    <x v="13"/>
    <x v="8"/>
    <n v="17882"/>
    <n v="38203.65"/>
    <n v="6.69"/>
    <n v="2699.5"/>
    <n v="0.25"/>
    <n v="7.4"/>
  </r>
  <r>
    <x v="49"/>
    <x v="14"/>
    <x v="3"/>
    <n v="26818"/>
    <n v="56358.32"/>
    <n v="6.4"/>
    <n v="4220.1000000000004"/>
    <n v="0.57899999999999996"/>
    <n v="8.4"/>
  </r>
  <r>
    <x v="49"/>
    <x v="15"/>
    <x v="9"/>
    <n v="24899"/>
    <n v="53289.440000000002"/>
    <n v="6.48"/>
    <n v="3886.2"/>
    <n v="0.76500000000000001"/>
    <n v="6.9"/>
  </r>
  <r>
    <x v="49"/>
    <x v="16"/>
    <x v="3"/>
    <n v="29468"/>
    <n v="68750.539999999994"/>
    <n v="6.37"/>
    <n v="4717"/>
    <n v="0.52600000000000002"/>
    <n v="7.5"/>
  </r>
  <r>
    <x v="49"/>
    <x v="17"/>
    <x v="14"/>
    <n v="19916"/>
    <n v="45792.15"/>
    <n v="6.61"/>
    <n v="3036.6"/>
    <n v="0.4"/>
    <n v="6.7"/>
  </r>
  <r>
    <x v="49"/>
    <x v="18"/>
    <x v="12"/>
    <n v="26682"/>
    <n v="61804.67"/>
    <n v="6.43"/>
    <n v="4159.6000000000004"/>
    <n v="0.66700000000000004"/>
    <n v="5.7"/>
  </r>
  <r>
    <x v="49"/>
    <x v="19"/>
    <x v="3"/>
    <n v="25760"/>
    <n v="49388.88"/>
    <n v="6.42"/>
    <n v="4028.7"/>
    <n v="0.42099999999999999"/>
    <n v="6.2"/>
  </r>
  <r>
    <x v="49"/>
    <x v="20"/>
    <x v="11"/>
    <n v="29417"/>
    <n v="68716.850000000006"/>
    <n v="6.45"/>
    <n v="4579.7"/>
    <n v="0.41699999999999998"/>
    <n v="6.9"/>
  </r>
  <r>
    <x v="49"/>
    <x v="21"/>
    <x v="0"/>
    <n v="45683"/>
    <n v="95673.62"/>
    <n v="6.53"/>
    <n v="6972.1"/>
    <n v="0.34599999999999997"/>
    <n v="6.2"/>
  </r>
  <r>
    <x v="49"/>
    <x v="22"/>
    <x v="13"/>
    <n v="33475"/>
    <n v="73364.11"/>
    <n v="6.44"/>
    <n v="5284.3"/>
    <n v="0.45500000000000002"/>
    <n v="7.5"/>
  </r>
  <r>
    <x v="49"/>
    <x v="23"/>
    <x v="9"/>
    <n v="21034"/>
    <n v="51137.93"/>
    <n v="6.55"/>
    <n v="3238.9"/>
    <n v="0.41199999999999998"/>
    <n v="7.8"/>
  </r>
  <r>
    <x v="49"/>
    <x v="24"/>
    <x v="22"/>
    <n v="37177"/>
    <n v="75742.009999999995"/>
    <n v="6.46"/>
    <n v="5900.1"/>
    <n v="0.39300000000000002"/>
    <n v="7.5"/>
  </r>
  <r>
    <x v="49"/>
    <x v="25"/>
    <x v="8"/>
    <n v="16625"/>
    <n v="33750.559999999998"/>
    <n v="6.57"/>
    <n v="2578.4"/>
    <n v="0.375"/>
    <n v="6.6"/>
  </r>
  <r>
    <x v="49"/>
    <x v="26"/>
    <x v="11"/>
    <n v="36390"/>
    <n v="81236.44"/>
    <n v="6.59"/>
    <n v="5528.3"/>
    <n v="0.33300000000000002"/>
    <n v="7.4"/>
  </r>
  <r>
    <x v="49"/>
    <x v="27"/>
    <x v="5"/>
    <n v="21034"/>
    <n v="45586.64"/>
    <n v="6.48"/>
    <n v="3257.4"/>
    <n v="0.53800000000000003"/>
    <n v="7.8"/>
  </r>
  <r>
    <x v="49"/>
    <x v="28"/>
    <x v="3"/>
    <n v="25940"/>
    <n v="50844.04"/>
    <n v="6.54"/>
    <n v="4020.3"/>
    <n v="0.47399999999999998"/>
    <n v="7.2"/>
  </r>
  <r>
    <x v="49"/>
    <x v="29"/>
    <x v="4"/>
    <n v="21363"/>
    <n v="45705.62"/>
    <n v="6.68"/>
    <n v="3249.8"/>
    <n v="0.71399999999999997"/>
    <n v="7"/>
  </r>
  <r>
    <x v="49"/>
    <x v="30"/>
    <x v="2"/>
    <n v="28890"/>
    <n v="64359.16"/>
    <n v="6.53"/>
    <n v="4433.3999999999996"/>
    <n v="0.4"/>
    <n v="7.4"/>
  </r>
  <r>
    <x v="49"/>
    <x v="31"/>
    <x v="12"/>
    <n v="24225"/>
    <n v="55418.1"/>
    <n v="6.28"/>
    <n v="3897.5"/>
    <n v="0.61099999999999999"/>
    <n v="6.8"/>
  </r>
  <r>
    <x v="49"/>
    <x v="32"/>
    <x v="9"/>
    <n v="20609"/>
    <n v="46250.05"/>
    <n v="6.42"/>
    <n v="3199.5"/>
    <n v="0.41199999999999998"/>
    <n v="6.3"/>
  </r>
  <r>
    <x v="49"/>
    <x v="33"/>
    <x v="3"/>
    <n v="22166"/>
    <n v="45645.15"/>
    <n v="6.57"/>
    <n v="3394.5"/>
    <n v="0.52600000000000002"/>
    <n v="6.7"/>
  </r>
  <r>
    <x v="49"/>
    <x v="34"/>
    <x v="4"/>
    <n v="23500"/>
    <n v="51143.48"/>
    <n v="6.41"/>
    <n v="3694"/>
    <n v="0.5"/>
    <n v="6.8"/>
  </r>
  <r>
    <x v="49"/>
    <x v="35"/>
    <x v="11"/>
    <n v="36997"/>
    <n v="78899.86"/>
    <n v="6.25"/>
    <n v="6017.2"/>
    <n v="0.5"/>
    <n v="6.9"/>
  </r>
  <r>
    <x v="50"/>
    <x v="0"/>
    <x v="13"/>
    <n v="25986"/>
    <n v="50985.65"/>
    <n v="6.31"/>
    <n v="4162"/>
    <n v="0.40899999999999997"/>
    <n v="7.6"/>
  </r>
  <r>
    <x v="50"/>
    <x v="1"/>
    <x v="21"/>
    <n v="13193"/>
    <n v="26844.9"/>
    <n v="6.56"/>
    <n v="2012.4"/>
    <n v="0.72699999999999998"/>
    <n v="6.9"/>
  </r>
  <r>
    <x v="50"/>
    <x v="2"/>
    <x v="13"/>
    <n v="32659"/>
    <n v="71979.039999999994"/>
    <n v="6.36"/>
    <n v="5193.3"/>
    <n v="0.27300000000000002"/>
    <n v="7.8"/>
  </r>
  <r>
    <x v="50"/>
    <x v="3"/>
    <x v="2"/>
    <n v="28183"/>
    <n v="57364.09"/>
    <n v="6.6"/>
    <n v="4343.6000000000004"/>
    <n v="0.5"/>
    <n v="7.3"/>
  </r>
  <r>
    <x v="50"/>
    <x v="4"/>
    <x v="11"/>
    <n v="32603"/>
    <n v="70160.66"/>
    <n v="6.59"/>
    <n v="4948.2"/>
    <n v="0.54200000000000004"/>
    <n v="8"/>
  </r>
  <r>
    <x v="50"/>
    <x v="5"/>
    <x v="3"/>
    <n v="26360"/>
    <n v="58243.77"/>
    <n v="6.1"/>
    <n v="4350"/>
    <n v="0.52600000000000002"/>
    <n v="7.7"/>
  </r>
  <r>
    <x v="50"/>
    <x v="6"/>
    <x v="12"/>
    <n v="27751"/>
    <n v="60637.05"/>
    <n v="6.75"/>
    <n v="4167.8999999999996"/>
    <n v="0.5"/>
    <n v="6.7"/>
  </r>
  <r>
    <x v="50"/>
    <x v="7"/>
    <x v="8"/>
    <n v="18144"/>
    <n v="40510.79"/>
    <n v="6.73"/>
    <n v="2664.5"/>
    <n v="0.375"/>
    <n v="6.1"/>
  </r>
  <r>
    <x v="50"/>
    <x v="8"/>
    <x v="12"/>
    <n v="20679"/>
    <n v="46600.85"/>
    <n v="6.67"/>
    <n v="3128.5"/>
    <n v="0.33300000000000002"/>
    <n v="6.9"/>
  </r>
  <r>
    <x v="50"/>
    <x v="9"/>
    <x v="10"/>
    <n v="36753"/>
    <n v="79980.84"/>
    <n v="6.61"/>
    <n v="5576.2"/>
    <n v="0.48099999999999998"/>
    <n v="7.9"/>
  </r>
  <r>
    <x v="50"/>
    <x v="10"/>
    <x v="9"/>
    <n v="23682"/>
    <n v="50435.09"/>
    <n v="6.75"/>
    <n v="3538.3"/>
    <n v="0.41199999999999998"/>
    <n v="6.6"/>
  </r>
  <r>
    <x v="50"/>
    <x v="11"/>
    <x v="14"/>
    <n v="20841"/>
    <n v="46175.02"/>
    <n v="6.57"/>
    <n v="3239.3"/>
    <n v="0.46700000000000003"/>
    <n v="7.2"/>
  </r>
  <r>
    <x v="50"/>
    <x v="12"/>
    <x v="7"/>
    <n v="14942"/>
    <n v="31649.52"/>
    <n v="6.25"/>
    <n v="2415.3000000000002"/>
    <n v="0.25"/>
    <n v="6.8"/>
  </r>
  <r>
    <x v="50"/>
    <x v="13"/>
    <x v="2"/>
    <n v="30468"/>
    <n v="64223.03"/>
    <n v="6.55"/>
    <n v="4665.5"/>
    <n v="0.45"/>
    <n v="7.8"/>
  </r>
  <r>
    <x v="50"/>
    <x v="14"/>
    <x v="10"/>
    <n v="42386"/>
    <n v="89971.6"/>
    <n v="6.59"/>
    <n v="6483.3"/>
    <n v="0.33300000000000002"/>
    <n v="7.5"/>
  </r>
  <r>
    <x v="50"/>
    <x v="15"/>
    <x v="2"/>
    <n v="25906"/>
    <n v="57415.37"/>
    <n v="6.41"/>
    <n v="4076.5"/>
    <n v="0.25"/>
    <n v="5.7"/>
  </r>
  <r>
    <x v="50"/>
    <x v="16"/>
    <x v="14"/>
    <n v="25645"/>
    <n v="56176.15"/>
    <n v="6.67"/>
    <n v="3869.2"/>
    <n v="0.46700000000000003"/>
    <n v="8.1"/>
  </r>
  <r>
    <x v="50"/>
    <x v="17"/>
    <x v="3"/>
    <n v="30712"/>
    <n v="68196.31"/>
    <n v="6.54"/>
    <n v="4737.2"/>
    <n v="0.42099999999999999"/>
    <n v="6.5"/>
  </r>
  <r>
    <x v="50"/>
    <x v="18"/>
    <x v="15"/>
    <n v="32021"/>
    <n v="66969.62"/>
    <n v="6.48"/>
    <n v="4913.8"/>
    <n v="0.39100000000000001"/>
    <n v="7.5"/>
  </r>
  <r>
    <x v="50"/>
    <x v="19"/>
    <x v="4"/>
    <n v="24418"/>
    <n v="49497.66"/>
    <n v="6.64"/>
    <n v="3650.4"/>
    <n v="0.28599999999999998"/>
    <n v="6.9"/>
  </r>
  <r>
    <x v="50"/>
    <x v="20"/>
    <x v="3"/>
    <n v="24335"/>
    <n v="55547.95"/>
    <n v="6.55"/>
    <n v="3682.9"/>
    <n v="0.42099999999999999"/>
    <n v="6.6"/>
  </r>
  <r>
    <x v="50"/>
    <x v="21"/>
    <x v="12"/>
    <n v="25246"/>
    <n v="53670.78"/>
    <n v="6.52"/>
    <n v="3902.3"/>
    <n v="0.44400000000000001"/>
    <n v="7.5"/>
  </r>
  <r>
    <x v="50"/>
    <x v="22"/>
    <x v="4"/>
    <n v="18581"/>
    <n v="39426.1"/>
    <n v="6.41"/>
    <n v="2881.6"/>
    <n v="0.214"/>
    <n v="7.2"/>
  </r>
  <r>
    <x v="50"/>
    <x v="23"/>
    <x v="8"/>
    <n v="24081"/>
    <n v="53467.17"/>
    <n v="6.6"/>
    <n v="3613.3"/>
    <n v="0.438"/>
    <n v="6.2"/>
  </r>
  <r>
    <x v="50"/>
    <x v="24"/>
    <x v="15"/>
    <n v="30137"/>
    <n v="64272.39"/>
    <n v="6.66"/>
    <n v="4527.3"/>
    <n v="0.52200000000000002"/>
    <n v="6.7"/>
  </r>
  <r>
    <x v="50"/>
    <x v="25"/>
    <x v="9"/>
    <n v="20151"/>
    <n v="45790.58"/>
    <n v="6.7"/>
    <n v="2991.6"/>
    <n v="0.47099999999999997"/>
    <n v="7.4"/>
  </r>
  <r>
    <x v="50"/>
    <x v="26"/>
    <x v="9"/>
    <n v="21040"/>
    <n v="41952.78"/>
    <n v="6.5"/>
    <n v="3299.6"/>
    <n v="0.41199999999999998"/>
    <n v="7.2"/>
  </r>
  <r>
    <x v="50"/>
    <x v="27"/>
    <x v="12"/>
    <n v="23961"/>
    <n v="50839.95"/>
    <n v="6.8"/>
    <n v="3471.8"/>
    <n v="0.5"/>
    <n v="7.9"/>
  </r>
  <r>
    <x v="50"/>
    <x v="28"/>
    <x v="6"/>
    <n v="30416"/>
    <n v="68748.460000000006"/>
    <n v="6.57"/>
    <n v="4617.3999999999996"/>
    <n v="0.19"/>
    <n v="6.3"/>
  </r>
  <r>
    <x v="50"/>
    <x v="29"/>
    <x v="14"/>
    <n v="12277"/>
    <n v="25460.29"/>
    <n v="6.6"/>
    <n v="1844.4"/>
    <n v="0.6"/>
    <n v="6.7"/>
  </r>
  <r>
    <x v="50"/>
    <x v="30"/>
    <x v="6"/>
    <n v="28656"/>
    <n v="58605.9"/>
    <n v="6.59"/>
    <n v="4421.8"/>
    <n v="0.33300000000000002"/>
    <n v="8.1"/>
  </r>
  <r>
    <x v="50"/>
    <x v="31"/>
    <x v="2"/>
    <n v="21806"/>
    <n v="44730.69"/>
    <n v="6.24"/>
    <n v="3456.5"/>
    <n v="0.4"/>
    <n v="6.8"/>
  </r>
  <r>
    <x v="50"/>
    <x v="32"/>
    <x v="2"/>
    <n v="29836"/>
    <n v="63919.41"/>
    <n v="6.39"/>
    <n v="4695"/>
    <n v="0.3"/>
    <n v="6.2"/>
  </r>
  <r>
    <x v="50"/>
    <x v="33"/>
    <x v="12"/>
    <n v="29613"/>
    <n v="62789.7"/>
    <n v="6.44"/>
    <n v="4662.3999999999996"/>
    <n v="0.61099999999999999"/>
    <n v="7"/>
  </r>
  <r>
    <x v="50"/>
    <x v="34"/>
    <x v="6"/>
    <n v="30234"/>
    <n v="66952.39"/>
    <n v="6.56"/>
    <n v="4663.5"/>
    <n v="0.47599999999999998"/>
    <n v="6.4"/>
  </r>
  <r>
    <x v="50"/>
    <x v="35"/>
    <x v="6"/>
    <n v="35688"/>
    <n v="77141.100000000006"/>
    <n v="6.66"/>
    <n v="5374"/>
    <n v="0.57099999999999995"/>
    <n v="6.4"/>
  </r>
  <r>
    <x v="51"/>
    <x v="0"/>
    <x v="0"/>
    <n v="34273"/>
    <n v="74148.710000000006"/>
    <n v="6.48"/>
    <n v="5389"/>
    <n v="0.65400000000000003"/>
    <n v="7.7"/>
  </r>
  <r>
    <x v="51"/>
    <x v="1"/>
    <x v="22"/>
    <n v="40075"/>
    <n v="84825.44"/>
    <n v="6.4"/>
    <n v="6340.2"/>
    <n v="0.46400000000000002"/>
    <n v="7.5"/>
  </r>
  <r>
    <x v="51"/>
    <x v="2"/>
    <x v="13"/>
    <n v="29161"/>
    <n v="61166.74"/>
    <n v="6.39"/>
    <n v="4626.8"/>
    <n v="0.45500000000000002"/>
    <n v="6.9"/>
  </r>
  <r>
    <x v="51"/>
    <x v="3"/>
    <x v="15"/>
    <n v="31431"/>
    <n v="68943.61"/>
    <n v="6.48"/>
    <n v="5013.7"/>
    <n v="0.34799999999999998"/>
    <n v="7.5"/>
  </r>
  <r>
    <x v="51"/>
    <x v="4"/>
    <x v="5"/>
    <n v="18985"/>
    <n v="43805.04"/>
    <n v="6.35"/>
    <n v="3004.9"/>
    <n v="0.38500000000000001"/>
    <n v="6.1"/>
  </r>
  <r>
    <x v="51"/>
    <x v="5"/>
    <x v="13"/>
    <n v="34622"/>
    <n v="79102.58"/>
    <n v="6.51"/>
    <n v="5283.6"/>
    <n v="0.59099999999999997"/>
    <n v="6.8"/>
  </r>
  <r>
    <x v="51"/>
    <x v="6"/>
    <x v="6"/>
    <n v="27021"/>
    <n v="56218.47"/>
    <n v="6.72"/>
    <n v="4017.2"/>
    <n v="0.47599999999999998"/>
    <n v="7.8"/>
  </r>
  <r>
    <x v="51"/>
    <x v="7"/>
    <x v="2"/>
    <n v="30538"/>
    <n v="64032.68"/>
    <n v="6.41"/>
    <n v="4808.8"/>
    <n v="0.4"/>
    <n v="7.5"/>
  </r>
  <r>
    <x v="51"/>
    <x v="8"/>
    <x v="5"/>
    <n v="21352"/>
    <n v="42709.75"/>
    <n v="6.36"/>
    <n v="3336.7"/>
    <n v="0.53800000000000003"/>
    <n v="7.5"/>
  </r>
  <r>
    <x v="51"/>
    <x v="9"/>
    <x v="9"/>
    <n v="26054"/>
    <n v="55246.1"/>
    <n v="6.42"/>
    <n v="4135"/>
    <n v="0.41199999999999998"/>
    <n v="6.5"/>
  </r>
  <r>
    <x v="51"/>
    <x v="10"/>
    <x v="9"/>
    <n v="19104"/>
    <n v="41466.44"/>
    <n v="6.48"/>
    <n v="3013"/>
    <n v="0.47099999999999997"/>
    <n v="6.9"/>
  </r>
  <r>
    <x v="51"/>
    <x v="11"/>
    <x v="13"/>
    <n v="27858"/>
    <n v="60335.45"/>
    <n v="6.46"/>
    <n v="4409.8999999999996"/>
    <n v="0.318"/>
    <n v="7.9"/>
  </r>
  <r>
    <x v="51"/>
    <x v="12"/>
    <x v="6"/>
    <n v="28721"/>
    <n v="60117.34"/>
    <n v="6.69"/>
    <n v="4252.3"/>
    <n v="0.42899999999999999"/>
    <n v="7.2"/>
  </r>
  <r>
    <x v="51"/>
    <x v="13"/>
    <x v="8"/>
    <n v="22320"/>
    <n v="52898.43"/>
    <n v="6.6"/>
    <n v="3457.6"/>
    <n v="0.375"/>
    <n v="6.9"/>
  </r>
  <r>
    <x v="51"/>
    <x v="14"/>
    <x v="9"/>
    <n v="22512"/>
    <n v="50664.28"/>
    <n v="6.66"/>
    <n v="3437.4"/>
    <n v="0.35299999999999998"/>
    <n v="7.6"/>
  </r>
  <r>
    <x v="51"/>
    <x v="15"/>
    <x v="14"/>
    <n v="18006"/>
    <n v="36749.57"/>
    <n v="6.45"/>
    <n v="2866.5"/>
    <n v="0.13300000000000001"/>
    <n v="6.9"/>
  </r>
  <r>
    <x v="51"/>
    <x v="16"/>
    <x v="3"/>
    <n v="26251"/>
    <n v="58873.52"/>
    <n v="6.41"/>
    <n v="4154.8"/>
    <n v="0.42099999999999999"/>
    <n v="7.3"/>
  </r>
  <r>
    <x v="51"/>
    <x v="17"/>
    <x v="12"/>
    <n v="31687"/>
    <n v="67787.210000000006"/>
    <n v="6.44"/>
    <n v="5061.8"/>
    <n v="0.61099999999999999"/>
    <n v="7.1"/>
  </r>
  <r>
    <x v="51"/>
    <x v="18"/>
    <x v="9"/>
    <n v="27981"/>
    <n v="66870.55"/>
    <n v="6.91"/>
    <n v="4064"/>
    <n v="0.47099999999999997"/>
    <n v="6.7"/>
  </r>
  <r>
    <x v="51"/>
    <x v="19"/>
    <x v="8"/>
    <n v="17661"/>
    <n v="36240.21"/>
    <n v="6.53"/>
    <n v="2734.1"/>
    <n v="0.312"/>
    <n v="8.1999999999999993"/>
  </r>
  <r>
    <x v="51"/>
    <x v="20"/>
    <x v="8"/>
    <n v="22268"/>
    <n v="48795"/>
    <n v="6.73"/>
    <n v="3344.4"/>
    <n v="0.375"/>
    <n v="6.4"/>
  </r>
  <r>
    <x v="51"/>
    <x v="21"/>
    <x v="6"/>
    <n v="30197"/>
    <n v="64446.89"/>
    <n v="6.53"/>
    <n v="4657.3999999999996"/>
    <n v="0.57099999999999995"/>
    <n v="7"/>
  </r>
  <r>
    <x v="51"/>
    <x v="22"/>
    <x v="12"/>
    <n v="32096"/>
    <n v="67399.11"/>
    <n v="6.45"/>
    <n v="5093.8999999999996"/>
    <n v="0.55600000000000005"/>
    <n v="6.3"/>
  </r>
  <r>
    <x v="51"/>
    <x v="23"/>
    <x v="8"/>
    <n v="26668"/>
    <n v="62969.08"/>
    <n v="6.22"/>
    <n v="4295.6000000000004"/>
    <n v="0.5"/>
    <n v="7.7"/>
  </r>
  <r>
    <x v="51"/>
    <x v="24"/>
    <x v="21"/>
    <n v="18564"/>
    <n v="44811.37"/>
    <n v="6.55"/>
    <n v="2835"/>
    <n v="0.36399999999999999"/>
    <n v="6.9"/>
  </r>
  <r>
    <x v="51"/>
    <x v="25"/>
    <x v="13"/>
    <n v="36671"/>
    <n v="80295.649999999994"/>
    <n v="6.47"/>
    <n v="5706.7"/>
    <n v="0.22700000000000001"/>
    <n v="6.6"/>
  </r>
  <r>
    <x v="51"/>
    <x v="26"/>
    <x v="24"/>
    <n v="37764"/>
    <n v="77136.509999999995"/>
    <n v="6.52"/>
    <n v="5945.9"/>
    <n v="0.54500000000000004"/>
    <n v="6"/>
  </r>
  <r>
    <x v="51"/>
    <x v="27"/>
    <x v="11"/>
    <n v="33899"/>
    <n v="77143.03"/>
    <n v="6.62"/>
    <n v="5203.7"/>
    <n v="0.41699999999999998"/>
    <n v="7"/>
  </r>
  <r>
    <x v="51"/>
    <x v="28"/>
    <x v="9"/>
    <n v="20980"/>
    <n v="43949.71"/>
    <n v="6.71"/>
    <n v="3157.7"/>
    <n v="0.41199999999999998"/>
    <n v="7.4"/>
  </r>
  <r>
    <x v="51"/>
    <x v="29"/>
    <x v="2"/>
    <n v="32816"/>
    <n v="71090.59"/>
    <n v="6.74"/>
    <n v="4784.6000000000004"/>
    <n v="0.4"/>
    <n v="6.9"/>
  </r>
  <r>
    <x v="51"/>
    <x v="30"/>
    <x v="5"/>
    <n v="17470"/>
    <n v="35619.11"/>
    <n v="6.46"/>
    <n v="2741"/>
    <n v="0.61499999999999999"/>
    <n v="6.1"/>
  </r>
  <r>
    <x v="51"/>
    <x v="31"/>
    <x v="2"/>
    <n v="24970"/>
    <n v="52973.93"/>
    <n v="6.44"/>
    <n v="3904.9"/>
    <n v="0.4"/>
    <n v="7.4"/>
  </r>
  <r>
    <x v="51"/>
    <x v="32"/>
    <x v="8"/>
    <n v="24958"/>
    <n v="51029.86"/>
    <n v="6.56"/>
    <n v="3816.3"/>
    <n v="0.438"/>
    <n v="5.3"/>
  </r>
  <r>
    <x v="51"/>
    <x v="33"/>
    <x v="15"/>
    <n v="29207"/>
    <n v="60291.58"/>
    <n v="6.65"/>
    <n v="4411.3"/>
    <n v="0.52200000000000002"/>
    <n v="8.3000000000000007"/>
  </r>
  <r>
    <x v="51"/>
    <x v="34"/>
    <x v="10"/>
    <n v="41572"/>
    <n v="80073.59"/>
    <n v="6.34"/>
    <n v="6673.3"/>
    <n v="0.44400000000000001"/>
    <n v="7.2"/>
  </r>
  <r>
    <x v="51"/>
    <x v="35"/>
    <x v="12"/>
    <n v="20391"/>
    <n v="45529.53"/>
    <n v="6.55"/>
    <n v="3196.1"/>
    <n v="0.77800000000000002"/>
    <n v="6.4"/>
  </r>
  <r>
    <x v="52"/>
    <x v="0"/>
    <x v="12"/>
    <n v="22853"/>
    <n v="49536.57"/>
    <n v="6.78"/>
    <n v="3402.3"/>
    <n v="0.44400000000000001"/>
    <n v="6.4"/>
  </r>
  <r>
    <x v="52"/>
    <x v="1"/>
    <x v="12"/>
    <n v="27369"/>
    <n v="58850.19"/>
    <n v="6.5"/>
    <n v="4216.3999999999996"/>
    <n v="0.33300000000000002"/>
    <n v="6.5"/>
  </r>
  <r>
    <x v="52"/>
    <x v="2"/>
    <x v="9"/>
    <n v="19359"/>
    <n v="38396.25"/>
    <n v="6.48"/>
    <n v="2993.9"/>
    <n v="0.58799999999999997"/>
    <n v="6.7"/>
  </r>
  <r>
    <x v="52"/>
    <x v="3"/>
    <x v="2"/>
    <n v="27901"/>
    <n v="61618.94"/>
    <n v="6.46"/>
    <n v="4416"/>
    <n v="0.6"/>
    <n v="6.8"/>
  </r>
  <r>
    <x v="52"/>
    <x v="4"/>
    <x v="13"/>
    <n v="34674"/>
    <n v="75725.13"/>
    <n v="6.53"/>
    <n v="5375.1"/>
    <n v="0.40899999999999997"/>
    <n v="7.8"/>
  </r>
  <r>
    <x v="52"/>
    <x v="5"/>
    <x v="2"/>
    <n v="30436"/>
    <n v="61445.99"/>
    <n v="6.7"/>
    <n v="4585.8999999999996"/>
    <n v="0.35"/>
    <n v="7"/>
  </r>
  <r>
    <x v="52"/>
    <x v="6"/>
    <x v="22"/>
    <n v="43413"/>
    <n v="93147.05"/>
    <n v="6.53"/>
    <n v="6841.4"/>
    <n v="0.53600000000000003"/>
    <n v="7.9"/>
  </r>
  <r>
    <x v="52"/>
    <x v="7"/>
    <x v="9"/>
    <n v="25122"/>
    <n v="57387.33"/>
    <n v="6.3"/>
    <n v="4027.2"/>
    <n v="0.58799999999999997"/>
    <n v="6.1"/>
  </r>
  <r>
    <x v="52"/>
    <x v="8"/>
    <x v="14"/>
    <n v="19132"/>
    <n v="39866.559999999998"/>
    <n v="6.39"/>
    <n v="2990.4"/>
    <n v="0.33300000000000002"/>
    <n v="6.8"/>
  </r>
  <r>
    <x v="52"/>
    <x v="9"/>
    <x v="11"/>
    <n v="26307"/>
    <n v="58191.95"/>
    <n v="6.58"/>
    <n v="4012"/>
    <n v="0.5"/>
    <n v="7.7"/>
  </r>
  <r>
    <x v="52"/>
    <x v="10"/>
    <x v="17"/>
    <n v="40741"/>
    <n v="83984.6"/>
    <n v="6.47"/>
    <n v="6334.3"/>
    <n v="0.32"/>
    <n v="7.1"/>
  </r>
  <r>
    <x v="52"/>
    <x v="11"/>
    <x v="5"/>
    <n v="17399"/>
    <n v="33612.660000000003"/>
    <n v="6.37"/>
    <n v="2727.8"/>
    <n v="0.38500000000000001"/>
    <n v="6.6"/>
  </r>
  <r>
    <x v="52"/>
    <x v="12"/>
    <x v="3"/>
    <n v="32590"/>
    <n v="71179.88"/>
    <n v="6.48"/>
    <n v="5057.7"/>
    <n v="0.42099999999999999"/>
    <n v="6.3"/>
  </r>
  <r>
    <x v="52"/>
    <x v="13"/>
    <x v="12"/>
    <n v="20098"/>
    <n v="45503.11"/>
    <n v="6.37"/>
    <n v="3151.6"/>
    <n v="0.27800000000000002"/>
    <n v="6.3"/>
  </r>
  <r>
    <x v="52"/>
    <x v="14"/>
    <x v="14"/>
    <n v="21357"/>
    <n v="44866.2"/>
    <n v="6.21"/>
    <n v="3591.6"/>
    <n v="0.4"/>
    <n v="6.1"/>
  </r>
  <r>
    <x v="52"/>
    <x v="15"/>
    <x v="13"/>
    <n v="24984"/>
    <n v="52210.29"/>
    <n v="6.49"/>
    <n v="3948.8"/>
    <n v="0.45500000000000002"/>
    <n v="6.9"/>
  </r>
  <r>
    <x v="52"/>
    <x v="16"/>
    <x v="14"/>
    <n v="18527"/>
    <n v="37950.370000000003"/>
    <n v="6.46"/>
    <n v="2863.5"/>
    <n v="0.73299999999999998"/>
    <n v="7.1"/>
  </r>
  <r>
    <x v="52"/>
    <x v="17"/>
    <x v="2"/>
    <n v="25870"/>
    <n v="52667.18"/>
    <n v="6.7"/>
    <n v="3860.2"/>
    <n v="0.45"/>
    <n v="5.8"/>
  </r>
  <r>
    <x v="52"/>
    <x v="18"/>
    <x v="3"/>
    <n v="21304"/>
    <n v="43992.72"/>
    <n v="6.37"/>
    <n v="3392.5"/>
    <n v="0.63200000000000001"/>
    <n v="7.4"/>
  </r>
  <r>
    <x v="52"/>
    <x v="19"/>
    <x v="12"/>
    <n v="33371"/>
    <n v="67940.600000000006"/>
    <n v="6.43"/>
    <n v="5185.8999999999996"/>
    <n v="0.38900000000000001"/>
    <n v="6.4"/>
  </r>
  <r>
    <x v="52"/>
    <x v="20"/>
    <x v="9"/>
    <n v="24000"/>
    <n v="53492.93"/>
    <n v="6.54"/>
    <n v="3661.9"/>
    <n v="0.41199999999999998"/>
    <n v="7.1"/>
  </r>
  <r>
    <x v="52"/>
    <x v="21"/>
    <x v="3"/>
    <n v="29784"/>
    <n v="59179.81"/>
    <n v="6.5"/>
    <n v="4586.5"/>
    <n v="0.36799999999999999"/>
    <n v="7.6"/>
  </r>
  <r>
    <x v="52"/>
    <x v="22"/>
    <x v="13"/>
    <n v="30541"/>
    <n v="67560.570000000007"/>
    <n v="6.54"/>
    <n v="4701.3999999999996"/>
    <n v="0.54500000000000004"/>
    <n v="7.5"/>
  </r>
  <r>
    <x v="52"/>
    <x v="23"/>
    <x v="15"/>
    <n v="30976"/>
    <n v="62799.18"/>
    <n v="6.8"/>
    <n v="4536"/>
    <n v="0.435"/>
    <n v="6.5"/>
  </r>
  <r>
    <x v="52"/>
    <x v="24"/>
    <x v="14"/>
    <n v="23410"/>
    <n v="48405.74"/>
    <n v="6.36"/>
    <n v="3597.3"/>
    <n v="0.46700000000000003"/>
    <n v="8"/>
  </r>
  <r>
    <x v="52"/>
    <x v="25"/>
    <x v="6"/>
    <n v="31031"/>
    <n v="70039.100000000006"/>
    <n v="6.31"/>
    <n v="4931.8999999999996"/>
    <n v="0.52400000000000002"/>
    <n v="7.1"/>
  </r>
  <r>
    <x v="52"/>
    <x v="26"/>
    <x v="22"/>
    <n v="45156"/>
    <n v="92917.98"/>
    <n v="6.61"/>
    <n v="6904.8"/>
    <n v="0.53600000000000003"/>
    <n v="8.5"/>
  </r>
  <r>
    <x v="52"/>
    <x v="27"/>
    <x v="7"/>
    <n v="14322"/>
    <n v="32044.68"/>
    <n v="6.44"/>
    <n v="2202.6"/>
    <n v="0.5"/>
    <n v="7"/>
  </r>
  <r>
    <x v="52"/>
    <x v="28"/>
    <x v="17"/>
    <n v="39281"/>
    <n v="86289.16"/>
    <n v="6.6"/>
    <n v="5997.7"/>
    <n v="0.44"/>
    <n v="5.9"/>
  </r>
  <r>
    <x v="52"/>
    <x v="29"/>
    <x v="13"/>
    <n v="31345"/>
    <n v="70906.289999999994"/>
    <n v="6.53"/>
    <n v="4817.8"/>
    <n v="0.40899999999999997"/>
    <n v="7.4"/>
  </r>
  <r>
    <x v="52"/>
    <x v="30"/>
    <x v="14"/>
    <n v="18523"/>
    <n v="39294.449999999997"/>
    <n v="6.61"/>
    <n v="2817.3"/>
    <n v="0.33300000000000002"/>
    <n v="5.8"/>
  </r>
  <r>
    <x v="52"/>
    <x v="31"/>
    <x v="6"/>
    <n v="31321"/>
    <n v="66936.75"/>
    <n v="6.45"/>
    <n v="4920.8999999999996"/>
    <n v="0.47599999999999998"/>
    <n v="7.6"/>
  </r>
  <r>
    <x v="52"/>
    <x v="32"/>
    <x v="13"/>
    <n v="30525"/>
    <n v="60875.01"/>
    <n v="6.43"/>
    <n v="4750.2"/>
    <n v="0.27300000000000002"/>
    <n v="8.1"/>
  </r>
  <r>
    <x v="52"/>
    <x v="33"/>
    <x v="21"/>
    <n v="11000"/>
    <n v="24608.18"/>
    <n v="6.63"/>
    <n v="1725.5"/>
    <n v="0.72699999999999998"/>
    <n v="7.4"/>
  </r>
  <r>
    <x v="52"/>
    <x v="34"/>
    <x v="15"/>
    <n v="33450"/>
    <n v="67976.710000000006"/>
    <n v="6.58"/>
    <n v="5172.3"/>
    <n v="0.435"/>
    <n v="7.1"/>
  </r>
  <r>
    <x v="52"/>
    <x v="35"/>
    <x v="12"/>
    <n v="22533"/>
    <n v="47667.43"/>
    <n v="6.52"/>
    <n v="3576.9"/>
    <n v="0.5"/>
    <n v="6.4"/>
  </r>
  <r>
    <x v="53"/>
    <x v="0"/>
    <x v="12"/>
    <n v="19983"/>
    <n v="40399.699999999997"/>
    <n v="6.39"/>
    <n v="3065.9"/>
    <n v="0.66700000000000004"/>
    <n v="5.9"/>
  </r>
  <r>
    <x v="53"/>
    <x v="1"/>
    <x v="12"/>
    <n v="26406"/>
    <n v="57480.99"/>
    <n v="6.64"/>
    <n v="4054.9"/>
    <n v="0.5"/>
    <n v="6"/>
  </r>
  <r>
    <x v="53"/>
    <x v="2"/>
    <x v="14"/>
    <n v="19066"/>
    <n v="41491.72"/>
    <n v="6.65"/>
    <n v="2909.3"/>
    <n v="0.6"/>
    <n v="7.2"/>
  </r>
  <r>
    <x v="53"/>
    <x v="3"/>
    <x v="3"/>
    <n v="27819"/>
    <n v="61459.69"/>
    <n v="6.61"/>
    <n v="4272.3999999999996"/>
    <n v="0.47399999999999998"/>
    <n v="7.5"/>
  </r>
  <r>
    <x v="53"/>
    <x v="4"/>
    <x v="3"/>
    <n v="24282"/>
    <n v="54723.92"/>
    <n v="6.4"/>
    <n v="3717.3"/>
    <n v="0.42099999999999999"/>
    <n v="7.2"/>
  </r>
  <r>
    <x v="53"/>
    <x v="5"/>
    <x v="3"/>
    <n v="25314"/>
    <n v="48231.519999999997"/>
    <n v="6.61"/>
    <n v="3836.9"/>
    <n v="0.57899999999999996"/>
    <n v="7"/>
  </r>
  <r>
    <x v="53"/>
    <x v="6"/>
    <x v="12"/>
    <n v="25827"/>
    <n v="56656.24"/>
    <n v="6.59"/>
    <n v="3933.9"/>
    <n v="0.38900000000000001"/>
    <n v="6.6"/>
  </r>
  <r>
    <x v="53"/>
    <x v="7"/>
    <x v="21"/>
    <n v="15242"/>
    <n v="36443.64"/>
    <n v="6.42"/>
    <n v="2394.6999999999998"/>
    <n v="0.45500000000000002"/>
    <n v="6.9"/>
  </r>
  <r>
    <x v="53"/>
    <x v="8"/>
    <x v="17"/>
    <n v="43351"/>
    <n v="92624.18"/>
    <n v="6.66"/>
    <n v="6626"/>
    <n v="0.52"/>
    <n v="6.8"/>
  </r>
  <r>
    <x v="53"/>
    <x v="9"/>
    <x v="14"/>
    <n v="22604"/>
    <n v="50106.31"/>
    <n v="6.51"/>
    <n v="3450.4"/>
    <n v="0.4"/>
    <n v="6.1"/>
  </r>
  <r>
    <x v="53"/>
    <x v="10"/>
    <x v="4"/>
    <n v="23065"/>
    <n v="50318.63"/>
    <n v="6.54"/>
    <n v="3484.3"/>
    <n v="0.35699999999999998"/>
    <n v="8"/>
  </r>
  <r>
    <x v="53"/>
    <x v="11"/>
    <x v="7"/>
    <n v="20104"/>
    <n v="43397.84"/>
    <n v="6.5"/>
    <n v="3151.8"/>
    <n v="0.33300000000000002"/>
    <n v="6.7"/>
  </r>
  <r>
    <x v="53"/>
    <x v="12"/>
    <x v="8"/>
    <n v="23664"/>
    <n v="47398.239999999998"/>
    <n v="6.6"/>
    <n v="3594.4"/>
    <n v="0.312"/>
    <n v="7.6"/>
  </r>
  <r>
    <x v="53"/>
    <x v="13"/>
    <x v="5"/>
    <n v="21684"/>
    <n v="48522.76"/>
    <n v="6.31"/>
    <n v="3387.1"/>
    <n v="0.53800000000000003"/>
    <n v="5.4"/>
  </r>
  <r>
    <x v="53"/>
    <x v="14"/>
    <x v="9"/>
    <n v="21546"/>
    <n v="45746.15"/>
    <n v="6.55"/>
    <n v="3267.6"/>
    <n v="0.17599999999999999"/>
    <n v="6.7"/>
  </r>
  <r>
    <x v="53"/>
    <x v="15"/>
    <x v="8"/>
    <n v="24271"/>
    <n v="50652.76"/>
    <n v="6.76"/>
    <n v="3613.7"/>
    <n v="0.5"/>
    <n v="7.1"/>
  </r>
  <r>
    <x v="53"/>
    <x v="16"/>
    <x v="13"/>
    <n v="28213"/>
    <n v="61193.65"/>
    <n v="6.68"/>
    <n v="4272.5"/>
    <n v="0.45500000000000002"/>
    <n v="6.8"/>
  </r>
  <r>
    <x v="53"/>
    <x v="17"/>
    <x v="5"/>
    <n v="23906"/>
    <n v="54866.28"/>
    <n v="6.42"/>
    <n v="3751.3"/>
    <n v="0.53800000000000003"/>
    <n v="8.3000000000000007"/>
  </r>
  <r>
    <x v="53"/>
    <x v="18"/>
    <x v="7"/>
    <n v="18536"/>
    <n v="38200.6"/>
    <n v="6.72"/>
    <n v="2763.6"/>
    <n v="0.5"/>
    <n v="8.1"/>
  </r>
  <r>
    <x v="53"/>
    <x v="19"/>
    <x v="2"/>
    <n v="24670"/>
    <n v="54103.78"/>
    <n v="6.41"/>
    <n v="3862.8"/>
    <n v="0.4"/>
    <n v="7.3"/>
  </r>
  <r>
    <x v="53"/>
    <x v="20"/>
    <x v="14"/>
    <n v="27472"/>
    <n v="54510.23"/>
    <n v="6.54"/>
    <n v="4232.2"/>
    <n v="0.6"/>
    <n v="7.2"/>
  </r>
  <r>
    <x v="53"/>
    <x v="21"/>
    <x v="21"/>
    <n v="16772"/>
    <n v="35210.910000000003"/>
    <n v="6.54"/>
    <n v="2513.8000000000002"/>
    <n v="0.182"/>
    <n v="5"/>
  </r>
  <r>
    <x v="53"/>
    <x v="22"/>
    <x v="8"/>
    <n v="20864"/>
    <n v="45445.26"/>
    <n v="6.39"/>
    <n v="3269.4"/>
    <n v="0.312"/>
    <n v="7.5"/>
  </r>
  <r>
    <x v="53"/>
    <x v="23"/>
    <x v="8"/>
    <n v="23676"/>
    <n v="49995.67"/>
    <n v="6.42"/>
    <n v="3763.4"/>
    <n v="0.5"/>
    <n v="6.7"/>
  </r>
  <r>
    <x v="53"/>
    <x v="24"/>
    <x v="6"/>
    <n v="25149"/>
    <n v="51506.35"/>
    <n v="6.53"/>
    <n v="3846.7"/>
    <n v="0.57099999999999995"/>
    <n v="6.6"/>
  </r>
  <r>
    <x v="53"/>
    <x v="25"/>
    <x v="21"/>
    <n v="13241"/>
    <n v="25126.33"/>
    <n v="6.38"/>
    <n v="2102.6999999999998"/>
    <n v="0.36399999999999999"/>
    <n v="6.1"/>
  </r>
  <r>
    <x v="53"/>
    <x v="26"/>
    <x v="4"/>
    <n v="21876"/>
    <n v="43305.01"/>
    <n v="6.22"/>
    <n v="3574.5"/>
    <n v="0.35699999999999998"/>
    <n v="7"/>
  </r>
  <r>
    <x v="53"/>
    <x v="27"/>
    <x v="15"/>
    <n v="37801"/>
    <n v="81854.59"/>
    <n v="6.54"/>
    <n v="5784"/>
    <n v="0.34799999999999998"/>
    <n v="6.1"/>
  </r>
  <r>
    <x v="53"/>
    <x v="28"/>
    <x v="21"/>
    <n v="15632"/>
    <n v="31569.96"/>
    <n v="6.3"/>
    <n v="2488.6999999999998"/>
    <n v="0.45500000000000002"/>
    <n v="5.0999999999999996"/>
  </r>
  <r>
    <x v="53"/>
    <x v="29"/>
    <x v="2"/>
    <n v="27703"/>
    <n v="56126.95"/>
    <n v="6.48"/>
    <n v="4291.1000000000004"/>
    <n v="0.35"/>
    <n v="6.9"/>
  </r>
  <r>
    <x v="53"/>
    <x v="30"/>
    <x v="12"/>
    <n v="20538"/>
    <n v="45506.41"/>
    <n v="6.54"/>
    <n v="3220.2"/>
    <n v="0.38900000000000001"/>
    <n v="8.1999999999999993"/>
  </r>
  <r>
    <x v="53"/>
    <x v="31"/>
    <x v="3"/>
    <n v="25651"/>
    <n v="51938.400000000001"/>
    <n v="6.51"/>
    <n v="4141.2"/>
    <n v="0.47399999999999998"/>
    <n v="7.7"/>
  </r>
  <r>
    <x v="53"/>
    <x v="32"/>
    <x v="12"/>
    <n v="30062"/>
    <n v="57814.1"/>
    <n v="6.55"/>
    <n v="4647.8999999999996"/>
    <n v="0.33300000000000002"/>
    <n v="6.3"/>
  </r>
  <r>
    <x v="53"/>
    <x v="33"/>
    <x v="12"/>
    <n v="29742"/>
    <n v="66707.240000000005"/>
    <n v="6.58"/>
    <n v="4556"/>
    <n v="0.33300000000000002"/>
    <n v="6.8"/>
  </r>
  <r>
    <x v="53"/>
    <x v="34"/>
    <x v="15"/>
    <n v="22641"/>
    <n v="43594.59"/>
    <n v="6.47"/>
    <n v="3531"/>
    <n v="0.17399999999999999"/>
    <n v="5.8"/>
  </r>
  <r>
    <x v="53"/>
    <x v="35"/>
    <x v="11"/>
    <n v="36273"/>
    <n v="85159.79"/>
    <n v="6.62"/>
    <n v="5447.6"/>
    <n v="0.125"/>
    <n v="7.9"/>
  </r>
  <r>
    <x v="54"/>
    <x v="0"/>
    <x v="2"/>
    <n v="35353"/>
    <n v="76665.64"/>
    <n v="6.3"/>
    <n v="5646.3"/>
    <n v="0.45"/>
    <n v="6.8"/>
  </r>
  <r>
    <x v="54"/>
    <x v="1"/>
    <x v="14"/>
    <n v="22805"/>
    <n v="47013.4"/>
    <n v="6.86"/>
    <n v="3358.2"/>
    <n v="0.13300000000000001"/>
    <n v="6.9"/>
  </r>
  <r>
    <x v="54"/>
    <x v="2"/>
    <x v="6"/>
    <n v="31865"/>
    <n v="67969.899999999994"/>
    <n v="6.5"/>
    <n v="4956.3999999999996"/>
    <n v="0.52400000000000002"/>
    <n v="6.6"/>
  </r>
  <r>
    <x v="54"/>
    <x v="3"/>
    <x v="6"/>
    <n v="31530"/>
    <n v="67267.22"/>
    <n v="6.41"/>
    <n v="5000.1000000000004"/>
    <n v="0.52400000000000002"/>
    <n v="7"/>
  </r>
  <r>
    <x v="54"/>
    <x v="4"/>
    <x v="15"/>
    <n v="30751"/>
    <n v="65459.07"/>
    <n v="6.62"/>
    <n v="4646.1000000000004"/>
    <n v="0.26100000000000001"/>
    <n v="6"/>
  </r>
  <r>
    <x v="54"/>
    <x v="5"/>
    <x v="14"/>
    <n v="25017"/>
    <n v="54605.73"/>
    <n v="6.19"/>
    <n v="4030.1"/>
    <n v="0.33300000000000002"/>
    <n v="7"/>
  </r>
  <r>
    <x v="54"/>
    <x v="6"/>
    <x v="8"/>
    <n v="27714"/>
    <n v="58050.33"/>
    <n v="6.66"/>
    <n v="4200"/>
    <n v="0.438"/>
    <n v="7.2"/>
  </r>
  <r>
    <x v="54"/>
    <x v="7"/>
    <x v="15"/>
    <n v="32365"/>
    <n v="67853.75"/>
    <n v="6.29"/>
    <n v="5228.3999999999996"/>
    <n v="0.52200000000000002"/>
    <n v="7.8"/>
  </r>
  <r>
    <x v="54"/>
    <x v="8"/>
    <x v="13"/>
    <n v="30872"/>
    <n v="64569.760000000002"/>
    <n v="6.46"/>
    <n v="4836.8999999999996"/>
    <n v="0.45500000000000002"/>
    <n v="8.1"/>
  </r>
  <r>
    <x v="54"/>
    <x v="9"/>
    <x v="2"/>
    <n v="27280"/>
    <n v="53213.98"/>
    <n v="6.62"/>
    <n v="4128.7"/>
    <n v="0.75"/>
    <n v="6.5"/>
  </r>
  <r>
    <x v="54"/>
    <x v="10"/>
    <x v="2"/>
    <n v="34339"/>
    <n v="81527.259999999995"/>
    <n v="6.69"/>
    <n v="5177.7"/>
    <n v="0.45"/>
    <n v="7.3"/>
  </r>
  <r>
    <x v="54"/>
    <x v="11"/>
    <x v="3"/>
    <n v="33653"/>
    <n v="73027.820000000007"/>
    <n v="6.46"/>
    <n v="5321.1"/>
    <n v="0.36799999999999999"/>
    <n v="7.3"/>
  </r>
  <r>
    <x v="54"/>
    <x v="12"/>
    <x v="8"/>
    <n v="19342"/>
    <n v="42134.39"/>
    <n v="6.59"/>
    <n v="2939.3"/>
    <n v="0.5"/>
    <n v="6.9"/>
  </r>
  <r>
    <x v="54"/>
    <x v="13"/>
    <x v="5"/>
    <n v="17480"/>
    <n v="37464.81"/>
    <n v="6.49"/>
    <n v="2713.9"/>
    <n v="0.61499999999999999"/>
    <n v="8.1999999999999993"/>
  </r>
  <r>
    <x v="54"/>
    <x v="14"/>
    <x v="2"/>
    <n v="29382"/>
    <n v="70016.460000000006"/>
    <n v="6.55"/>
    <n v="4571.3999999999996"/>
    <n v="0.6"/>
    <n v="6.9"/>
  </r>
  <r>
    <x v="54"/>
    <x v="15"/>
    <x v="5"/>
    <n v="16738"/>
    <n v="35493.760000000002"/>
    <n v="6.53"/>
    <n v="2540.6"/>
    <n v="0.46200000000000002"/>
    <n v="6.4"/>
  </r>
  <r>
    <x v="54"/>
    <x v="16"/>
    <x v="7"/>
    <n v="20467"/>
    <n v="45797.57"/>
    <n v="6.68"/>
    <n v="3064.3"/>
    <n v="0.33300000000000002"/>
    <n v="5.9"/>
  </r>
  <r>
    <x v="54"/>
    <x v="17"/>
    <x v="2"/>
    <n v="30172"/>
    <n v="67544.7"/>
    <n v="6.64"/>
    <n v="4526.2"/>
    <n v="0.5"/>
    <n v="6.3"/>
  </r>
  <r>
    <x v="54"/>
    <x v="18"/>
    <x v="21"/>
    <n v="18993"/>
    <n v="42554.02"/>
    <n v="6.42"/>
    <n v="3026.3"/>
    <n v="0.36399999999999999"/>
    <n v="7.9"/>
  </r>
  <r>
    <x v="54"/>
    <x v="19"/>
    <x v="17"/>
    <n v="27880"/>
    <n v="61685.36"/>
    <n v="6.67"/>
    <n v="4240.3"/>
    <n v="0.4"/>
    <n v="7.1"/>
  </r>
  <r>
    <x v="54"/>
    <x v="20"/>
    <x v="12"/>
    <n v="26059"/>
    <n v="55265.53"/>
    <n v="6.9"/>
    <n v="3757.1"/>
    <n v="0.5"/>
    <n v="6.5"/>
  </r>
  <r>
    <x v="54"/>
    <x v="21"/>
    <x v="9"/>
    <n v="23417"/>
    <n v="46687.31"/>
    <n v="6.37"/>
    <n v="3811.3"/>
    <n v="0.64700000000000002"/>
    <n v="6.1"/>
  </r>
  <r>
    <x v="54"/>
    <x v="22"/>
    <x v="11"/>
    <n v="28768"/>
    <n v="64683.4"/>
    <n v="6.26"/>
    <n v="4599.7"/>
    <n v="0.5"/>
    <n v="6"/>
  </r>
  <r>
    <x v="54"/>
    <x v="23"/>
    <x v="4"/>
    <n v="21088"/>
    <n v="43605.86"/>
    <n v="6.49"/>
    <n v="3246.3"/>
    <n v="0.28599999999999998"/>
    <n v="7.3"/>
  </r>
  <r>
    <x v="54"/>
    <x v="24"/>
    <x v="12"/>
    <n v="28834"/>
    <n v="64511.37"/>
    <n v="6.52"/>
    <n v="4474.5"/>
    <n v="0.61099999999999999"/>
    <n v="6"/>
  </r>
  <r>
    <x v="54"/>
    <x v="25"/>
    <x v="13"/>
    <n v="34945"/>
    <n v="76406.34"/>
    <n v="6.46"/>
    <n v="5482.6"/>
    <n v="0.5"/>
    <n v="6.4"/>
  </r>
  <r>
    <x v="54"/>
    <x v="26"/>
    <x v="17"/>
    <n v="38993"/>
    <n v="82344.759999999995"/>
    <n v="6.36"/>
    <n v="6189.7"/>
    <n v="0.52"/>
    <n v="7.3"/>
  </r>
  <r>
    <x v="54"/>
    <x v="27"/>
    <x v="9"/>
    <n v="22147"/>
    <n v="45878.38"/>
    <n v="6.44"/>
    <n v="3494.8"/>
    <n v="0.58799999999999997"/>
    <n v="6.4"/>
  </r>
  <r>
    <x v="54"/>
    <x v="28"/>
    <x v="12"/>
    <n v="30333"/>
    <n v="61368.63"/>
    <n v="6.7"/>
    <n v="4548.2"/>
    <n v="0.44400000000000001"/>
    <n v="6.7"/>
  </r>
  <r>
    <x v="54"/>
    <x v="29"/>
    <x v="3"/>
    <n v="23646"/>
    <n v="53782.54"/>
    <n v="6.3"/>
    <n v="3789.7"/>
    <n v="0.36799999999999999"/>
    <n v="6.9"/>
  </r>
  <r>
    <x v="54"/>
    <x v="30"/>
    <x v="6"/>
    <n v="26663"/>
    <n v="57603.38"/>
    <n v="6.65"/>
    <n v="4152.8"/>
    <n v="0.23799999999999999"/>
    <n v="6.9"/>
  </r>
  <r>
    <x v="54"/>
    <x v="31"/>
    <x v="9"/>
    <n v="23028"/>
    <n v="51473.02"/>
    <n v="6.68"/>
    <n v="3442.4"/>
    <n v="0.35299999999999998"/>
    <n v="6.8"/>
  </r>
  <r>
    <x v="54"/>
    <x v="32"/>
    <x v="4"/>
    <n v="16050"/>
    <n v="36008.35"/>
    <n v="6.63"/>
    <n v="2454.6999999999998"/>
    <n v="0.57099999999999995"/>
    <n v="6.8"/>
  </r>
  <r>
    <x v="54"/>
    <x v="33"/>
    <x v="6"/>
    <n v="27715"/>
    <n v="61732.76"/>
    <n v="6.41"/>
    <n v="4349.5"/>
    <n v="0.33300000000000002"/>
    <n v="7.4"/>
  </r>
  <r>
    <x v="54"/>
    <x v="34"/>
    <x v="2"/>
    <n v="33564"/>
    <n v="68219.58"/>
    <n v="6.67"/>
    <n v="5117.1000000000004"/>
    <n v="0.35"/>
    <n v="7.3"/>
  </r>
  <r>
    <x v="54"/>
    <x v="35"/>
    <x v="2"/>
    <n v="24625"/>
    <n v="55874.09"/>
    <n v="6.62"/>
    <n v="3639.7"/>
    <n v="0.5"/>
    <n v="6.5"/>
  </r>
  <r>
    <x v="55"/>
    <x v="0"/>
    <x v="28"/>
    <n v="37762"/>
    <n v="79950.36"/>
    <n v="6.65"/>
    <n v="5780.1"/>
    <n v="0.58599999999999997"/>
    <n v="6.7"/>
  </r>
  <r>
    <x v="55"/>
    <x v="1"/>
    <x v="6"/>
    <n v="28338"/>
    <n v="55177.65"/>
    <n v="6.41"/>
    <n v="4417.3"/>
    <n v="0.28599999999999998"/>
    <n v="6.6"/>
  </r>
  <r>
    <x v="55"/>
    <x v="2"/>
    <x v="11"/>
    <n v="40311"/>
    <n v="92999.91"/>
    <n v="6.49"/>
    <n v="6262.8"/>
    <n v="0.5"/>
    <n v="7.6"/>
  </r>
  <r>
    <x v="55"/>
    <x v="3"/>
    <x v="14"/>
    <n v="21669"/>
    <n v="43571.17"/>
    <n v="6.42"/>
    <n v="3344.5"/>
    <n v="0.46700000000000003"/>
    <n v="7.2"/>
  </r>
  <r>
    <x v="55"/>
    <x v="4"/>
    <x v="9"/>
    <n v="20644"/>
    <n v="42752.39"/>
    <n v="6.15"/>
    <n v="3433.3"/>
    <n v="0.35299999999999998"/>
    <n v="6.8"/>
  </r>
  <r>
    <x v="55"/>
    <x v="5"/>
    <x v="13"/>
    <n v="29961"/>
    <n v="65036.27"/>
    <n v="6.4"/>
    <n v="4688.7"/>
    <n v="0.36399999999999999"/>
    <n v="7.5"/>
  </r>
  <r>
    <x v="55"/>
    <x v="6"/>
    <x v="3"/>
    <n v="22271"/>
    <n v="48515.519999999997"/>
    <n v="6.6"/>
    <n v="3377.8"/>
    <n v="0.42099999999999999"/>
    <n v="5.6"/>
  </r>
  <r>
    <x v="55"/>
    <x v="7"/>
    <x v="11"/>
    <n v="29153"/>
    <n v="65788.19"/>
    <n v="6.59"/>
    <n v="4527.3"/>
    <n v="0.41699999999999998"/>
    <n v="6.3"/>
  </r>
  <r>
    <x v="55"/>
    <x v="8"/>
    <x v="5"/>
    <n v="17574"/>
    <n v="41405.24"/>
    <n v="6.04"/>
    <n v="2917.1"/>
    <n v="0.23100000000000001"/>
    <n v="6.4"/>
  </r>
  <r>
    <x v="55"/>
    <x v="9"/>
    <x v="3"/>
    <n v="25956"/>
    <n v="53927.55"/>
    <n v="6.61"/>
    <n v="3963.4"/>
    <n v="0.42099999999999999"/>
    <n v="6.8"/>
  </r>
  <r>
    <x v="55"/>
    <x v="10"/>
    <x v="14"/>
    <n v="18553"/>
    <n v="44239.67"/>
    <n v="6.41"/>
    <n v="2897.4"/>
    <n v="0.33300000000000002"/>
    <n v="7.3"/>
  </r>
  <r>
    <x v="55"/>
    <x v="11"/>
    <x v="9"/>
    <n v="24682"/>
    <n v="50334.47"/>
    <n v="6.42"/>
    <n v="3885.1"/>
    <n v="0.47099999999999997"/>
    <n v="6"/>
  </r>
  <r>
    <x v="55"/>
    <x v="12"/>
    <x v="11"/>
    <n v="33717"/>
    <n v="72559.91"/>
    <n v="6.52"/>
    <n v="5179.8"/>
    <n v="0.5"/>
    <n v="7.2"/>
  </r>
  <r>
    <x v="55"/>
    <x v="13"/>
    <x v="3"/>
    <n v="22386"/>
    <n v="48888.480000000003"/>
    <n v="6.67"/>
    <n v="3369.2"/>
    <n v="0.52600000000000002"/>
    <n v="7.6"/>
  </r>
  <r>
    <x v="55"/>
    <x v="14"/>
    <x v="28"/>
    <n v="36884"/>
    <n v="82523.759999999995"/>
    <n v="6.4"/>
    <n v="5718.5"/>
    <n v="0.51700000000000002"/>
    <n v="7"/>
  </r>
  <r>
    <x v="55"/>
    <x v="15"/>
    <x v="0"/>
    <n v="33241"/>
    <n v="76524.28"/>
    <n v="6.52"/>
    <n v="5166.1000000000004"/>
    <n v="0.42299999999999999"/>
    <n v="7.4"/>
  </r>
  <r>
    <x v="55"/>
    <x v="16"/>
    <x v="5"/>
    <n v="21422"/>
    <n v="47420.73"/>
    <n v="6.69"/>
    <n v="3246.5"/>
    <n v="0.46200000000000002"/>
    <n v="8"/>
  </r>
  <r>
    <x v="55"/>
    <x v="17"/>
    <x v="24"/>
    <n v="44953"/>
    <n v="92687.76"/>
    <n v="6.44"/>
    <n v="7124.4"/>
    <n v="0.45500000000000002"/>
    <n v="6.9"/>
  </r>
  <r>
    <x v="55"/>
    <x v="18"/>
    <x v="12"/>
    <n v="29361"/>
    <n v="64374.05"/>
    <n v="6.59"/>
    <n v="4429.2"/>
    <n v="0.5"/>
    <n v="7.3"/>
  </r>
  <r>
    <x v="55"/>
    <x v="19"/>
    <x v="0"/>
    <n v="31554"/>
    <n v="66071.39"/>
    <n v="6.67"/>
    <n v="4728.6000000000004"/>
    <n v="0.42299999999999999"/>
    <n v="6.3"/>
  </r>
  <r>
    <x v="55"/>
    <x v="20"/>
    <x v="10"/>
    <n v="40055"/>
    <n v="82263.509999999995"/>
    <n v="6.45"/>
    <n v="6329.7"/>
    <n v="0.48099999999999998"/>
    <n v="7.3"/>
  </r>
  <r>
    <x v="55"/>
    <x v="21"/>
    <x v="12"/>
    <n v="20156"/>
    <n v="42678.18"/>
    <n v="6.52"/>
    <n v="3093.1"/>
    <n v="0.38900000000000001"/>
    <n v="6.8"/>
  </r>
  <r>
    <x v="55"/>
    <x v="22"/>
    <x v="10"/>
    <n v="32274"/>
    <n v="69188.37"/>
    <n v="6.46"/>
    <n v="5061.7"/>
    <n v="0.55600000000000005"/>
    <n v="8"/>
  </r>
  <r>
    <x v="55"/>
    <x v="23"/>
    <x v="4"/>
    <n v="22181"/>
    <n v="46091.74"/>
    <n v="6.41"/>
    <n v="3462.2"/>
    <n v="0.42899999999999999"/>
    <n v="7"/>
  </r>
  <r>
    <x v="55"/>
    <x v="24"/>
    <x v="5"/>
    <n v="16637"/>
    <n v="37322.199999999997"/>
    <n v="6.49"/>
    <n v="2512.6999999999998"/>
    <n v="0.46200000000000002"/>
    <n v="6.2"/>
  </r>
  <r>
    <x v="55"/>
    <x v="25"/>
    <x v="9"/>
    <n v="23298"/>
    <n v="49347.44"/>
    <n v="6.5"/>
    <n v="3608.6"/>
    <n v="0.58799999999999997"/>
    <n v="6.7"/>
  </r>
  <r>
    <x v="55"/>
    <x v="26"/>
    <x v="12"/>
    <n v="22872"/>
    <n v="50259.44"/>
    <n v="6.56"/>
    <n v="3543.1"/>
    <n v="0.38900000000000001"/>
    <n v="6.4"/>
  </r>
  <r>
    <x v="55"/>
    <x v="27"/>
    <x v="2"/>
    <n v="31496"/>
    <n v="66940.05"/>
    <n v="6.49"/>
    <n v="4882.3999999999996"/>
    <n v="0.35"/>
    <n v="7.5"/>
  </r>
  <r>
    <x v="55"/>
    <x v="28"/>
    <x v="11"/>
    <n v="32593"/>
    <n v="67598.509999999995"/>
    <n v="6.55"/>
    <n v="5110.8"/>
    <n v="0.45800000000000002"/>
    <n v="8.1"/>
  </r>
  <r>
    <x v="55"/>
    <x v="29"/>
    <x v="15"/>
    <n v="42700"/>
    <n v="98275.16"/>
    <n v="6.77"/>
    <n v="6324.2"/>
    <n v="0.47799999999999998"/>
    <n v="7.2"/>
  </r>
  <r>
    <x v="55"/>
    <x v="30"/>
    <x v="12"/>
    <n v="20717"/>
    <n v="44914.19"/>
    <n v="6.35"/>
    <n v="3281.7"/>
    <n v="0.27800000000000002"/>
    <n v="7.5"/>
  </r>
  <r>
    <x v="55"/>
    <x v="31"/>
    <x v="9"/>
    <n v="21819"/>
    <n v="46225.57"/>
    <n v="6.64"/>
    <n v="3374.9"/>
    <n v="0.52900000000000003"/>
    <n v="7.2"/>
  </r>
  <r>
    <x v="55"/>
    <x v="32"/>
    <x v="22"/>
    <n v="41361"/>
    <n v="99256.71"/>
    <n v="6.6"/>
    <n v="6279.3"/>
    <n v="0.35699999999999998"/>
    <n v="7.3"/>
  </r>
  <r>
    <x v="55"/>
    <x v="33"/>
    <x v="8"/>
    <n v="16149"/>
    <n v="36033.64"/>
    <n v="6.45"/>
    <n v="2578.6"/>
    <n v="0.68799999999999994"/>
    <n v="6.2"/>
  </r>
  <r>
    <x v="55"/>
    <x v="34"/>
    <x v="3"/>
    <n v="31849"/>
    <n v="69310.14"/>
    <n v="6.45"/>
    <n v="4965.8"/>
    <n v="0.42099999999999999"/>
    <n v="7.2"/>
  </r>
  <r>
    <x v="55"/>
    <x v="35"/>
    <x v="14"/>
    <n v="20746"/>
    <n v="40182.6"/>
    <n v="6.53"/>
    <n v="3139.3"/>
    <n v="0.46700000000000003"/>
    <n v="6.9"/>
  </r>
  <r>
    <x v="56"/>
    <x v="0"/>
    <x v="11"/>
    <n v="38086"/>
    <n v="77097.11"/>
    <n v="6.3"/>
    <n v="6110"/>
    <n v="0.33300000000000002"/>
    <n v="7.9"/>
  </r>
  <r>
    <x v="56"/>
    <x v="1"/>
    <x v="3"/>
    <n v="26004"/>
    <n v="58922.92"/>
    <n v="6.47"/>
    <n v="4086.3"/>
    <n v="0.316"/>
    <n v="6.3"/>
  </r>
  <r>
    <x v="56"/>
    <x v="2"/>
    <x v="10"/>
    <n v="39740"/>
    <n v="82078.009999999995"/>
    <n v="6.36"/>
    <n v="6296.1"/>
    <n v="0.33300000000000002"/>
    <n v="7.3"/>
  </r>
  <r>
    <x v="56"/>
    <x v="3"/>
    <x v="2"/>
    <n v="30747"/>
    <n v="64543.94"/>
    <n v="6.52"/>
    <n v="4673.8"/>
    <n v="0.35"/>
    <n v="7.4"/>
  </r>
  <r>
    <x v="56"/>
    <x v="4"/>
    <x v="2"/>
    <n v="23566"/>
    <n v="49733.61"/>
    <n v="6.63"/>
    <n v="3652.6"/>
    <n v="0.4"/>
    <n v="6.3"/>
  </r>
  <r>
    <x v="56"/>
    <x v="5"/>
    <x v="0"/>
    <n v="32788"/>
    <n v="65024.4"/>
    <n v="6.62"/>
    <n v="5064.7"/>
    <n v="0.46200000000000002"/>
    <n v="6.8"/>
  </r>
  <r>
    <x v="56"/>
    <x v="6"/>
    <x v="4"/>
    <n v="20455"/>
    <n v="45374.59"/>
    <n v="6.45"/>
    <n v="3187.4"/>
    <n v="0.64300000000000002"/>
    <n v="7.9"/>
  </r>
  <r>
    <x v="56"/>
    <x v="7"/>
    <x v="2"/>
    <n v="29085"/>
    <n v="61537.22"/>
    <n v="6.4"/>
    <n v="4576.3999999999996"/>
    <n v="0.25"/>
    <n v="7.5"/>
  </r>
  <r>
    <x v="56"/>
    <x v="8"/>
    <x v="8"/>
    <n v="27202"/>
    <n v="54896.79"/>
    <n v="6.64"/>
    <n v="4213.2"/>
    <n v="0.312"/>
    <n v="6.7"/>
  </r>
  <r>
    <x v="56"/>
    <x v="9"/>
    <x v="11"/>
    <n v="42889"/>
    <n v="86292.160000000003"/>
    <n v="6.27"/>
    <n v="6939.2"/>
    <n v="0.375"/>
    <n v="7.5"/>
  </r>
  <r>
    <x v="56"/>
    <x v="10"/>
    <x v="9"/>
    <n v="27811"/>
    <n v="57824.44"/>
    <n v="6.61"/>
    <n v="4205.5"/>
    <n v="0.41199999999999998"/>
    <n v="7"/>
  </r>
  <r>
    <x v="56"/>
    <x v="11"/>
    <x v="9"/>
    <n v="29486"/>
    <n v="63844.480000000003"/>
    <n v="6.42"/>
    <n v="4601.1000000000004"/>
    <n v="0.47099999999999997"/>
    <n v="7.9"/>
  </r>
  <r>
    <x v="56"/>
    <x v="12"/>
    <x v="14"/>
    <n v="25331"/>
    <n v="51556.25"/>
    <n v="6.79"/>
    <n v="3730.9"/>
    <n v="0.46700000000000003"/>
    <n v="7.5"/>
  </r>
  <r>
    <x v="56"/>
    <x v="13"/>
    <x v="8"/>
    <n v="18499"/>
    <n v="38282.639999999999"/>
    <n v="6.34"/>
    <n v="2962.9"/>
    <n v="0.5"/>
    <n v="8"/>
  </r>
  <r>
    <x v="56"/>
    <x v="14"/>
    <x v="3"/>
    <n v="26582"/>
    <n v="53295.95"/>
    <n v="6.71"/>
    <n v="3996.5"/>
    <n v="0.36799999999999999"/>
    <n v="6"/>
  </r>
  <r>
    <x v="56"/>
    <x v="15"/>
    <x v="10"/>
    <n v="34938"/>
    <n v="74471.649999999994"/>
    <n v="6.35"/>
    <n v="5578"/>
    <n v="0.48099999999999998"/>
    <n v="7.3"/>
  </r>
  <r>
    <x v="56"/>
    <x v="16"/>
    <x v="11"/>
    <n v="39346"/>
    <n v="86218.43"/>
    <n v="6.58"/>
    <n v="6004.7"/>
    <n v="0.29199999999999998"/>
    <n v="8.3000000000000007"/>
  </r>
  <r>
    <x v="56"/>
    <x v="17"/>
    <x v="7"/>
    <n v="16795"/>
    <n v="37962.449999999997"/>
    <n v="6.36"/>
    <n v="2717.4"/>
    <n v="0.41699999999999998"/>
    <n v="7.3"/>
  </r>
  <r>
    <x v="56"/>
    <x v="18"/>
    <x v="3"/>
    <n v="28606"/>
    <n v="59464.79"/>
    <n v="6.46"/>
    <n v="4470.8"/>
    <n v="0.68400000000000005"/>
    <n v="7.4"/>
  </r>
  <r>
    <x v="56"/>
    <x v="19"/>
    <x v="21"/>
    <n v="13597"/>
    <n v="29513.34"/>
    <n v="6.7"/>
    <n v="2003.5"/>
    <n v="0.27300000000000002"/>
    <n v="8.4"/>
  </r>
  <r>
    <x v="56"/>
    <x v="20"/>
    <x v="3"/>
    <n v="21810"/>
    <n v="51228.94"/>
    <n v="6.44"/>
    <n v="3368.9"/>
    <n v="0.42099999999999999"/>
    <n v="7.1"/>
  </r>
  <r>
    <x v="56"/>
    <x v="21"/>
    <x v="0"/>
    <n v="34530"/>
    <n v="79403.539999999994"/>
    <n v="6.55"/>
    <n v="5322.6"/>
    <n v="0.57699999999999996"/>
    <n v="6.7"/>
  </r>
  <r>
    <x v="56"/>
    <x v="22"/>
    <x v="4"/>
    <n v="19969"/>
    <n v="41432.01"/>
    <n v="6.18"/>
    <n v="3220.5"/>
    <n v="0.42899999999999999"/>
    <n v="6.9"/>
  </r>
  <r>
    <x v="56"/>
    <x v="23"/>
    <x v="17"/>
    <n v="28685"/>
    <n v="60701.89"/>
    <n v="6.72"/>
    <n v="4363"/>
    <n v="0.4"/>
    <n v="6.8"/>
  </r>
  <r>
    <x v="56"/>
    <x v="24"/>
    <x v="3"/>
    <n v="28766"/>
    <n v="64554.66"/>
    <n v="6.42"/>
    <n v="4590.5"/>
    <n v="0.47399999999999998"/>
    <n v="6.6"/>
  </r>
  <r>
    <x v="56"/>
    <x v="25"/>
    <x v="4"/>
    <n v="24670"/>
    <n v="59131.93"/>
    <n v="6.47"/>
    <n v="3901.8"/>
    <n v="0.28599999999999998"/>
    <n v="8.5"/>
  </r>
  <r>
    <x v="56"/>
    <x v="26"/>
    <x v="12"/>
    <n v="29272"/>
    <n v="60808.06"/>
    <n v="6.56"/>
    <n v="4537.7"/>
    <n v="0.5"/>
    <n v="6.4"/>
  </r>
  <r>
    <x v="56"/>
    <x v="27"/>
    <x v="8"/>
    <n v="28656"/>
    <n v="61529.08"/>
    <n v="6.41"/>
    <n v="4530.8"/>
    <n v="0.375"/>
    <n v="7.2"/>
  </r>
  <r>
    <x v="56"/>
    <x v="28"/>
    <x v="6"/>
    <n v="37882"/>
    <n v="77466.91"/>
    <n v="6.41"/>
    <n v="5918"/>
    <n v="0.33300000000000002"/>
    <n v="7.1"/>
  </r>
  <r>
    <x v="56"/>
    <x v="29"/>
    <x v="6"/>
    <n v="23965"/>
    <n v="56590.22"/>
    <n v="6.57"/>
    <n v="3613"/>
    <n v="0.38100000000000001"/>
    <n v="6.1"/>
  </r>
  <r>
    <x v="56"/>
    <x v="30"/>
    <x v="3"/>
    <n v="27750"/>
    <n v="58399.32"/>
    <n v="6.53"/>
    <n v="4274.2"/>
    <n v="0.36799999999999999"/>
    <n v="6.4"/>
  </r>
  <r>
    <x v="56"/>
    <x v="31"/>
    <x v="3"/>
    <n v="26197"/>
    <n v="57054.42"/>
    <n v="6.54"/>
    <n v="4085.3"/>
    <n v="0.47399999999999998"/>
    <n v="7.3"/>
  </r>
  <r>
    <x v="56"/>
    <x v="32"/>
    <x v="9"/>
    <n v="22501"/>
    <n v="47201.79"/>
    <n v="6.61"/>
    <n v="3408.5"/>
    <n v="0.41199999999999998"/>
    <n v="7.3"/>
  </r>
  <r>
    <x v="56"/>
    <x v="33"/>
    <x v="11"/>
    <n v="36660"/>
    <n v="79970.84"/>
    <n v="6.52"/>
    <n v="5678.7"/>
    <n v="0.5"/>
    <n v="6.6"/>
  </r>
  <r>
    <x v="56"/>
    <x v="34"/>
    <x v="13"/>
    <n v="34119"/>
    <n v="76668.27"/>
    <n v="6.67"/>
    <n v="5095.8"/>
    <n v="0.59099999999999997"/>
    <n v="7.7"/>
  </r>
  <r>
    <x v="56"/>
    <x v="35"/>
    <x v="12"/>
    <n v="23106"/>
    <n v="54886.85"/>
    <n v="6.57"/>
    <n v="3502.8"/>
    <n v="0.66700000000000004"/>
    <n v="7.3"/>
  </r>
  <r>
    <x v="57"/>
    <x v="0"/>
    <x v="9"/>
    <n v="25018"/>
    <n v="52793.72"/>
    <n v="6.5"/>
    <n v="3958.9"/>
    <n v="0.29399999999999998"/>
    <n v="6.8"/>
  </r>
  <r>
    <x v="57"/>
    <x v="1"/>
    <x v="8"/>
    <n v="16187"/>
    <n v="34541.589999999997"/>
    <n v="6.54"/>
    <n v="2510.8000000000002"/>
    <n v="0.438"/>
    <n v="7.8"/>
  </r>
  <r>
    <x v="57"/>
    <x v="2"/>
    <x v="2"/>
    <n v="27495"/>
    <n v="55382.07"/>
    <n v="6.46"/>
    <n v="4284.7"/>
    <n v="0.6"/>
    <n v="6.8"/>
  </r>
  <r>
    <x v="57"/>
    <x v="3"/>
    <x v="6"/>
    <n v="37402"/>
    <n v="78351.86"/>
    <n v="6.32"/>
    <n v="5993.2"/>
    <n v="0.42899999999999999"/>
    <n v="6.1"/>
  </r>
  <r>
    <x v="57"/>
    <x v="4"/>
    <x v="18"/>
    <n v="43218"/>
    <n v="94420.4"/>
    <n v="6.37"/>
    <n v="6768.8"/>
    <n v="0.53100000000000003"/>
    <n v="7.7"/>
  </r>
  <r>
    <x v="57"/>
    <x v="5"/>
    <x v="3"/>
    <n v="26399"/>
    <n v="55378.03"/>
    <n v="6.7"/>
    <n v="3972.5"/>
    <n v="0.316"/>
    <n v="7"/>
  </r>
  <r>
    <x v="57"/>
    <x v="6"/>
    <x v="13"/>
    <n v="32082"/>
    <n v="69486.31"/>
    <n v="6.37"/>
    <n v="5087.1000000000004"/>
    <n v="0.36399999999999999"/>
    <n v="6.7"/>
  </r>
  <r>
    <x v="57"/>
    <x v="7"/>
    <x v="6"/>
    <n v="33048"/>
    <n v="72172.92"/>
    <n v="6.64"/>
    <n v="5054.7"/>
    <n v="0.47599999999999998"/>
    <n v="7.3"/>
  </r>
  <r>
    <x v="57"/>
    <x v="8"/>
    <x v="6"/>
    <n v="23758"/>
    <n v="53557.72"/>
    <n v="6.66"/>
    <n v="3567.9"/>
    <n v="0.23799999999999999"/>
    <n v="7.1"/>
  </r>
  <r>
    <x v="57"/>
    <x v="9"/>
    <x v="6"/>
    <n v="27218"/>
    <n v="53982.52"/>
    <n v="6.37"/>
    <n v="4369.8"/>
    <n v="0.38100000000000001"/>
    <n v="6.2"/>
  </r>
  <r>
    <x v="57"/>
    <x v="10"/>
    <x v="8"/>
    <n v="22267"/>
    <n v="48898.9"/>
    <n v="6.71"/>
    <n v="3352.1"/>
    <n v="0.56200000000000006"/>
    <n v="7.3"/>
  </r>
  <r>
    <x v="57"/>
    <x v="11"/>
    <x v="14"/>
    <n v="22234"/>
    <n v="50172.03"/>
    <n v="6.5"/>
    <n v="3388.3"/>
    <n v="0.33300000000000002"/>
    <n v="7.4"/>
  </r>
  <r>
    <x v="57"/>
    <x v="12"/>
    <x v="11"/>
    <n v="33439"/>
    <n v="75137.78"/>
    <n v="6.55"/>
    <n v="5215.5"/>
    <n v="0.45800000000000002"/>
    <n v="8.1999999999999993"/>
  </r>
  <r>
    <x v="57"/>
    <x v="13"/>
    <x v="21"/>
    <n v="14127"/>
    <n v="29781.9"/>
    <n v="6.25"/>
    <n v="2306.6"/>
    <n v="0.54500000000000004"/>
    <n v="8.9"/>
  </r>
  <r>
    <x v="57"/>
    <x v="14"/>
    <x v="8"/>
    <n v="18486"/>
    <n v="38999.339999999997"/>
    <n v="6.01"/>
    <n v="3079.3"/>
    <n v="0.375"/>
    <n v="6.8"/>
  </r>
  <r>
    <x v="57"/>
    <x v="15"/>
    <x v="8"/>
    <n v="22836"/>
    <n v="50021.34"/>
    <n v="6.32"/>
    <n v="3732.5"/>
    <n v="0.5"/>
    <n v="7.2"/>
  </r>
  <r>
    <x v="57"/>
    <x v="16"/>
    <x v="8"/>
    <n v="21906"/>
    <n v="46902.61"/>
    <n v="6.54"/>
    <n v="3409.5"/>
    <n v="0.375"/>
    <n v="7.4"/>
  </r>
  <r>
    <x v="57"/>
    <x v="17"/>
    <x v="3"/>
    <n v="24253"/>
    <n v="53387.93"/>
    <n v="6.54"/>
    <n v="3690.7"/>
    <n v="0.36799999999999999"/>
    <n v="6.6"/>
  </r>
  <r>
    <x v="57"/>
    <x v="18"/>
    <x v="15"/>
    <n v="32080"/>
    <n v="71312.289999999994"/>
    <n v="6.6"/>
    <n v="4968.8"/>
    <n v="0.435"/>
    <n v="7.2"/>
  </r>
  <r>
    <x v="57"/>
    <x v="19"/>
    <x v="8"/>
    <n v="23714"/>
    <n v="48893.49"/>
    <n v="6.64"/>
    <n v="3710.6"/>
    <n v="0.56200000000000006"/>
    <n v="7.8"/>
  </r>
  <r>
    <x v="57"/>
    <x v="20"/>
    <x v="12"/>
    <n v="24929"/>
    <n v="52148.95"/>
    <n v="6.49"/>
    <n v="4007.4"/>
    <n v="0.44400000000000001"/>
    <n v="7.2"/>
  </r>
  <r>
    <x v="57"/>
    <x v="21"/>
    <x v="17"/>
    <n v="28010"/>
    <n v="58870.84"/>
    <n v="6.46"/>
    <n v="4349.6000000000004"/>
    <n v="0.52"/>
    <n v="7.3"/>
  </r>
  <r>
    <x v="57"/>
    <x v="22"/>
    <x v="6"/>
    <n v="26932"/>
    <n v="56799.47"/>
    <n v="6.44"/>
    <n v="4138.2"/>
    <n v="0.28599999999999998"/>
    <n v="6.8"/>
  </r>
  <r>
    <x v="57"/>
    <x v="23"/>
    <x v="6"/>
    <n v="34131"/>
    <n v="77129.61"/>
    <n v="6.52"/>
    <n v="5282.5"/>
    <n v="0.42899999999999999"/>
    <n v="6.9"/>
  </r>
  <r>
    <x v="57"/>
    <x v="24"/>
    <x v="12"/>
    <n v="29509"/>
    <n v="60961.48"/>
    <n v="6.46"/>
    <n v="4588.8999999999996"/>
    <n v="0.38900000000000001"/>
    <n v="8.5"/>
  </r>
  <r>
    <x v="57"/>
    <x v="25"/>
    <x v="5"/>
    <n v="20261"/>
    <n v="40156.230000000003"/>
    <n v="6.47"/>
    <n v="3146.2"/>
    <n v="0.38500000000000001"/>
    <n v="7.4"/>
  </r>
  <r>
    <x v="57"/>
    <x v="26"/>
    <x v="6"/>
    <n v="32610"/>
    <n v="68097.86"/>
    <n v="6.66"/>
    <n v="4918.7"/>
    <n v="0.38100000000000001"/>
    <n v="6.8"/>
  </r>
  <r>
    <x v="57"/>
    <x v="27"/>
    <x v="3"/>
    <n v="26385"/>
    <n v="53857.599999999999"/>
    <n v="6.38"/>
    <n v="4215.8999999999996"/>
    <n v="0.52600000000000002"/>
    <n v="7.2"/>
  </r>
  <r>
    <x v="57"/>
    <x v="28"/>
    <x v="0"/>
    <n v="33357"/>
    <n v="74731.759999999995"/>
    <n v="6.47"/>
    <n v="5161.3999999999996"/>
    <n v="0.38500000000000001"/>
    <n v="6.5"/>
  </r>
  <r>
    <x v="57"/>
    <x v="29"/>
    <x v="6"/>
    <n v="32035"/>
    <n v="66873.88"/>
    <n v="6.35"/>
    <n v="5152.3"/>
    <n v="0.52400000000000002"/>
    <n v="6.6"/>
  </r>
  <r>
    <x v="57"/>
    <x v="30"/>
    <x v="9"/>
    <n v="27522"/>
    <n v="62162.9"/>
    <n v="6.63"/>
    <n v="4111.8"/>
    <n v="0.58799999999999997"/>
    <n v="6.9"/>
  </r>
  <r>
    <x v="57"/>
    <x v="31"/>
    <x v="4"/>
    <n v="25760"/>
    <n v="54153.59"/>
    <n v="6.49"/>
    <n v="4029.4"/>
    <n v="0.5"/>
    <n v="5.3"/>
  </r>
  <r>
    <x v="57"/>
    <x v="32"/>
    <x v="3"/>
    <n v="29424"/>
    <n v="63786.06"/>
    <n v="6.51"/>
    <n v="4596.7"/>
    <n v="0.316"/>
    <n v="7.3"/>
  </r>
  <r>
    <x v="57"/>
    <x v="33"/>
    <x v="4"/>
    <n v="19220"/>
    <n v="42517.95"/>
    <n v="6.52"/>
    <n v="2993.1"/>
    <n v="0.57099999999999995"/>
    <n v="6.2"/>
  </r>
  <r>
    <x v="57"/>
    <x v="34"/>
    <x v="5"/>
    <n v="24389"/>
    <n v="47951.61"/>
    <n v="6.35"/>
    <n v="3828.1"/>
    <n v="0.53800000000000003"/>
    <n v="7.3"/>
  </r>
  <r>
    <x v="57"/>
    <x v="35"/>
    <x v="13"/>
    <n v="31774"/>
    <n v="63501.72"/>
    <n v="6.39"/>
    <n v="4999.2"/>
    <n v="0.54500000000000004"/>
    <n v="6.8"/>
  </r>
  <r>
    <x v="58"/>
    <x v="0"/>
    <x v="12"/>
    <n v="32764"/>
    <n v="72064.539999999994"/>
    <n v="6.45"/>
    <n v="5179.6000000000004"/>
    <n v="0.44400000000000001"/>
    <n v="6.4"/>
  </r>
  <r>
    <x v="58"/>
    <x v="1"/>
    <x v="12"/>
    <n v="26932"/>
    <n v="55168.06"/>
    <n v="6.66"/>
    <n v="4172.3"/>
    <n v="0.55600000000000005"/>
    <n v="6.9"/>
  </r>
  <r>
    <x v="58"/>
    <x v="2"/>
    <x v="12"/>
    <n v="27076"/>
    <n v="60502.95"/>
    <n v="6.46"/>
    <n v="4206.8999999999996"/>
    <n v="0.55600000000000005"/>
    <n v="6.8"/>
  </r>
  <r>
    <x v="58"/>
    <x v="3"/>
    <x v="2"/>
    <n v="24481"/>
    <n v="56436.4"/>
    <n v="6.38"/>
    <n v="3801.5"/>
    <n v="0.3"/>
    <n v="7.1"/>
  </r>
  <r>
    <x v="58"/>
    <x v="4"/>
    <x v="6"/>
    <n v="31547"/>
    <n v="70449.070000000007"/>
    <n v="6.26"/>
    <n v="5114.6000000000004"/>
    <n v="0.42899999999999999"/>
    <n v="7.5"/>
  </r>
  <r>
    <x v="58"/>
    <x v="5"/>
    <x v="10"/>
    <n v="40396"/>
    <n v="82901.72"/>
    <n v="6.66"/>
    <n v="6169.7"/>
    <n v="0.48099999999999998"/>
    <n v="6.4"/>
  </r>
  <r>
    <x v="58"/>
    <x v="6"/>
    <x v="9"/>
    <n v="23822"/>
    <n v="48181.85"/>
    <n v="6.19"/>
    <n v="3854.7"/>
    <n v="0.41199999999999998"/>
    <n v="5.7"/>
  </r>
  <r>
    <x v="58"/>
    <x v="7"/>
    <x v="13"/>
    <n v="38550"/>
    <n v="76538.600000000006"/>
    <n v="6.52"/>
    <n v="5991.9"/>
    <n v="0.45500000000000002"/>
    <n v="6.7"/>
  </r>
  <r>
    <x v="58"/>
    <x v="8"/>
    <x v="5"/>
    <n v="21845"/>
    <n v="45525.33"/>
    <n v="6.34"/>
    <n v="3410.4"/>
    <n v="0.23100000000000001"/>
    <n v="7.3"/>
  </r>
  <r>
    <x v="58"/>
    <x v="9"/>
    <x v="8"/>
    <n v="23879"/>
    <n v="49240.69"/>
    <n v="6.37"/>
    <n v="3712.2"/>
    <n v="0.68799999999999994"/>
    <n v="6.9"/>
  </r>
  <r>
    <x v="58"/>
    <x v="10"/>
    <x v="7"/>
    <n v="20297"/>
    <n v="43669.07"/>
    <n v="6.48"/>
    <n v="3139.1"/>
    <n v="0.25"/>
    <n v="7.2"/>
  </r>
  <r>
    <x v="58"/>
    <x v="11"/>
    <x v="11"/>
    <n v="35650"/>
    <n v="74290.42"/>
    <n v="6.57"/>
    <n v="5436.4"/>
    <n v="0.25"/>
    <n v="6.1"/>
  </r>
  <r>
    <x v="58"/>
    <x v="12"/>
    <x v="15"/>
    <n v="29420"/>
    <n v="57669.24"/>
    <n v="6.4"/>
    <n v="4564.3999999999996"/>
    <n v="0.52200000000000002"/>
    <n v="7.5"/>
  </r>
  <r>
    <x v="58"/>
    <x v="13"/>
    <x v="21"/>
    <n v="15520"/>
    <n v="33703.58"/>
    <n v="6.66"/>
    <n v="2380.8000000000002"/>
    <n v="0.45500000000000002"/>
    <n v="8.4"/>
  </r>
  <r>
    <x v="58"/>
    <x v="14"/>
    <x v="15"/>
    <n v="29470"/>
    <n v="65363.199999999997"/>
    <n v="6.76"/>
    <n v="4403"/>
    <n v="0.47799999999999998"/>
    <n v="6.4"/>
  </r>
  <r>
    <x v="58"/>
    <x v="15"/>
    <x v="2"/>
    <n v="31595"/>
    <n v="74570.11"/>
    <n v="6.45"/>
    <n v="4885.1000000000004"/>
    <n v="0.3"/>
    <n v="6.6"/>
  </r>
  <r>
    <x v="58"/>
    <x v="16"/>
    <x v="3"/>
    <n v="23996"/>
    <n v="46134.82"/>
    <n v="6.4"/>
    <n v="3834.2"/>
    <n v="0.316"/>
    <n v="7.2"/>
  </r>
  <r>
    <x v="58"/>
    <x v="17"/>
    <x v="3"/>
    <n v="31446"/>
    <n v="67736.56"/>
    <n v="6.48"/>
    <n v="4886.7"/>
    <n v="0.42099999999999999"/>
    <n v="5.8"/>
  </r>
  <r>
    <x v="58"/>
    <x v="18"/>
    <x v="7"/>
    <n v="19455"/>
    <n v="43572.75"/>
    <n v="6.75"/>
    <n v="2954.6"/>
    <n v="0.16700000000000001"/>
    <n v="7.8"/>
  </r>
  <r>
    <x v="58"/>
    <x v="19"/>
    <x v="12"/>
    <n v="25349"/>
    <n v="51244.78"/>
    <n v="6.74"/>
    <n v="3848.9"/>
    <n v="0.44400000000000001"/>
    <n v="7.3"/>
  </r>
  <r>
    <x v="58"/>
    <x v="20"/>
    <x v="12"/>
    <n v="26567"/>
    <n v="54075.95"/>
    <n v="6.44"/>
    <n v="4158.5"/>
    <n v="0.44400000000000001"/>
    <n v="6.6"/>
  </r>
  <r>
    <x v="58"/>
    <x v="21"/>
    <x v="8"/>
    <n v="24621"/>
    <n v="53819.28"/>
    <n v="6.41"/>
    <n v="3896.8"/>
    <n v="0.5"/>
    <n v="8.1"/>
  </r>
  <r>
    <x v="58"/>
    <x v="22"/>
    <x v="22"/>
    <n v="40048"/>
    <n v="76454.3"/>
    <n v="6.22"/>
    <n v="6495.5"/>
    <n v="0.25"/>
    <n v="6.7"/>
  </r>
  <r>
    <x v="58"/>
    <x v="23"/>
    <x v="1"/>
    <n v="9007"/>
    <n v="17882.46"/>
    <n v="6.35"/>
    <n v="1403.4"/>
    <n v="0.55600000000000005"/>
    <n v="8.4"/>
  </r>
  <r>
    <x v="58"/>
    <x v="24"/>
    <x v="13"/>
    <n v="27744"/>
    <n v="57924.11"/>
    <n v="6.31"/>
    <n v="4455.1000000000004"/>
    <n v="0.27300000000000002"/>
    <n v="8"/>
  </r>
  <r>
    <x v="58"/>
    <x v="25"/>
    <x v="21"/>
    <n v="20084"/>
    <n v="38114.99"/>
    <n v="6.74"/>
    <n v="2981.7"/>
    <n v="0.54500000000000004"/>
    <n v="6.8"/>
  </r>
  <r>
    <x v="58"/>
    <x v="26"/>
    <x v="2"/>
    <n v="23257"/>
    <n v="48547.75"/>
    <n v="6.5"/>
    <n v="3565.5"/>
    <n v="0.4"/>
    <n v="7.4"/>
  </r>
  <r>
    <x v="58"/>
    <x v="27"/>
    <x v="12"/>
    <n v="24811"/>
    <n v="50910.8"/>
    <n v="6.67"/>
    <n v="3852.4"/>
    <n v="0.38900000000000001"/>
    <n v="6.9"/>
  </r>
  <r>
    <x v="58"/>
    <x v="28"/>
    <x v="14"/>
    <n v="23069"/>
    <n v="47569.53"/>
    <n v="6.2"/>
    <n v="3819.7"/>
    <n v="0.46700000000000003"/>
    <n v="6.5"/>
  </r>
  <r>
    <x v="58"/>
    <x v="29"/>
    <x v="14"/>
    <n v="23654"/>
    <n v="49592.56"/>
    <n v="6.58"/>
    <n v="3611.9"/>
    <n v="0.53300000000000003"/>
    <n v="7.5"/>
  </r>
  <r>
    <x v="58"/>
    <x v="30"/>
    <x v="15"/>
    <n v="27489"/>
    <n v="57566.45"/>
    <n v="6.56"/>
    <n v="4199.5"/>
    <n v="0.34799999999999998"/>
    <n v="7.6"/>
  </r>
  <r>
    <x v="58"/>
    <x v="31"/>
    <x v="1"/>
    <n v="13494"/>
    <n v="27260.11"/>
    <n v="6.92"/>
    <n v="1943.6"/>
    <n v="0.66700000000000004"/>
    <n v="7.5"/>
  </r>
  <r>
    <x v="58"/>
    <x v="32"/>
    <x v="8"/>
    <n v="23300"/>
    <n v="47171.05"/>
    <n v="6.3"/>
    <n v="3666.3"/>
    <n v="0.56200000000000006"/>
    <n v="7.9"/>
  </r>
  <r>
    <x v="58"/>
    <x v="33"/>
    <x v="2"/>
    <n v="25539"/>
    <n v="58958.95"/>
    <n v="6.55"/>
    <n v="3978.9"/>
    <n v="0.4"/>
    <n v="7.7"/>
  </r>
  <r>
    <x v="58"/>
    <x v="34"/>
    <x v="12"/>
    <n v="26387"/>
    <n v="56098.45"/>
    <n v="6.71"/>
    <n v="3928.1"/>
    <n v="0.33300000000000002"/>
    <n v="6"/>
  </r>
  <r>
    <x v="58"/>
    <x v="35"/>
    <x v="13"/>
    <n v="36899"/>
    <n v="81692.759999999995"/>
    <n v="6.35"/>
    <n v="5886.4"/>
    <n v="0.13600000000000001"/>
    <n v="6.3"/>
  </r>
  <r>
    <x v="59"/>
    <x v="0"/>
    <x v="23"/>
    <n v="40233"/>
    <n v="86000.33"/>
    <n v="6.62"/>
    <n v="6134.7"/>
    <n v="0.433"/>
    <n v="5.8"/>
  </r>
  <r>
    <x v="59"/>
    <x v="1"/>
    <x v="17"/>
    <n v="31292"/>
    <n v="64480.37"/>
    <n v="6.4"/>
    <n v="4928"/>
    <n v="0.52"/>
    <n v="6.8"/>
  </r>
  <r>
    <x v="59"/>
    <x v="2"/>
    <x v="13"/>
    <n v="43871"/>
    <n v="99531.01"/>
    <n v="6.49"/>
    <n v="6804.6"/>
    <n v="0.40899999999999997"/>
    <n v="6.4"/>
  </r>
  <r>
    <x v="59"/>
    <x v="3"/>
    <x v="21"/>
    <n v="15890"/>
    <n v="31973.96"/>
    <n v="6.52"/>
    <n v="2394.9"/>
    <n v="0.36399999999999999"/>
    <n v="9.1999999999999993"/>
  </r>
  <r>
    <x v="59"/>
    <x v="4"/>
    <x v="3"/>
    <n v="29089"/>
    <n v="66240.63"/>
    <n v="6.52"/>
    <n v="4454.7"/>
    <n v="0.26300000000000001"/>
    <n v="6.3"/>
  </r>
  <r>
    <x v="59"/>
    <x v="5"/>
    <x v="4"/>
    <n v="19019"/>
    <n v="38739.89"/>
    <n v="6.43"/>
    <n v="2985.2"/>
    <n v="0.64300000000000002"/>
    <n v="8"/>
  </r>
  <r>
    <x v="59"/>
    <x v="6"/>
    <x v="9"/>
    <n v="15201"/>
    <n v="30690.51"/>
    <n v="6.85"/>
    <n v="2287.4"/>
    <n v="0.47099999999999997"/>
    <n v="6.4"/>
  </r>
  <r>
    <x v="59"/>
    <x v="7"/>
    <x v="11"/>
    <n v="35791"/>
    <n v="79985.55"/>
    <n v="6.61"/>
    <n v="5426.4"/>
    <n v="0.33300000000000002"/>
    <n v="6.7"/>
  </r>
  <r>
    <x v="59"/>
    <x v="8"/>
    <x v="12"/>
    <n v="22899"/>
    <n v="51631.61"/>
    <n v="6.38"/>
    <n v="3644.8"/>
    <n v="0.61099999999999999"/>
    <n v="7.1"/>
  </r>
  <r>
    <x v="59"/>
    <x v="9"/>
    <x v="12"/>
    <n v="24671"/>
    <n v="49533.08"/>
    <n v="6.37"/>
    <n v="3848.7"/>
    <n v="0.44400000000000001"/>
    <n v="6.3"/>
  </r>
  <r>
    <x v="59"/>
    <x v="10"/>
    <x v="2"/>
    <n v="25720"/>
    <n v="56783.57"/>
    <n v="6.37"/>
    <n v="4077.2"/>
    <n v="0.25"/>
    <n v="8.1999999999999993"/>
  </r>
  <r>
    <x v="59"/>
    <x v="11"/>
    <x v="8"/>
    <n v="20755"/>
    <n v="43830.8"/>
    <n v="6.46"/>
    <n v="3223.6"/>
    <n v="0.438"/>
    <n v="7.4"/>
  </r>
  <r>
    <x v="59"/>
    <x v="12"/>
    <x v="19"/>
    <n v="13082"/>
    <n v="29040.92"/>
    <n v="6.46"/>
    <n v="2101.1"/>
    <n v="0.4"/>
    <n v="6.3"/>
  </r>
  <r>
    <x v="59"/>
    <x v="13"/>
    <x v="8"/>
    <n v="29741"/>
    <n v="66840.72"/>
    <n v="6.48"/>
    <n v="4679.5"/>
    <n v="0.5"/>
    <n v="7.8"/>
  </r>
  <r>
    <x v="59"/>
    <x v="14"/>
    <x v="0"/>
    <n v="33942"/>
    <n v="64227.3"/>
    <n v="6.53"/>
    <n v="5216.8999999999996"/>
    <n v="0.53800000000000003"/>
    <n v="6.5"/>
  </r>
  <r>
    <x v="59"/>
    <x v="15"/>
    <x v="7"/>
    <n v="17068"/>
    <n v="37510.769999999997"/>
    <n v="6.01"/>
    <n v="2865.3"/>
    <n v="0.33300000000000002"/>
    <n v="7.6"/>
  </r>
  <r>
    <x v="59"/>
    <x v="16"/>
    <x v="6"/>
    <n v="25648"/>
    <n v="57655.15"/>
    <n v="6.43"/>
    <n v="4019.7"/>
    <n v="0.57099999999999995"/>
    <n v="7.2"/>
  </r>
  <r>
    <x v="59"/>
    <x v="17"/>
    <x v="9"/>
    <n v="25009"/>
    <n v="57307.02"/>
    <n v="6.39"/>
    <n v="3889.1"/>
    <n v="0.47099999999999997"/>
    <n v="6.9"/>
  </r>
  <r>
    <x v="59"/>
    <x v="18"/>
    <x v="13"/>
    <n v="27728"/>
    <n v="58547.63"/>
    <n v="6.49"/>
    <n v="4265.5"/>
    <n v="0.27300000000000002"/>
    <n v="6.8"/>
  </r>
  <r>
    <x v="59"/>
    <x v="19"/>
    <x v="4"/>
    <n v="21907"/>
    <n v="41550.11"/>
    <n v="6.53"/>
    <n v="3363.6"/>
    <n v="0.42899999999999999"/>
    <n v="7"/>
  </r>
  <r>
    <x v="59"/>
    <x v="20"/>
    <x v="13"/>
    <n v="29107"/>
    <n v="60220.17"/>
    <n v="6.47"/>
    <n v="4507.3"/>
    <n v="0.40899999999999997"/>
    <n v="7.1"/>
  </r>
  <r>
    <x v="59"/>
    <x v="21"/>
    <x v="6"/>
    <n v="32769"/>
    <n v="70179.960000000006"/>
    <n v="6.44"/>
    <n v="5204.8"/>
    <n v="0.38100000000000001"/>
    <n v="7.5"/>
  </r>
  <r>
    <x v="59"/>
    <x v="22"/>
    <x v="23"/>
    <n v="36300"/>
    <n v="76614.2"/>
    <n v="6.46"/>
    <n v="5683.4"/>
    <n v="0.36699999999999999"/>
    <n v="6.8"/>
  </r>
  <r>
    <x v="59"/>
    <x v="23"/>
    <x v="21"/>
    <n v="17800"/>
    <n v="37124.49"/>
    <n v="6.38"/>
    <n v="2900.1"/>
    <n v="0.182"/>
    <n v="6.7"/>
  </r>
  <r>
    <x v="59"/>
    <x v="24"/>
    <x v="21"/>
    <n v="14486"/>
    <n v="30679.55"/>
    <n v="6.46"/>
    <n v="2232.5"/>
    <n v="0.45500000000000002"/>
    <n v="7.2"/>
  </r>
  <r>
    <x v="59"/>
    <x v="25"/>
    <x v="4"/>
    <n v="20566"/>
    <n v="42366.82"/>
    <n v="6.28"/>
    <n v="3260.1"/>
    <n v="0.35699999999999998"/>
    <n v="6.9"/>
  </r>
  <r>
    <x v="59"/>
    <x v="26"/>
    <x v="3"/>
    <n v="28206"/>
    <n v="63550.09"/>
    <n v="6.36"/>
    <n v="4480.8"/>
    <n v="0.52600000000000002"/>
    <n v="7.5"/>
  </r>
  <r>
    <x v="59"/>
    <x v="27"/>
    <x v="12"/>
    <n v="23013"/>
    <n v="49630.28"/>
    <n v="6.63"/>
    <n v="3490.3"/>
    <n v="0.16700000000000001"/>
    <n v="6.9"/>
  </r>
  <r>
    <x v="59"/>
    <x v="28"/>
    <x v="4"/>
    <n v="20044"/>
    <n v="43573.760000000002"/>
    <n v="6.73"/>
    <n v="2972.2"/>
    <n v="0.214"/>
    <n v="7"/>
  </r>
  <r>
    <x v="59"/>
    <x v="29"/>
    <x v="7"/>
    <n v="17328"/>
    <n v="39215.550000000003"/>
    <n v="6.6"/>
    <n v="2667.6"/>
    <n v="0.41699999999999998"/>
    <n v="8.3000000000000007"/>
  </r>
  <r>
    <x v="59"/>
    <x v="30"/>
    <x v="8"/>
    <n v="22212"/>
    <n v="48373.85"/>
    <n v="6.68"/>
    <n v="3357.6"/>
    <n v="0.438"/>
    <n v="8.1"/>
  </r>
  <r>
    <x v="59"/>
    <x v="31"/>
    <x v="9"/>
    <n v="17399"/>
    <n v="39598.410000000003"/>
    <n v="6.45"/>
    <n v="2716.9"/>
    <n v="0.17599999999999999"/>
    <n v="7.9"/>
  </r>
  <r>
    <x v="59"/>
    <x v="32"/>
    <x v="19"/>
    <n v="14499"/>
    <n v="33954.980000000003"/>
    <n v="6.67"/>
    <n v="2205.1"/>
    <n v="0"/>
    <n v="7.2"/>
  </r>
  <r>
    <x v="59"/>
    <x v="33"/>
    <x v="14"/>
    <n v="19385"/>
    <n v="41802.15"/>
    <n v="6.41"/>
    <n v="2977"/>
    <n v="0.33300000000000002"/>
    <n v="6.9"/>
  </r>
  <r>
    <x v="59"/>
    <x v="34"/>
    <x v="5"/>
    <n v="21119"/>
    <n v="48914.52"/>
    <n v="6.56"/>
    <n v="3163.7"/>
    <n v="0.53800000000000003"/>
    <n v="5.7"/>
  </r>
  <r>
    <x v="59"/>
    <x v="35"/>
    <x v="9"/>
    <n v="28512"/>
    <n v="60961.71"/>
    <n v="6.35"/>
    <n v="4439.5"/>
    <n v="0.47099999999999997"/>
    <n v="6.4"/>
  </r>
  <r>
    <x v="60"/>
    <x v="0"/>
    <x v="10"/>
    <n v="33789"/>
    <n v="70345.25"/>
    <n v="6.56"/>
    <n v="5347.9"/>
    <n v="0.59299999999999997"/>
    <n v="6.1"/>
  </r>
  <r>
    <x v="60"/>
    <x v="1"/>
    <x v="7"/>
    <n v="14035"/>
    <n v="28152.99"/>
    <n v="6.49"/>
    <n v="2190"/>
    <n v="0.58299999999999996"/>
    <n v="7.1"/>
  </r>
  <r>
    <x v="60"/>
    <x v="2"/>
    <x v="2"/>
    <n v="32324"/>
    <n v="69785.649999999994"/>
    <n v="6.44"/>
    <n v="5093"/>
    <n v="0.4"/>
    <n v="6.8"/>
  </r>
  <r>
    <x v="60"/>
    <x v="3"/>
    <x v="3"/>
    <n v="21085"/>
    <n v="46723.88"/>
    <n v="6.29"/>
    <n v="3357.6"/>
    <n v="0.42099999999999999"/>
    <n v="8"/>
  </r>
  <r>
    <x v="60"/>
    <x v="4"/>
    <x v="17"/>
    <n v="42989"/>
    <n v="84003.03"/>
    <n v="6.48"/>
    <n v="6747.3"/>
    <n v="0.36"/>
    <n v="7.4"/>
  </r>
  <r>
    <x v="60"/>
    <x v="5"/>
    <x v="2"/>
    <n v="26140"/>
    <n v="52192.63"/>
    <n v="6.6"/>
    <n v="4004.2"/>
    <n v="0.45"/>
    <n v="6.4"/>
  </r>
  <r>
    <x v="60"/>
    <x v="6"/>
    <x v="8"/>
    <n v="19481"/>
    <n v="43302.49"/>
    <n v="6.69"/>
    <n v="2921.9"/>
    <n v="0.5"/>
    <n v="8.1"/>
  </r>
  <r>
    <x v="60"/>
    <x v="7"/>
    <x v="14"/>
    <n v="30238"/>
    <n v="68819.649999999994"/>
    <n v="6.48"/>
    <n v="4711.5"/>
    <n v="0.4"/>
    <n v="6.3"/>
  </r>
  <r>
    <x v="60"/>
    <x v="8"/>
    <x v="7"/>
    <n v="17955"/>
    <n v="39352.980000000003"/>
    <n v="6.44"/>
    <n v="2861.8"/>
    <n v="0.5"/>
    <n v="5.8"/>
  </r>
  <r>
    <x v="60"/>
    <x v="9"/>
    <x v="21"/>
    <n v="19777"/>
    <n v="42070.65"/>
    <n v="6.66"/>
    <n v="2975.5"/>
    <n v="0.45500000000000002"/>
    <n v="8"/>
  </r>
  <r>
    <x v="60"/>
    <x v="10"/>
    <x v="4"/>
    <n v="17428"/>
    <n v="37438.94"/>
    <n v="6.45"/>
    <n v="2674.8"/>
    <n v="0.5"/>
    <n v="6"/>
  </r>
  <r>
    <x v="60"/>
    <x v="11"/>
    <x v="11"/>
    <n v="32634"/>
    <n v="74988.13"/>
    <n v="6.37"/>
    <n v="5189.3"/>
    <n v="0.45800000000000002"/>
    <n v="7.5"/>
  </r>
  <r>
    <x v="60"/>
    <x v="12"/>
    <x v="17"/>
    <n v="34215"/>
    <n v="73436.77"/>
    <n v="6.44"/>
    <n v="5337.9"/>
    <n v="0.6"/>
    <n v="7.2"/>
  </r>
  <r>
    <x v="60"/>
    <x v="13"/>
    <x v="4"/>
    <n v="23614"/>
    <n v="50269.37"/>
    <n v="6.51"/>
    <n v="3682.1"/>
    <n v="0.5"/>
    <n v="8.6999999999999993"/>
  </r>
  <r>
    <x v="60"/>
    <x v="14"/>
    <x v="3"/>
    <n v="32558"/>
    <n v="72962.38"/>
    <n v="6.24"/>
    <n v="5124"/>
    <n v="0.316"/>
    <n v="7"/>
  </r>
  <r>
    <x v="60"/>
    <x v="15"/>
    <x v="12"/>
    <n v="26960"/>
    <n v="57155.15"/>
    <n v="6.41"/>
    <n v="4192.5"/>
    <n v="0.33300000000000002"/>
    <n v="5.6"/>
  </r>
  <r>
    <x v="60"/>
    <x v="16"/>
    <x v="1"/>
    <n v="16151"/>
    <n v="35596.769999999997"/>
    <n v="6.5"/>
    <n v="2477.1"/>
    <n v="0.77800000000000002"/>
    <n v="8.3000000000000007"/>
  </r>
  <r>
    <x v="60"/>
    <x v="17"/>
    <x v="14"/>
    <n v="28660"/>
    <n v="62072.38"/>
    <n v="6.7"/>
    <n v="4313.5"/>
    <n v="0.46700000000000003"/>
    <n v="6.8"/>
  </r>
  <r>
    <x v="60"/>
    <x v="18"/>
    <x v="4"/>
    <n v="15999"/>
    <n v="39023.49"/>
    <n v="6.62"/>
    <n v="2401.5"/>
    <n v="0.28599999999999998"/>
    <n v="6.2"/>
  </r>
  <r>
    <x v="60"/>
    <x v="19"/>
    <x v="14"/>
    <n v="20516"/>
    <n v="41606.160000000003"/>
    <n v="6.48"/>
    <n v="3178.1"/>
    <n v="0.4"/>
    <n v="6.3"/>
  </r>
  <r>
    <x v="60"/>
    <x v="20"/>
    <x v="10"/>
    <n v="36879"/>
    <n v="80016.73"/>
    <n v="6.53"/>
    <n v="5655.1"/>
    <n v="0.29599999999999999"/>
    <n v="7.4"/>
  </r>
  <r>
    <x v="60"/>
    <x v="21"/>
    <x v="5"/>
    <n v="16753"/>
    <n v="38559.68"/>
    <n v="6.45"/>
    <n v="2605.6999999999998"/>
    <n v="0.53800000000000003"/>
    <n v="8"/>
  </r>
  <r>
    <x v="60"/>
    <x v="22"/>
    <x v="3"/>
    <n v="24575"/>
    <n v="54123.1"/>
    <n v="6.55"/>
    <n v="3851.7"/>
    <n v="0.42099999999999999"/>
    <n v="6.5"/>
  </r>
  <r>
    <x v="60"/>
    <x v="23"/>
    <x v="8"/>
    <n v="19839"/>
    <n v="40471.67"/>
    <n v="6.38"/>
    <n v="3105.6"/>
    <n v="0.438"/>
    <n v="7.4"/>
  </r>
  <r>
    <x v="60"/>
    <x v="24"/>
    <x v="9"/>
    <n v="21276"/>
    <n v="46702.78"/>
    <n v="6.37"/>
    <n v="3378.7"/>
    <n v="0.29399999999999998"/>
    <n v="7.3"/>
  </r>
  <r>
    <x v="60"/>
    <x v="25"/>
    <x v="9"/>
    <n v="27654"/>
    <n v="56825.04"/>
    <n v="6.57"/>
    <n v="4158.2"/>
    <n v="0.35299999999999998"/>
    <n v="7.3"/>
  </r>
  <r>
    <x v="60"/>
    <x v="26"/>
    <x v="9"/>
    <n v="22666"/>
    <n v="48448.78"/>
    <n v="6.28"/>
    <n v="3664.7"/>
    <n v="0.52900000000000003"/>
    <n v="8.8000000000000007"/>
  </r>
  <r>
    <x v="60"/>
    <x v="27"/>
    <x v="12"/>
    <n v="20432"/>
    <n v="44096.18"/>
    <n v="6.57"/>
    <n v="3127.6"/>
    <n v="0.33300000000000002"/>
    <n v="7.8"/>
  </r>
  <r>
    <x v="60"/>
    <x v="28"/>
    <x v="3"/>
    <n v="25849"/>
    <n v="57080.59"/>
    <n v="6.62"/>
    <n v="3930.7"/>
    <n v="0.63200000000000001"/>
    <n v="6.2"/>
  </r>
  <r>
    <x v="60"/>
    <x v="29"/>
    <x v="17"/>
    <n v="40618"/>
    <n v="90925.09"/>
    <n v="6.47"/>
    <n v="6333.5"/>
    <n v="0.28000000000000003"/>
    <n v="7.1"/>
  </r>
  <r>
    <x v="60"/>
    <x v="30"/>
    <x v="3"/>
    <n v="23993"/>
    <n v="54231.27"/>
    <n v="6.69"/>
    <n v="3624.6"/>
    <n v="0.63200000000000001"/>
    <n v="8.1999999999999993"/>
  </r>
  <r>
    <x v="60"/>
    <x v="31"/>
    <x v="3"/>
    <n v="26757"/>
    <n v="54554.38"/>
    <n v="6.3"/>
    <n v="4366.8"/>
    <n v="0.42099999999999999"/>
    <n v="7.4"/>
  </r>
  <r>
    <x v="60"/>
    <x v="32"/>
    <x v="13"/>
    <n v="32628"/>
    <n v="69177.289999999994"/>
    <n v="6.68"/>
    <n v="4846.3"/>
    <n v="0.45500000000000002"/>
    <n v="6.1"/>
  </r>
  <r>
    <x v="60"/>
    <x v="33"/>
    <x v="11"/>
    <n v="32880"/>
    <n v="67620.31"/>
    <n v="6.39"/>
    <n v="5145.3"/>
    <n v="0.25"/>
    <n v="7.7"/>
  </r>
  <r>
    <x v="60"/>
    <x v="34"/>
    <x v="8"/>
    <n v="23611"/>
    <n v="47098.68"/>
    <n v="6.58"/>
    <n v="3551.9"/>
    <n v="0.188"/>
    <n v="7.1"/>
  </r>
  <r>
    <x v="60"/>
    <x v="35"/>
    <x v="9"/>
    <n v="23149"/>
    <n v="50444.39"/>
    <n v="6.45"/>
    <n v="3658.8"/>
    <n v="0.35299999999999998"/>
    <n v="7.1"/>
  </r>
  <r>
    <x v="61"/>
    <x v="0"/>
    <x v="15"/>
    <n v="30227"/>
    <n v="65758.28"/>
    <n v="6.66"/>
    <n v="4685.8999999999996"/>
    <n v="0.56499999999999995"/>
    <n v="6.8"/>
  </r>
  <r>
    <x v="61"/>
    <x v="1"/>
    <x v="2"/>
    <n v="27899"/>
    <n v="57386.3"/>
    <n v="6.24"/>
    <n v="4529.1000000000004"/>
    <n v="0.4"/>
    <n v="7"/>
  </r>
  <r>
    <x v="61"/>
    <x v="2"/>
    <x v="3"/>
    <n v="26191"/>
    <n v="55251.199999999997"/>
    <n v="6.69"/>
    <n v="3925.3"/>
    <n v="0.26300000000000001"/>
    <n v="6.9"/>
  </r>
  <r>
    <x v="61"/>
    <x v="3"/>
    <x v="21"/>
    <n v="17566"/>
    <n v="43181.35"/>
    <n v="6.27"/>
    <n v="2822.5"/>
    <n v="0.36399999999999999"/>
    <n v="8.6"/>
  </r>
  <r>
    <x v="61"/>
    <x v="4"/>
    <x v="6"/>
    <n v="25440"/>
    <n v="53610.080000000002"/>
    <n v="6.47"/>
    <n v="4029.8"/>
    <n v="0.42899999999999999"/>
    <n v="7.4"/>
  </r>
  <r>
    <x v="61"/>
    <x v="5"/>
    <x v="11"/>
    <n v="37454"/>
    <n v="77935.600000000006"/>
    <n v="6.5"/>
    <n v="5845.3"/>
    <n v="0.45800000000000002"/>
    <n v="7.6"/>
  </r>
  <r>
    <x v="61"/>
    <x v="6"/>
    <x v="2"/>
    <n v="21150"/>
    <n v="43996.53"/>
    <n v="6.56"/>
    <n v="3266.8"/>
    <n v="0.5"/>
    <n v="7.7"/>
  </r>
  <r>
    <x v="61"/>
    <x v="7"/>
    <x v="5"/>
    <n v="20626"/>
    <n v="45928.01"/>
    <n v="6.51"/>
    <n v="3221.7"/>
    <n v="0.61499999999999999"/>
    <n v="7.1"/>
  </r>
  <r>
    <x v="61"/>
    <x v="8"/>
    <x v="27"/>
    <n v="10886"/>
    <n v="19870.810000000001"/>
    <n v="6.65"/>
    <n v="1670.8"/>
    <n v="0.57099999999999995"/>
    <n v="6.6"/>
  </r>
  <r>
    <x v="61"/>
    <x v="9"/>
    <x v="14"/>
    <n v="22585"/>
    <n v="49311.78"/>
    <n v="6.51"/>
    <n v="3542.4"/>
    <n v="0.46700000000000003"/>
    <n v="6.7"/>
  </r>
  <r>
    <x v="61"/>
    <x v="10"/>
    <x v="17"/>
    <n v="37113"/>
    <n v="80412.210000000006"/>
    <n v="6.45"/>
    <n v="5827.2"/>
    <n v="0.44"/>
    <n v="7"/>
  </r>
  <r>
    <x v="61"/>
    <x v="11"/>
    <x v="9"/>
    <n v="26740"/>
    <n v="59507.71"/>
    <n v="6.51"/>
    <n v="4094.7"/>
    <n v="0.58799999999999997"/>
    <n v="7.3"/>
  </r>
  <r>
    <x v="61"/>
    <x v="12"/>
    <x v="5"/>
    <n v="17132"/>
    <n v="36364.550000000003"/>
    <n v="6.29"/>
    <n v="2722.4"/>
    <n v="0.308"/>
    <n v="7.6"/>
  </r>
  <r>
    <x v="61"/>
    <x v="13"/>
    <x v="5"/>
    <n v="17460"/>
    <n v="37191.46"/>
    <n v="6.24"/>
    <n v="2835.3"/>
    <n v="0.38500000000000001"/>
    <n v="7.1"/>
  </r>
  <r>
    <x v="61"/>
    <x v="14"/>
    <x v="22"/>
    <n v="37817"/>
    <n v="79969.5"/>
    <n v="6.42"/>
    <n v="5843.1"/>
    <n v="0.39300000000000002"/>
    <n v="6.8"/>
  </r>
  <r>
    <x v="61"/>
    <x v="15"/>
    <x v="13"/>
    <n v="33967"/>
    <n v="76120.509999999995"/>
    <n v="6.34"/>
    <n v="5433.3"/>
    <n v="0.59099999999999997"/>
    <n v="7.1"/>
  </r>
  <r>
    <x v="61"/>
    <x v="16"/>
    <x v="3"/>
    <n v="24859"/>
    <n v="53491.96"/>
    <n v="6.52"/>
    <n v="3850.8"/>
    <n v="0.42099999999999999"/>
    <n v="6.7"/>
  </r>
  <r>
    <x v="61"/>
    <x v="17"/>
    <x v="11"/>
    <n v="33925"/>
    <n v="70166.16"/>
    <n v="6.54"/>
    <n v="5129"/>
    <n v="0.33300000000000002"/>
    <n v="6.2"/>
  </r>
  <r>
    <x v="61"/>
    <x v="18"/>
    <x v="8"/>
    <n v="19646"/>
    <n v="39694.300000000003"/>
    <n v="6.57"/>
    <n v="3065.8"/>
    <n v="0.625"/>
    <n v="5.9"/>
  </r>
  <r>
    <x v="61"/>
    <x v="19"/>
    <x v="12"/>
    <n v="24334"/>
    <n v="53122.77"/>
    <n v="6.26"/>
    <n v="3905.1"/>
    <n v="0.33300000000000002"/>
    <n v="6.5"/>
  </r>
  <r>
    <x v="61"/>
    <x v="20"/>
    <x v="28"/>
    <n v="46111"/>
    <n v="101468.67"/>
    <n v="6.47"/>
    <n v="7154.9"/>
    <n v="0.34499999999999997"/>
    <n v="6"/>
  </r>
  <r>
    <x v="61"/>
    <x v="21"/>
    <x v="5"/>
    <n v="21709"/>
    <n v="51215.360000000001"/>
    <n v="6.73"/>
    <n v="3248.1"/>
    <n v="0.46200000000000002"/>
    <n v="6.6"/>
  </r>
  <r>
    <x v="61"/>
    <x v="22"/>
    <x v="4"/>
    <n v="17909"/>
    <n v="41461.93"/>
    <n v="6.48"/>
    <n v="2777.6"/>
    <n v="0.214"/>
    <n v="5.6"/>
  </r>
  <r>
    <x v="61"/>
    <x v="23"/>
    <x v="6"/>
    <n v="29650"/>
    <n v="68148.149999999994"/>
    <n v="6.49"/>
    <n v="4581.5"/>
    <n v="0.47599999999999998"/>
    <n v="8.6"/>
  </r>
  <r>
    <x v="61"/>
    <x v="24"/>
    <x v="8"/>
    <n v="26289"/>
    <n v="56529.37"/>
    <n v="6.42"/>
    <n v="4128"/>
    <n v="0.375"/>
    <n v="6"/>
  </r>
  <r>
    <x v="61"/>
    <x v="25"/>
    <x v="5"/>
    <n v="17598"/>
    <n v="40355.1"/>
    <n v="6.41"/>
    <n v="2774.2"/>
    <n v="0.46200000000000002"/>
    <n v="6.6"/>
  </r>
  <r>
    <x v="61"/>
    <x v="26"/>
    <x v="3"/>
    <n v="24319"/>
    <n v="57522.85"/>
    <n v="6.5"/>
    <n v="3736.6"/>
    <n v="0.47399999999999998"/>
    <n v="6.6"/>
  </r>
  <r>
    <x v="61"/>
    <x v="27"/>
    <x v="4"/>
    <n v="24100"/>
    <n v="49602.7"/>
    <n v="6.5"/>
    <n v="3781.5"/>
    <n v="0.5"/>
    <n v="7"/>
  </r>
  <r>
    <x v="61"/>
    <x v="28"/>
    <x v="5"/>
    <n v="14620"/>
    <n v="32000.86"/>
    <n v="6.65"/>
    <n v="2279.1"/>
    <n v="0.46200000000000002"/>
    <n v="6.4"/>
  </r>
  <r>
    <x v="61"/>
    <x v="29"/>
    <x v="13"/>
    <n v="27738"/>
    <n v="57504.24"/>
    <n v="6.7"/>
    <n v="4104.3999999999996"/>
    <n v="0.36399999999999999"/>
    <n v="7"/>
  </r>
  <r>
    <x v="61"/>
    <x v="30"/>
    <x v="8"/>
    <n v="24181"/>
    <n v="50608.34"/>
    <n v="6.7"/>
    <n v="3584.7"/>
    <n v="0.68799999999999994"/>
    <n v="5.2"/>
  </r>
  <r>
    <x v="61"/>
    <x v="31"/>
    <x v="6"/>
    <n v="22135"/>
    <n v="49628.89"/>
    <n v="6.39"/>
    <n v="3625"/>
    <n v="0.42899999999999999"/>
    <n v="7.3"/>
  </r>
  <r>
    <x v="61"/>
    <x v="32"/>
    <x v="6"/>
    <n v="32165"/>
    <n v="69314.39"/>
    <n v="6.6"/>
    <n v="4993.3999999999996"/>
    <n v="0.57099999999999995"/>
    <n v="7.2"/>
  </r>
  <r>
    <x v="61"/>
    <x v="33"/>
    <x v="4"/>
    <n v="18637"/>
    <n v="40156.82"/>
    <n v="6.57"/>
    <n v="2839"/>
    <n v="0.28599999999999998"/>
    <n v="6.7"/>
  </r>
  <r>
    <x v="61"/>
    <x v="34"/>
    <x v="9"/>
    <n v="22023"/>
    <n v="44376.07"/>
    <n v="6.63"/>
    <n v="3338.9"/>
    <n v="0.41199999999999998"/>
    <n v="5.5"/>
  </r>
  <r>
    <x v="61"/>
    <x v="35"/>
    <x v="8"/>
    <n v="19110"/>
    <n v="41704.94"/>
    <n v="6.29"/>
    <n v="3055.5"/>
    <n v="0.438"/>
    <n v="7"/>
  </r>
  <r>
    <x v="62"/>
    <x v="0"/>
    <x v="5"/>
    <n v="20829"/>
    <n v="42304.21"/>
    <n v="6.42"/>
    <n v="3297.1"/>
    <n v="0.46200000000000002"/>
    <n v="7"/>
  </r>
  <r>
    <x v="62"/>
    <x v="1"/>
    <x v="2"/>
    <n v="25521"/>
    <n v="55998.67"/>
    <n v="6.68"/>
    <n v="3889"/>
    <n v="0.35"/>
    <n v="7.4"/>
  </r>
  <r>
    <x v="62"/>
    <x v="2"/>
    <x v="17"/>
    <n v="34979"/>
    <n v="77686.52"/>
    <n v="6.36"/>
    <n v="5538.8"/>
    <n v="0.44"/>
    <n v="7.1"/>
  </r>
  <r>
    <x v="62"/>
    <x v="3"/>
    <x v="6"/>
    <n v="24444"/>
    <n v="52073.85"/>
    <n v="6.57"/>
    <n v="3768.4"/>
    <n v="0.33300000000000002"/>
    <n v="6.9"/>
  </r>
  <r>
    <x v="62"/>
    <x v="4"/>
    <x v="13"/>
    <n v="27359"/>
    <n v="54770.18"/>
    <n v="6.55"/>
    <n v="4139"/>
    <n v="0.45500000000000002"/>
    <n v="6.6"/>
  </r>
  <r>
    <x v="62"/>
    <x v="5"/>
    <x v="6"/>
    <n v="27842"/>
    <n v="63500.97"/>
    <n v="6.44"/>
    <n v="4326.3"/>
    <n v="0.38100000000000001"/>
    <n v="6.6"/>
  </r>
  <r>
    <x v="62"/>
    <x v="6"/>
    <x v="1"/>
    <n v="18153"/>
    <n v="36230.089999999997"/>
    <n v="6.36"/>
    <n v="2837.4"/>
    <n v="0.55600000000000005"/>
    <n v="8"/>
  </r>
  <r>
    <x v="62"/>
    <x v="7"/>
    <x v="6"/>
    <n v="31081"/>
    <n v="61361.97"/>
    <n v="6.42"/>
    <n v="4901.2"/>
    <n v="0.42899999999999999"/>
    <n v="7.2"/>
  </r>
  <r>
    <x v="62"/>
    <x v="8"/>
    <x v="0"/>
    <n v="34196"/>
    <n v="77270.28"/>
    <n v="6.43"/>
    <n v="5351.7"/>
    <n v="0.308"/>
    <n v="7.6"/>
  </r>
  <r>
    <x v="62"/>
    <x v="9"/>
    <x v="17"/>
    <n v="40373"/>
    <n v="78898.47"/>
    <n v="6.66"/>
    <n v="6126.2"/>
    <n v="0.36"/>
    <n v="7.1"/>
  </r>
  <r>
    <x v="62"/>
    <x v="10"/>
    <x v="3"/>
    <n v="26698"/>
    <n v="56583.78"/>
    <n v="6.51"/>
    <n v="4131.8"/>
    <n v="0.42099999999999999"/>
    <n v="6.7"/>
  </r>
  <r>
    <x v="62"/>
    <x v="11"/>
    <x v="9"/>
    <n v="20920"/>
    <n v="46333.5"/>
    <n v="6.8"/>
    <n v="3118.9"/>
    <n v="0.47099999999999997"/>
    <n v="6.5"/>
  </r>
  <r>
    <x v="62"/>
    <x v="12"/>
    <x v="17"/>
    <n v="30722"/>
    <n v="67130.09"/>
    <n v="6.56"/>
    <n v="4705.8999999999996"/>
    <n v="0.4"/>
    <n v="7"/>
  </r>
  <r>
    <x v="62"/>
    <x v="13"/>
    <x v="12"/>
    <n v="22150"/>
    <n v="44477.96"/>
    <n v="6.56"/>
    <n v="3329.1"/>
    <n v="0.61099999999999999"/>
    <n v="8.5"/>
  </r>
  <r>
    <x v="62"/>
    <x v="14"/>
    <x v="3"/>
    <n v="25758"/>
    <n v="60024.800000000003"/>
    <n v="6.51"/>
    <n v="3911.2"/>
    <n v="0.36799999999999999"/>
    <n v="6.5"/>
  </r>
  <r>
    <x v="62"/>
    <x v="15"/>
    <x v="8"/>
    <n v="24428"/>
    <n v="53070.85"/>
    <n v="6.48"/>
    <n v="3768.7"/>
    <n v="0.5"/>
    <n v="6.3"/>
  </r>
  <r>
    <x v="62"/>
    <x v="16"/>
    <x v="13"/>
    <n v="31856"/>
    <n v="63594.93"/>
    <n v="6.46"/>
    <n v="5009.1000000000004"/>
    <n v="0.27300000000000002"/>
    <n v="6.8"/>
  </r>
  <r>
    <x v="62"/>
    <x v="17"/>
    <x v="14"/>
    <n v="21729"/>
    <n v="49656.22"/>
    <n v="6.34"/>
    <n v="3475.8"/>
    <n v="0.26700000000000002"/>
    <n v="6.8"/>
  </r>
  <r>
    <x v="62"/>
    <x v="18"/>
    <x v="17"/>
    <n v="32043"/>
    <n v="71384.960000000006"/>
    <n v="6.77"/>
    <n v="4786.8"/>
    <n v="0.6"/>
    <n v="7.6"/>
  </r>
  <r>
    <x v="62"/>
    <x v="19"/>
    <x v="6"/>
    <n v="27698"/>
    <n v="59790.02"/>
    <n v="6.68"/>
    <n v="4171.3"/>
    <n v="0.38100000000000001"/>
    <n v="7.4"/>
  </r>
  <r>
    <x v="62"/>
    <x v="20"/>
    <x v="7"/>
    <n v="19575"/>
    <n v="43892.11"/>
    <n v="6.62"/>
    <n v="2944.8"/>
    <n v="0.5"/>
    <n v="8.5"/>
  </r>
  <r>
    <x v="62"/>
    <x v="21"/>
    <x v="6"/>
    <n v="35137"/>
    <n v="65331.06"/>
    <n v="6.27"/>
    <n v="5649.4"/>
    <n v="0.52400000000000002"/>
    <n v="6.8"/>
  </r>
  <r>
    <x v="62"/>
    <x v="22"/>
    <x v="6"/>
    <n v="36913"/>
    <n v="82622.14"/>
    <n v="6.46"/>
    <n v="5863.7"/>
    <n v="0.33300000000000002"/>
    <n v="7.4"/>
  </r>
  <r>
    <x v="62"/>
    <x v="23"/>
    <x v="14"/>
    <n v="17626"/>
    <n v="36942.9"/>
    <n v="6.38"/>
    <n v="2765.2"/>
    <n v="0.46700000000000003"/>
    <n v="7.6"/>
  </r>
  <r>
    <x v="62"/>
    <x v="24"/>
    <x v="6"/>
    <n v="35336"/>
    <n v="74965.600000000006"/>
    <n v="6.51"/>
    <n v="5491.7"/>
    <n v="0.52400000000000002"/>
    <n v="6.2"/>
  </r>
  <r>
    <x v="62"/>
    <x v="25"/>
    <x v="7"/>
    <n v="13163"/>
    <n v="29351.15"/>
    <n v="6.6"/>
    <n v="2024.4"/>
    <n v="0.25"/>
    <n v="6.5"/>
  </r>
  <r>
    <x v="62"/>
    <x v="26"/>
    <x v="8"/>
    <n v="24647"/>
    <n v="58091.39"/>
    <n v="6.66"/>
    <n v="3762.8"/>
    <n v="0.625"/>
    <n v="6.9"/>
  </r>
  <r>
    <x v="62"/>
    <x v="27"/>
    <x v="2"/>
    <n v="24624"/>
    <n v="52367.66"/>
    <n v="6.5"/>
    <n v="3827.1"/>
    <n v="0.45"/>
    <n v="6.8"/>
  </r>
  <r>
    <x v="62"/>
    <x v="28"/>
    <x v="10"/>
    <n v="43630"/>
    <n v="101600.62"/>
    <n v="6.47"/>
    <n v="6845.6"/>
    <n v="0.44400000000000001"/>
    <n v="6.7"/>
  </r>
  <r>
    <x v="62"/>
    <x v="29"/>
    <x v="13"/>
    <n v="31925"/>
    <n v="65944.7"/>
    <n v="6.66"/>
    <n v="4835.3"/>
    <n v="0.5"/>
    <n v="5.9"/>
  </r>
  <r>
    <x v="62"/>
    <x v="30"/>
    <x v="29"/>
    <n v="12320"/>
    <n v="31260.62"/>
    <n v="6.5"/>
    <n v="1949.8"/>
    <n v="0.625"/>
    <n v="7.6"/>
  </r>
  <r>
    <x v="62"/>
    <x v="31"/>
    <x v="28"/>
    <n v="38071"/>
    <n v="83094.179999999993"/>
    <n v="6.45"/>
    <n v="5871.9"/>
    <n v="0.55200000000000005"/>
    <n v="6.5"/>
  </r>
  <r>
    <x v="62"/>
    <x v="32"/>
    <x v="9"/>
    <n v="22413"/>
    <n v="46948.35"/>
    <n v="6.6"/>
    <n v="3420.9"/>
    <n v="0.52900000000000003"/>
    <n v="6.4"/>
  </r>
  <r>
    <x v="62"/>
    <x v="33"/>
    <x v="6"/>
    <n v="33721"/>
    <n v="63443.81"/>
    <n v="6.46"/>
    <n v="5235.8"/>
    <n v="0.38100000000000001"/>
    <n v="7"/>
  </r>
  <r>
    <x v="62"/>
    <x v="34"/>
    <x v="22"/>
    <n v="39449"/>
    <n v="89365.9"/>
    <n v="6.61"/>
    <n v="5999"/>
    <n v="0.39300000000000002"/>
    <n v="7.3"/>
  </r>
  <r>
    <x v="62"/>
    <x v="35"/>
    <x v="10"/>
    <n v="30354"/>
    <n v="69924.600000000006"/>
    <n v="6.44"/>
    <n v="4804.8"/>
    <n v="0.51900000000000002"/>
    <n v="6.8"/>
  </r>
  <r>
    <x v="63"/>
    <x v="0"/>
    <x v="12"/>
    <n v="23821"/>
    <n v="51154"/>
    <n v="6.53"/>
    <n v="3613.9"/>
    <n v="0.33300000000000002"/>
    <n v="6.3"/>
  </r>
  <r>
    <x v="63"/>
    <x v="1"/>
    <x v="3"/>
    <n v="31338"/>
    <n v="67513.58"/>
    <n v="6.2"/>
    <n v="5061.2"/>
    <n v="0.47399999999999998"/>
    <n v="7.4"/>
  </r>
  <r>
    <x v="63"/>
    <x v="2"/>
    <x v="17"/>
    <n v="40545"/>
    <n v="88147.75"/>
    <n v="6.32"/>
    <n v="6406.2"/>
    <n v="0.64"/>
    <n v="5.6"/>
  </r>
  <r>
    <x v="63"/>
    <x v="3"/>
    <x v="4"/>
    <n v="24942"/>
    <n v="47950.67"/>
    <n v="6.6"/>
    <n v="3796.4"/>
    <n v="0.35699999999999998"/>
    <n v="6.6"/>
  </r>
  <r>
    <x v="63"/>
    <x v="4"/>
    <x v="8"/>
    <n v="20262"/>
    <n v="44555.46"/>
    <n v="6.6"/>
    <n v="3066.8"/>
    <n v="0.25"/>
    <n v="7.6"/>
  </r>
  <r>
    <x v="63"/>
    <x v="5"/>
    <x v="3"/>
    <n v="23836"/>
    <n v="52231"/>
    <n v="6.58"/>
    <n v="3661.9"/>
    <n v="0.42099999999999999"/>
    <n v="8.1"/>
  </r>
  <r>
    <x v="63"/>
    <x v="6"/>
    <x v="3"/>
    <n v="31127"/>
    <n v="69523.509999999995"/>
    <n v="6.58"/>
    <n v="4732.8999999999996"/>
    <n v="0.47399999999999998"/>
    <n v="6.7"/>
  </r>
  <r>
    <x v="63"/>
    <x v="7"/>
    <x v="11"/>
    <n v="33981"/>
    <n v="76356.740000000005"/>
    <n v="6.47"/>
    <n v="5326.2"/>
    <n v="0.375"/>
    <n v="5.5"/>
  </r>
  <r>
    <x v="63"/>
    <x v="8"/>
    <x v="3"/>
    <n v="30804"/>
    <n v="62372.19"/>
    <n v="6.77"/>
    <n v="4535.6000000000004"/>
    <n v="0.63200000000000001"/>
    <n v="7.6"/>
  </r>
  <r>
    <x v="63"/>
    <x v="9"/>
    <x v="9"/>
    <n v="22739"/>
    <n v="50717.65"/>
    <n v="6.43"/>
    <n v="3469.1"/>
    <n v="0.47099999999999997"/>
    <n v="6.7"/>
  </r>
  <r>
    <x v="63"/>
    <x v="10"/>
    <x v="9"/>
    <n v="21756"/>
    <n v="50333.97"/>
    <n v="6.65"/>
    <n v="3382.6"/>
    <n v="0.64700000000000002"/>
    <n v="7.6"/>
  </r>
  <r>
    <x v="63"/>
    <x v="11"/>
    <x v="6"/>
    <n v="27410"/>
    <n v="55626.239999999998"/>
    <n v="6.28"/>
    <n v="4416.7"/>
    <n v="0.38100000000000001"/>
    <n v="7.5"/>
  </r>
  <r>
    <x v="63"/>
    <x v="12"/>
    <x v="2"/>
    <n v="28709"/>
    <n v="59599.96"/>
    <n v="6.47"/>
    <n v="4421"/>
    <n v="0.5"/>
    <n v="6.6"/>
  </r>
  <r>
    <x v="63"/>
    <x v="13"/>
    <x v="14"/>
    <n v="24325"/>
    <n v="55772.78"/>
    <n v="6.68"/>
    <n v="3775"/>
    <n v="0.4"/>
    <n v="7.5"/>
  </r>
  <r>
    <x v="63"/>
    <x v="14"/>
    <x v="28"/>
    <n v="44735"/>
    <n v="96380.77"/>
    <n v="6.3"/>
    <n v="7107"/>
    <n v="0.41399999999999998"/>
    <n v="7.8"/>
  </r>
  <r>
    <x v="63"/>
    <x v="15"/>
    <x v="15"/>
    <n v="33038"/>
    <n v="69840.02"/>
    <n v="6.6"/>
    <n v="5002.2"/>
    <n v="0.73899999999999999"/>
    <n v="6.8"/>
  </r>
  <r>
    <x v="63"/>
    <x v="16"/>
    <x v="5"/>
    <n v="23076"/>
    <n v="52347.34"/>
    <n v="6.24"/>
    <n v="3752.6"/>
    <n v="0.38500000000000001"/>
    <n v="8.6"/>
  </r>
  <r>
    <x v="63"/>
    <x v="17"/>
    <x v="14"/>
    <n v="21723"/>
    <n v="39876.26"/>
    <n v="6.61"/>
    <n v="3304.1"/>
    <n v="0.4"/>
    <n v="5.3"/>
  </r>
  <r>
    <x v="63"/>
    <x v="18"/>
    <x v="9"/>
    <n v="24927"/>
    <n v="57628.89"/>
    <n v="6.44"/>
    <n v="3819.8"/>
    <n v="0.11799999999999999"/>
    <n v="6.9"/>
  </r>
  <r>
    <x v="63"/>
    <x v="19"/>
    <x v="13"/>
    <n v="26401"/>
    <n v="59874.720000000001"/>
    <n v="6.37"/>
    <n v="4278.2"/>
    <n v="0.5"/>
    <n v="5.6"/>
  </r>
  <r>
    <x v="63"/>
    <x v="20"/>
    <x v="3"/>
    <n v="26130"/>
    <n v="62066.89"/>
    <n v="6.35"/>
    <n v="4125.7"/>
    <n v="0.42099999999999999"/>
    <n v="6.9"/>
  </r>
  <r>
    <x v="63"/>
    <x v="21"/>
    <x v="5"/>
    <n v="17693"/>
    <n v="37242.769999999997"/>
    <n v="6.72"/>
    <n v="2665.7"/>
    <n v="0.154"/>
    <n v="7.2"/>
  </r>
  <r>
    <x v="63"/>
    <x v="22"/>
    <x v="8"/>
    <n v="21096"/>
    <n v="45799.11"/>
    <n v="6.56"/>
    <n v="3237.4"/>
    <n v="0.5"/>
    <n v="8.1"/>
  </r>
  <r>
    <x v="63"/>
    <x v="23"/>
    <x v="12"/>
    <n v="23014"/>
    <n v="49553.9"/>
    <n v="6.7"/>
    <n v="3409.8"/>
    <n v="0.16700000000000001"/>
    <n v="7.4"/>
  </r>
  <r>
    <x v="63"/>
    <x v="24"/>
    <x v="6"/>
    <n v="27427"/>
    <n v="60466.99"/>
    <n v="6.5"/>
    <n v="4237.8"/>
    <n v="0.33300000000000002"/>
    <n v="6.7"/>
  </r>
  <r>
    <x v="63"/>
    <x v="25"/>
    <x v="15"/>
    <n v="32522"/>
    <n v="68895.31"/>
    <n v="6.6"/>
    <n v="4901"/>
    <n v="0.56499999999999995"/>
    <n v="6.9"/>
  </r>
  <r>
    <x v="63"/>
    <x v="26"/>
    <x v="13"/>
    <n v="32574"/>
    <n v="75291.070000000007"/>
    <n v="6.6"/>
    <n v="5019.3999999999996"/>
    <n v="0.40899999999999997"/>
    <n v="8.1"/>
  </r>
  <r>
    <x v="63"/>
    <x v="27"/>
    <x v="14"/>
    <n v="25386"/>
    <n v="50941.02"/>
    <n v="6.52"/>
    <n v="3916.4"/>
    <n v="0.26700000000000002"/>
    <n v="7.5"/>
  </r>
  <r>
    <x v="63"/>
    <x v="28"/>
    <x v="12"/>
    <n v="26550"/>
    <n v="57642"/>
    <n v="6.76"/>
    <n v="3963.2"/>
    <n v="0.5"/>
    <n v="6.6"/>
  </r>
  <r>
    <x v="63"/>
    <x v="29"/>
    <x v="12"/>
    <n v="25718"/>
    <n v="52507.87"/>
    <n v="6.67"/>
    <n v="3968"/>
    <n v="0.38900000000000001"/>
    <n v="7.1"/>
  </r>
  <r>
    <x v="63"/>
    <x v="30"/>
    <x v="2"/>
    <n v="30181"/>
    <n v="64057.8"/>
    <n v="6.6"/>
    <n v="4548.8999999999996"/>
    <n v="0.45"/>
    <n v="6.9"/>
  </r>
  <r>
    <x v="63"/>
    <x v="31"/>
    <x v="2"/>
    <n v="23219"/>
    <n v="50784.95"/>
    <n v="6.51"/>
    <n v="3575.1"/>
    <n v="0.45"/>
    <n v="7.4"/>
  </r>
  <r>
    <x v="63"/>
    <x v="32"/>
    <x v="8"/>
    <n v="18398"/>
    <n v="41096.25"/>
    <n v="6.33"/>
    <n v="2946"/>
    <n v="0.56200000000000006"/>
    <n v="7.3"/>
  </r>
  <r>
    <x v="63"/>
    <x v="33"/>
    <x v="13"/>
    <n v="33729"/>
    <n v="71443.100000000006"/>
    <n v="6.21"/>
    <n v="5451.5"/>
    <n v="0.36399999999999999"/>
    <n v="6.3"/>
  </r>
  <r>
    <x v="63"/>
    <x v="34"/>
    <x v="6"/>
    <n v="27767"/>
    <n v="56431.61"/>
    <n v="6.4"/>
    <n v="4367.1000000000004"/>
    <n v="0.52400000000000002"/>
    <n v="7.3"/>
  </r>
  <r>
    <x v="63"/>
    <x v="35"/>
    <x v="4"/>
    <n v="19296"/>
    <n v="45719.1"/>
    <n v="6.65"/>
    <n v="2965.2"/>
    <n v="0.5"/>
    <n v="8.3000000000000007"/>
  </r>
  <r>
    <x v="64"/>
    <x v="0"/>
    <x v="3"/>
    <n v="28532"/>
    <n v="62045.43"/>
    <n v="6.64"/>
    <n v="4452.3"/>
    <n v="0.47399999999999998"/>
    <n v="7.6"/>
  </r>
  <r>
    <x v="64"/>
    <x v="1"/>
    <x v="14"/>
    <n v="17915"/>
    <n v="41395.68"/>
    <n v="6.64"/>
    <n v="2686.6"/>
    <n v="0.26700000000000002"/>
    <n v="7.3"/>
  </r>
  <r>
    <x v="64"/>
    <x v="2"/>
    <x v="14"/>
    <n v="18689"/>
    <n v="36699.79"/>
    <n v="6.61"/>
    <n v="2795"/>
    <n v="0.4"/>
    <n v="5.7"/>
  </r>
  <r>
    <x v="64"/>
    <x v="3"/>
    <x v="12"/>
    <n v="30220"/>
    <n v="63974.26"/>
    <n v="6.63"/>
    <n v="4593.2"/>
    <n v="0.5"/>
    <n v="6.6"/>
  </r>
  <r>
    <x v="64"/>
    <x v="4"/>
    <x v="6"/>
    <n v="30216"/>
    <n v="60858.3"/>
    <n v="6.58"/>
    <n v="4652.2"/>
    <n v="0.28599999999999998"/>
    <n v="6.3"/>
  </r>
  <r>
    <x v="64"/>
    <x v="5"/>
    <x v="2"/>
    <n v="30717"/>
    <n v="63065.440000000002"/>
    <n v="6.63"/>
    <n v="4724"/>
    <n v="0.5"/>
    <n v="7.2"/>
  </r>
  <r>
    <x v="64"/>
    <x v="6"/>
    <x v="8"/>
    <n v="23839"/>
    <n v="53471.37"/>
    <n v="6.35"/>
    <n v="3840.2"/>
    <n v="0.312"/>
    <n v="8.3000000000000007"/>
  </r>
  <r>
    <x v="64"/>
    <x v="7"/>
    <x v="9"/>
    <n v="28015"/>
    <n v="57566.39"/>
    <n v="6.33"/>
    <n v="4469.5"/>
    <n v="0.52900000000000003"/>
    <n v="7.3"/>
  </r>
  <r>
    <x v="64"/>
    <x v="8"/>
    <x v="8"/>
    <n v="25554"/>
    <n v="57226.66"/>
    <n v="6.47"/>
    <n v="4015.7"/>
    <n v="0.188"/>
    <n v="7"/>
  </r>
  <r>
    <x v="64"/>
    <x v="9"/>
    <x v="9"/>
    <n v="22455"/>
    <n v="48314.58"/>
    <n v="6.5"/>
    <n v="3445.8"/>
    <n v="0.35299999999999998"/>
    <n v="8.1"/>
  </r>
  <r>
    <x v="64"/>
    <x v="10"/>
    <x v="4"/>
    <n v="13952"/>
    <n v="32387.26"/>
    <n v="6.48"/>
    <n v="2204.6"/>
    <n v="0.57099999999999995"/>
    <n v="7"/>
  </r>
  <r>
    <x v="64"/>
    <x v="11"/>
    <x v="9"/>
    <n v="26747"/>
    <n v="57626.14"/>
    <n v="6.52"/>
    <n v="4021"/>
    <n v="0.47099999999999997"/>
    <n v="7.5"/>
  </r>
  <r>
    <x v="64"/>
    <x v="12"/>
    <x v="12"/>
    <n v="22056"/>
    <n v="54425.24"/>
    <n v="6.35"/>
    <n v="3499.1"/>
    <n v="0.61099999999999999"/>
    <n v="7.6"/>
  </r>
  <r>
    <x v="64"/>
    <x v="13"/>
    <x v="12"/>
    <n v="22343"/>
    <n v="51719.14"/>
    <n v="6.62"/>
    <n v="3506.7"/>
    <n v="0.38900000000000001"/>
    <n v="8"/>
  </r>
  <r>
    <x v="64"/>
    <x v="14"/>
    <x v="8"/>
    <n v="19128"/>
    <n v="40477.71"/>
    <n v="6.51"/>
    <n v="2938.3"/>
    <n v="0.438"/>
    <n v="7.4"/>
  </r>
  <r>
    <x v="64"/>
    <x v="15"/>
    <x v="2"/>
    <n v="26868"/>
    <n v="54564.52"/>
    <n v="6.36"/>
    <n v="4353.1000000000004"/>
    <n v="0.5"/>
    <n v="7.3"/>
  </r>
  <r>
    <x v="64"/>
    <x v="16"/>
    <x v="3"/>
    <n v="30205"/>
    <n v="68712.070000000007"/>
    <n v="6.52"/>
    <n v="4680.1000000000004"/>
    <n v="0.63200000000000001"/>
    <n v="7"/>
  </r>
  <r>
    <x v="64"/>
    <x v="17"/>
    <x v="1"/>
    <n v="11273"/>
    <n v="25921.22"/>
    <n v="6.54"/>
    <n v="1747"/>
    <n v="0.55600000000000005"/>
    <n v="7.8"/>
  </r>
  <r>
    <x v="64"/>
    <x v="18"/>
    <x v="9"/>
    <n v="16966"/>
    <n v="36556.93"/>
    <n v="6.32"/>
    <n v="2737.5"/>
    <n v="0.70599999999999996"/>
    <n v="7.3"/>
  </r>
  <r>
    <x v="64"/>
    <x v="19"/>
    <x v="21"/>
    <n v="14139"/>
    <n v="30106.12"/>
    <n v="6.5"/>
    <n v="2117.1"/>
    <n v="0.63600000000000001"/>
    <n v="5.9"/>
  </r>
  <r>
    <x v="64"/>
    <x v="20"/>
    <x v="9"/>
    <n v="24124"/>
    <n v="50053.9"/>
    <n v="6.5"/>
    <n v="3719.4"/>
    <n v="0.41199999999999998"/>
    <n v="6.5"/>
  </r>
  <r>
    <x v="64"/>
    <x v="21"/>
    <x v="2"/>
    <n v="29879"/>
    <n v="62479.96"/>
    <n v="6.4"/>
    <n v="4664.1000000000004"/>
    <n v="0.45"/>
    <n v="7.8"/>
  </r>
  <r>
    <x v="64"/>
    <x v="22"/>
    <x v="2"/>
    <n v="25906"/>
    <n v="51847.01"/>
    <n v="6.59"/>
    <n v="3819.2"/>
    <n v="0.45"/>
    <n v="6.5"/>
  </r>
  <r>
    <x v="64"/>
    <x v="23"/>
    <x v="6"/>
    <n v="31306"/>
    <n v="58136.61"/>
    <n v="6.46"/>
    <n v="4922.7"/>
    <n v="0.47599999999999998"/>
    <n v="7.2"/>
  </r>
  <r>
    <x v="64"/>
    <x v="24"/>
    <x v="7"/>
    <n v="17356"/>
    <n v="37321.07"/>
    <n v="6.48"/>
    <n v="2677"/>
    <n v="0.33300000000000002"/>
    <n v="7.5"/>
  </r>
  <r>
    <x v="64"/>
    <x v="25"/>
    <x v="8"/>
    <n v="14153"/>
    <n v="29320.75"/>
    <n v="6.36"/>
    <n v="2258.3000000000002"/>
    <n v="0.438"/>
    <n v="5.8"/>
  </r>
  <r>
    <x v="64"/>
    <x v="26"/>
    <x v="8"/>
    <n v="25134"/>
    <n v="54898.73"/>
    <n v="6.65"/>
    <n v="3831.2"/>
    <n v="0.438"/>
    <n v="7.1"/>
  </r>
  <r>
    <x v="64"/>
    <x v="27"/>
    <x v="19"/>
    <n v="13966"/>
    <n v="30009.82"/>
    <n v="6.45"/>
    <n v="2179.5"/>
    <n v="0.2"/>
    <n v="6.9"/>
  </r>
  <r>
    <x v="64"/>
    <x v="28"/>
    <x v="17"/>
    <n v="28450"/>
    <n v="53853.01"/>
    <n v="6.46"/>
    <n v="4412.5"/>
    <n v="0.56000000000000005"/>
    <n v="7.2"/>
  </r>
  <r>
    <x v="64"/>
    <x v="29"/>
    <x v="9"/>
    <n v="30805"/>
    <n v="71207.490000000005"/>
    <n v="6.54"/>
    <n v="4789.3"/>
    <n v="0.52900000000000003"/>
    <n v="6.9"/>
  </r>
  <r>
    <x v="64"/>
    <x v="30"/>
    <x v="7"/>
    <n v="13067"/>
    <n v="31764.46"/>
    <n v="6.14"/>
    <n v="2137.8000000000002"/>
    <n v="0.75"/>
    <n v="6.3"/>
  </r>
  <r>
    <x v="64"/>
    <x v="31"/>
    <x v="4"/>
    <n v="20751"/>
    <n v="42866.23"/>
    <n v="6.3"/>
    <n v="3390.3"/>
    <n v="0.14299999999999999"/>
    <n v="7.4"/>
  </r>
  <r>
    <x v="64"/>
    <x v="32"/>
    <x v="17"/>
    <n v="37567"/>
    <n v="84867.54"/>
    <n v="6.49"/>
    <n v="5771.6"/>
    <n v="0.52"/>
    <n v="6.2"/>
  </r>
  <r>
    <x v="64"/>
    <x v="33"/>
    <x v="15"/>
    <n v="30059"/>
    <n v="58731.3"/>
    <n v="6.67"/>
    <n v="4416.7"/>
    <n v="0.47799999999999998"/>
    <n v="7.6"/>
  </r>
  <r>
    <x v="64"/>
    <x v="34"/>
    <x v="21"/>
    <n v="19221"/>
    <n v="41999.43"/>
    <n v="6.54"/>
    <n v="3031"/>
    <n v="0.54500000000000004"/>
    <n v="5.7"/>
  </r>
  <r>
    <x v="64"/>
    <x v="35"/>
    <x v="13"/>
    <n v="36841"/>
    <n v="80685.289999999994"/>
    <n v="6.55"/>
    <n v="5684.3"/>
    <n v="0.5"/>
    <n v="7.8"/>
  </r>
  <r>
    <x v="65"/>
    <x v="0"/>
    <x v="3"/>
    <n v="20184"/>
    <n v="44999.66"/>
    <n v="6.58"/>
    <n v="3119.4"/>
    <n v="0.47399999999999998"/>
    <n v="7.5"/>
  </r>
  <r>
    <x v="65"/>
    <x v="1"/>
    <x v="9"/>
    <n v="22001"/>
    <n v="45665.97"/>
    <n v="6.32"/>
    <n v="3513.9"/>
    <n v="0.29399999999999998"/>
    <n v="7.3"/>
  </r>
  <r>
    <x v="65"/>
    <x v="2"/>
    <x v="9"/>
    <n v="25222"/>
    <n v="57618.49"/>
    <n v="6.63"/>
    <n v="3828.8"/>
    <n v="0.52900000000000003"/>
    <n v="7.7"/>
  </r>
  <r>
    <x v="65"/>
    <x v="3"/>
    <x v="14"/>
    <n v="18068"/>
    <n v="40476.1"/>
    <n v="6.71"/>
    <n v="2744.8"/>
    <n v="0.46700000000000003"/>
    <n v="7.4"/>
  </r>
  <r>
    <x v="65"/>
    <x v="4"/>
    <x v="5"/>
    <n v="18864"/>
    <n v="36950.11"/>
    <n v="6.57"/>
    <n v="2876.8"/>
    <n v="0.53800000000000003"/>
    <n v="6.7"/>
  </r>
  <r>
    <x v="65"/>
    <x v="5"/>
    <x v="13"/>
    <n v="35446"/>
    <n v="78278.05"/>
    <n v="6.6"/>
    <n v="5415.2"/>
    <n v="0.5"/>
    <n v="7.2"/>
  </r>
  <r>
    <x v="65"/>
    <x v="6"/>
    <x v="11"/>
    <n v="35220"/>
    <n v="70153.58"/>
    <n v="6.51"/>
    <n v="5446.2"/>
    <n v="0.29199999999999998"/>
    <n v="7.6"/>
  </r>
  <r>
    <x v="65"/>
    <x v="7"/>
    <x v="15"/>
    <n v="31186"/>
    <n v="71051.58"/>
    <n v="6.46"/>
    <n v="4882.3999999999996"/>
    <n v="0.60899999999999999"/>
    <n v="7.2"/>
  </r>
  <r>
    <x v="65"/>
    <x v="8"/>
    <x v="15"/>
    <n v="34294"/>
    <n v="68715.350000000006"/>
    <n v="6.53"/>
    <n v="5306.4"/>
    <n v="0.34799999999999998"/>
    <n v="6.5"/>
  </r>
  <r>
    <x v="65"/>
    <x v="9"/>
    <x v="14"/>
    <n v="12253"/>
    <n v="26469.42"/>
    <n v="6.74"/>
    <n v="1841.7"/>
    <n v="0.46700000000000003"/>
    <n v="7.7"/>
  </r>
  <r>
    <x v="65"/>
    <x v="10"/>
    <x v="4"/>
    <n v="21991"/>
    <n v="44277.71"/>
    <n v="6.47"/>
    <n v="3413.4"/>
    <n v="0.42899999999999999"/>
    <n v="7.5"/>
  </r>
  <r>
    <x v="65"/>
    <x v="11"/>
    <x v="15"/>
    <n v="27981"/>
    <n v="58666.58"/>
    <n v="6.43"/>
    <n v="4462.7"/>
    <n v="0.39100000000000001"/>
    <n v="6.9"/>
  </r>
  <r>
    <x v="65"/>
    <x v="12"/>
    <x v="7"/>
    <n v="19783"/>
    <n v="42205.52"/>
    <n v="6.72"/>
    <n v="2999"/>
    <n v="0.41699999999999998"/>
    <n v="8.1"/>
  </r>
  <r>
    <x v="65"/>
    <x v="13"/>
    <x v="9"/>
    <n v="23813"/>
    <n v="57610.16"/>
    <n v="6.3"/>
    <n v="3792.4"/>
    <n v="0.29399999999999998"/>
    <n v="6.2"/>
  </r>
  <r>
    <x v="65"/>
    <x v="14"/>
    <x v="8"/>
    <n v="24400"/>
    <n v="49420.88"/>
    <n v="6.31"/>
    <n v="3815.7"/>
    <n v="0.56200000000000006"/>
    <n v="7.4"/>
  </r>
  <r>
    <x v="65"/>
    <x v="15"/>
    <x v="8"/>
    <n v="21168"/>
    <n v="44499.89"/>
    <n v="6.59"/>
    <n v="3190.2"/>
    <n v="0.56200000000000006"/>
    <n v="7.6"/>
  </r>
  <r>
    <x v="65"/>
    <x v="16"/>
    <x v="2"/>
    <n v="33182"/>
    <n v="73825.52"/>
    <n v="6.4"/>
    <n v="5130.7"/>
    <n v="0.45"/>
    <n v="6.9"/>
  </r>
  <r>
    <x v="65"/>
    <x v="17"/>
    <x v="3"/>
    <n v="24848"/>
    <n v="51591.59"/>
    <n v="6.77"/>
    <n v="3701.6"/>
    <n v="0.36799999999999999"/>
    <n v="7"/>
  </r>
  <r>
    <x v="65"/>
    <x v="18"/>
    <x v="7"/>
    <n v="13161"/>
    <n v="25852.15"/>
    <n v="6.68"/>
    <n v="1991.5"/>
    <n v="0.5"/>
    <n v="6.5"/>
  </r>
  <r>
    <x v="65"/>
    <x v="19"/>
    <x v="14"/>
    <n v="18358"/>
    <n v="40368.54"/>
    <n v="6.72"/>
    <n v="2736.6"/>
    <n v="0.6"/>
    <n v="7.3"/>
  </r>
  <r>
    <x v="65"/>
    <x v="20"/>
    <x v="15"/>
    <n v="41257"/>
    <n v="91385.39"/>
    <n v="6.4"/>
    <n v="6483.4"/>
    <n v="0.47799999999999998"/>
    <n v="7.4"/>
  </r>
  <r>
    <x v="65"/>
    <x v="21"/>
    <x v="13"/>
    <n v="29636"/>
    <n v="67395.69"/>
    <n v="6.6"/>
    <n v="4473.2"/>
    <n v="0.27300000000000002"/>
    <n v="6.3"/>
  </r>
  <r>
    <x v="65"/>
    <x v="22"/>
    <x v="9"/>
    <n v="29724"/>
    <n v="63361.26"/>
    <n v="6.33"/>
    <n v="4657.6000000000004"/>
    <n v="0.52900000000000003"/>
    <n v="6.4"/>
  </r>
  <r>
    <x v="65"/>
    <x v="23"/>
    <x v="9"/>
    <n v="24561"/>
    <n v="52038.04"/>
    <n v="6.38"/>
    <n v="3796"/>
    <n v="0.41199999999999998"/>
    <n v="7.2"/>
  </r>
  <r>
    <x v="65"/>
    <x v="24"/>
    <x v="4"/>
    <n v="25336"/>
    <n v="55096.17"/>
    <n v="6.78"/>
    <n v="3764.9"/>
    <n v="0.57099999999999995"/>
    <n v="6.4"/>
  </r>
  <r>
    <x v="65"/>
    <x v="25"/>
    <x v="11"/>
    <n v="42492"/>
    <n v="89432.54"/>
    <n v="6.57"/>
    <n v="6533.2"/>
    <n v="0.29199999999999998"/>
    <n v="6.6"/>
  </r>
  <r>
    <x v="65"/>
    <x v="26"/>
    <x v="2"/>
    <n v="29051"/>
    <n v="65606.62"/>
    <n v="6.75"/>
    <n v="4275.6000000000004"/>
    <n v="0.45"/>
    <n v="6.7"/>
  </r>
  <r>
    <x v="65"/>
    <x v="27"/>
    <x v="3"/>
    <n v="22201"/>
    <n v="42643.05"/>
    <n v="6.73"/>
    <n v="3317.5"/>
    <n v="0.57899999999999996"/>
    <n v="7.9"/>
  </r>
  <r>
    <x v="65"/>
    <x v="28"/>
    <x v="11"/>
    <n v="38384"/>
    <n v="84452.81"/>
    <n v="6.32"/>
    <n v="6119.7"/>
    <n v="0.54200000000000004"/>
    <n v="7"/>
  </r>
  <r>
    <x v="65"/>
    <x v="29"/>
    <x v="4"/>
    <n v="17598"/>
    <n v="37364.78"/>
    <n v="6.48"/>
    <n v="2710.1"/>
    <n v="0.64300000000000002"/>
    <n v="5.3"/>
  </r>
  <r>
    <x v="65"/>
    <x v="30"/>
    <x v="11"/>
    <n v="31808"/>
    <n v="66534.37"/>
    <n v="6.38"/>
    <n v="4972.3"/>
    <n v="0.54200000000000004"/>
    <n v="7.3"/>
  </r>
  <r>
    <x v="65"/>
    <x v="31"/>
    <x v="8"/>
    <n v="21113"/>
    <n v="45544.69"/>
    <n v="6.52"/>
    <n v="3236.6"/>
    <n v="0.56200000000000006"/>
    <n v="6.5"/>
  </r>
  <r>
    <x v="65"/>
    <x v="32"/>
    <x v="9"/>
    <n v="21312"/>
    <n v="45407.29"/>
    <n v="6.68"/>
    <n v="3151.5"/>
    <n v="0.52900000000000003"/>
    <n v="6.6"/>
  </r>
  <r>
    <x v="65"/>
    <x v="33"/>
    <x v="2"/>
    <n v="34192"/>
    <n v="70908.05"/>
    <n v="6.53"/>
    <n v="5248.9"/>
    <n v="0.45"/>
    <n v="6.3"/>
  </r>
  <r>
    <x v="65"/>
    <x v="34"/>
    <x v="2"/>
    <n v="27109"/>
    <n v="57462.96"/>
    <n v="6.49"/>
    <n v="4216.5"/>
    <n v="0.45"/>
    <n v="6.6"/>
  </r>
  <r>
    <x v="65"/>
    <x v="35"/>
    <x v="15"/>
    <n v="29516"/>
    <n v="64508.73"/>
    <n v="6.7"/>
    <n v="4495.3999999999996"/>
    <n v="0.435"/>
    <n v="7"/>
  </r>
  <r>
    <x v="66"/>
    <x v="0"/>
    <x v="15"/>
    <n v="28292"/>
    <n v="62482.31"/>
    <n v="6.69"/>
    <n v="4316.3"/>
    <n v="0.39100000000000001"/>
    <n v="8.4"/>
  </r>
  <r>
    <x v="66"/>
    <x v="1"/>
    <x v="2"/>
    <n v="29269"/>
    <n v="63904.29"/>
    <n v="6.43"/>
    <n v="4635.1000000000004"/>
    <n v="0.55000000000000004"/>
    <n v="6.2"/>
  </r>
  <r>
    <x v="66"/>
    <x v="2"/>
    <x v="21"/>
    <n v="9512"/>
    <n v="21823.040000000001"/>
    <n v="6.63"/>
    <n v="1408.3"/>
    <n v="0.36399999999999999"/>
    <n v="9.4"/>
  </r>
  <r>
    <x v="66"/>
    <x v="3"/>
    <x v="12"/>
    <n v="26756"/>
    <n v="56500.92"/>
    <n v="6.39"/>
    <n v="4155.8"/>
    <n v="0.33300000000000002"/>
    <n v="7.4"/>
  </r>
  <r>
    <x v="66"/>
    <x v="4"/>
    <x v="9"/>
    <n v="21191"/>
    <n v="44187.1"/>
    <n v="6.63"/>
    <n v="3255.3"/>
    <n v="0.52900000000000003"/>
    <n v="7.5"/>
  </r>
  <r>
    <x v="66"/>
    <x v="5"/>
    <x v="8"/>
    <n v="21215"/>
    <n v="45197.599999999999"/>
    <n v="6.28"/>
    <n v="3369"/>
    <n v="0.5"/>
    <n v="7.5"/>
  </r>
  <r>
    <x v="66"/>
    <x v="6"/>
    <x v="0"/>
    <n v="35558"/>
    <n v="74298.16"/>
    <n v="6.54"/>
    <n v="5424.1"/>
    <n v="0.192"/>
    <n v="6.4"/>
  </r>
  <r>
    <x v="66"/>
    <x v="7"/>
    <x v="3"/>
    <n v="22523"/>
    <n v="48821.24"/>
    <n v="6.43"/>
    <n v="3506.4"/>
    <n v="0.36799999999999999"/>
    <n v="6.2"/>
  </r>
  <r>
    <x v="66"/>
    <x v="8"/>
    <x v="3"/>
    <n v="29398"/>
    <n v="65258.31"/>
    <n v="6.5"/>
    <n v="4499.2"/>
    <n v="0.52600000000000002"/>
    <n v="7.8"/>
  </r>
  <r>
    <x v="66"/>
    <x v="9"/>
    <x v="10"/>
    <n v="39893"/>
    <n v="83951.02"/>
    <n v="6.32"/>
    <n v="6342.7"/>
    <n v="0.37"/>
    <n v="7.3"/>
  </r>
  <r>
    <x v="66"/>
    <x v="10"/>
    <x v="2"/>
    <n v="25915"/>
    <n v="59659.07"/>
    <n v="6.62"/>
    <n v="3940.5"/>
    <n v="0.45"/>
    <n v="7"/>
  </r>
  <r>
    <x v="66"/>
    <x v="11"/>
    <x v="15"/>
    <n v="36587"/>
    <n v="86875.63"/>
    <n v="6.65"/>
    <n v="5489.1"/>
    <n v="0.47799999999999998"/>
    <n v="7.4"/>
  </r>
  <r>
    <x v="66"/>
    <x v="12"/>
    <x v="3"/>
    <n v="23107"/>
    <n v="48535.14"/>
    <n v="6.41"/>
    <n v="3666.4"/>
    <n v="0.26300000000000001"/>
    <n v="6.2"/>
  </r>
  <r>
    <x v="66"/>
    <x v="13"/>
    <x v="9"/>
    <n v="23537"/>
    <n v="50730.26"/>
    <n v="6.42"/>
    <n v="3640.7"/>
    <n v="0.41199999999999998"/>
    <n v="6.2"/>
  </r>
  <r>
    <x v="66"/>
    <x v="14"/>
    <x v="3"/>
    <n v="23587"/>
    <n v="47339.83"/>
    <n v="6.65"/>
    <n v="3520.3"/>
    <n v="0.47399999999999998"/>
    <n v="6.2"/>
  </r>
  <r>
    <x v="66"/>
    <x v="15"/>
    <x v="8"/>
    <n v="21689"/>
    <n v="45374.41"/>
    <n v="6.57"/>
    <n v="3257.4"/>
    <n v="0.56200000000000006"/>
    <n v="6.8"/>
  </r>
  <r>
    <x v="66"/>
    <x v="16"/>
    <x v="9"/>
    <n v="24706"/>
    <n v="47114.86"/>
    <n v="6.64"/>
    <n v="3770"/>
    <n v="0.52900000000000003"/>
    <n v="7"/>
  </r>
  <r>
    <x v="66"/>
    <x v="17"/>
    <x v="2"/>
    <n v="33721"/>
    <n v="74323.710000000006"/>
    <n v="6.65"/>
    <n v="5096.3"/>
    <n v="0.45"/>
    <n v="7.2"/>
  </r>
  <r>
    <x v="66"/>
    <x v="18"/>
    <x v="3"/>
    <n v="30386"/>
    <n v="65078.69"/>
    <n v="6.36"/>
    <n v="4822.3999999999996"/>
    <n v="0.63200000000000001"/>
    <n v="6.9"/>
  </r>
  <r>
    <x v="66"/>
    <x v="19"/>
    <x v="9"/>
    <n v="24605"/>
    <n v="55138.06"/>
    <n v="6.47"/>
    <n v="3818.1"/>
    <n v="0.52900000000000003"/>
    <n v="6.1"/>
  </r>
  <r>
    <x v="66"/>
    <x v="20"/>
    <x v="13"/>
    <n v="32844"/>
    <n v="63128.23"/>
    <n v="6.49"/>
    <n v="4992.8"/>
    <n v="0.318"/>
    <n v="7.6"/>
  </r>
  <r>
    <x v="66"/>
    <x v="21"/>
    <x v="6"/>
    <n v="37555"/>
    <n v="78325.36"/>
    <n v="6.68"/>
    <n v="5702.3"/>
    <n v="0.52400000000000002"/>
    <n v="6"/>
  </r>
  <r>
    <x v="66"/>
    <x v="22"/>
    <x v="9"/>
    <n v="26962"/>
    <n v="60012.71"/>
    <n v="6.27"/>
    <n v="4287.6000000000004"/>
    <n v="0.35299999999999998"/>
    <n v="6.6"/>
  </r>
  <r>
    <x v="66"/>
    <x v="23"/>
    <x v="13"/>
    <n v="29921"/>
    <n v="67508.98"/>
    <n v="6.48"/>
    <n v="4663.1000000000004"/>
    <n v="0.27300000000000002"/>
    <n v="7.2"/>
  </r>
  <r>
    <x v="66"/>
    <x v="24"/>
    <x v="3"/>
    <n v="23597"/>
    <n v="51723.5"/>
    <n v="6.53"/>
    <n v="3679"/>
    <n v="0.52600000000000002"/>
    <n v="7.8"/>
  </r>
  <r>
    <x v="66"/>
    <x v="25"/>
    <x v="21"/>
    <n v="21817"/>
    <n v="38973.040000000001"/>
    <n v="6.28"/>
    <n v="3495.2"/>
    <n v="0.27300000000000002"/>
    <n v="6.7"/>
  </r>
  <r>
    <x v="66"/>
    <x v="26"/>
    <x v="9"/>
    <n v="28466"/>
    <n v="61447.35"/>
    <n v="6.49"/>
    <n v="4409.6000000000004"/>
    <n v="0.23499999999999999"/>
    <n v="6.5"/>
  </r>
  <r>
    <x v="66"/>
    <x v="27"/>
    <x v="6"/>
    <n v="26016"/>
    <n v="54474.14"/>
    <n v="6.62"/>
    <n v="3941.7"/>
    <n v="0.52400000000000002"/>
    <n v="6.5"/>
  </r>
  <r>
    <x v="66"/>
    <x v="28"/>
    <x v="28"/>
    <n v="48101"/>
    <n v="97526.75"/>
    <n v="6.41"/>
    <n v="7530.7"/>
    <n v="0.51700000000000002"/>
    <n v="7.4"/>
  </r>
  <r>
    <x v="66"/>
    <x v="29"/>
    <x v="6"/>
    <n v="30802"/>
    <n v="62996.87"/>
    <n v="6.56"/>
    <n v="4855.7"/>
    <n v="0.61899999999999999"/>
    <n v="7.4"/>
  </r>
  <r>
    <x v="66"/>
    <x v="30"/>
    <x v="2"/>
    <n v="24664"/>
    <n v="54361.93"/>
    <n v="6.24"/>
    <n v="4056.7"/>
    <n v="0.35"/>
    <n v="7.4"/>
  </r>
  <r>
    <x v="66"/>
    <x v="31"/>
    <x v="10"/>
    <n v="38309"/>
    <n v="80730.84"/>
    <n v="6.41"/>
    <n v="6042.3"/>
    <n v="0.51900000000000002"/>
    <n v="7.4"/>
  </r>
  <r>
    <x v="66"/>
    <x v="32"/>
    <x v="7"/>
    <n v="17409"/>
    <n v="39234.89"/>
    <n v="6.64"/>
    <n v="2642.9"/>
    <n v="0.33300000000000002"/>
    <n v="6.7"/>
  </r>
  <r>
    <x v="66"/>
    <x v="33"/>
    <x v="13"/>
    <n v="31473"/>
    <n v="67854.63"/>
    <n v="6.51"/>
    <n v="4847.8999999999996"/>
    <n v="0.40899999999999997"/>
    <n v="7.5"/>
  </r>
  <r>
    <x v="66"/>
    <x v="34"/>
    <x v="3"/>
    <n v="17435"/>
    <n v="37653.08"/>
    <n v="6.54"/>
    <n v="2660.4"/>
    <n v="0.47399999999999998"/>
    <n v="7.6"/>
  </r>
  <r>
    <x v="66"/>
    <x v="35"/>
    <x v="8"/>
    <n v="18032"/>
    <n v="41426.720000000001"/>
    <n v="6.54"/>
    <n v="2749.7"/>
    <n v="0.56200000000000006"/>
    <n v="7.6"/>
  </r>
  <r>
    <x v="67"/>
    <x v="0"/>
    <x v="11"/>
    <n v="30839"/>
    <n v="64591.39"/>
    <n v="6.43"/>
    <n v="4928.8999999999996"/>
    <n v="0.66700000000000004"/>
    <n v="7"/>
  </r>
  <r>
    <x v="67"/>
    <x v="1"/>
    <x v="8"/>
    <n v="22666"/>
    <n v="49678.3"/>
    <n v="6.7"/>
    <n v="3416.8"/>
    <n v="0.25"/>
    <n v="7.8"/>
  </r>
  <r>
    <x v="67"/>
    <x v="2"/>
    <x v="13"/>
    <n v="28718"/>
    <n v="59400.86"/>
    <n v="6.39"/>
    <n v="4462.5"/>
    <n v="0.40899999999999997"/>
    <n v="7.9"/>
  </r>
  <r>
    <x v="67"/>
    <x v="3"/>
    <x v="12"/>
    <n v="30758"/>
    <n v="64095.76"/>
    <n v="6.62"/>
    <n v="4722.8"/>
    <n v="0.5"/>
    <n v="8.4"/>
  </r>
  <r>
    <x v="67"/>
    <x v="4"/>
    <x v="14"/>
    <n v="19437"/>
    <n v="39710.15"/>
    <n v="6.15"/>
    <n v="3153.9"/>
    <n v="0.33300000000000002"/>
    <n v="7.4"/>
  </r>
  <r>
    <x v="67"/>
    <x v="5"/>
    <x v="14"/>
    <n v="21931"/>
    <n v="48314.43"/>
    <n v="6.67"/>
    <n v="3283.7"/>
    <n v="0.6"/>
    <n v="7.2"/>
  </r>
  <r>
    <x v="67"/>
    <x v="6"/>
    <x v="9"/>
    <n v="22977"/>
    <n v="42712.97"/>
    <n v="6.54"/>
    <n v="3550"/>
    <n v="0.47099999999999997"/>
    <n v="7.7"/>
  </r>
  <r>
    <x v="67"/>
    <x v="7"/>
    <x v="14"/>
    <n v="15311"/>
    <n v="31263.1"/>
    <n v="6.36"/>
    <n v="2378.6"/>
    <n v="0.6"/>
    <n v="6.4"/>
  </r>
  <r>
    <x v="67"/>
    <x v="8"/>
    <x v="28"/>
    <n v="40147"/>
    <n v="85507.89"/>
    <n v="6.46"/>
    <n v="6320.3"/>
    <n v="0.41399999999999998"/>
    <n v="6.6"/>
  </r>
  <r>
    <x v="67"/>
    <x v="9"/>
    <x v="3"/>
    <n v="27939"/>
    <n v="65541.52"/>
    <n v="6.6"/>
    <n v="4242.7"/>
    <n v="0.42099999999999999"/>
    <n v="8.1"/>
  </r>
  <r>
    <x v="67"/>
    <x v="10"/>
    <x v="11"/>
    <n v="32823"/>
    <n v="79606.84"/>
    <n v="6.31"/>
    <n v="5194.1000000000004"/>
    <n v="0.54200000000000004"/>
    <n v="7.1"/>
  </r>
  <r>
    <x v="67"/>
    <x v="11"/>
    <x v="8"/>
    <n v="27778"/>
    <n v="64622.73"/>
    <n v="6.59"/>
    <n v="4180.2"/>
    <n v="0.438"/>
    <n v="6.3"/>
  </r>
  <r>
    <x v="67"/>
    <x v="12"/>
    <x v="0"/>
    <n v="43917"/>
    <n v="98798.82"/>
    <n v="6.43"/>
    <n v="6844.9"/>
    <n v="0.53800000000000003"/>
    <n v="7.1"/>
  </r>
  <r>
    <x v="67"/>
    <x v="13"/>
    <x v="8"/>
    <n v="19528"/>
    <n v="40205.120000000003"/>
    <n v="6.4"/>
    <n v="3025.4"/>
    <n v="0.5"/>
    <n v="6.5"/>
  </r>
  <r>
    <x v="67"/>
    <x v="14"/>
    <x v="9"/>
    <n v="17134"/>
    <n v="35093.980000000003"/>
    <n v="6.47"/>
    <n v="2729.5"/>
    <n v="0.35299999999999998"/>
    <n v="7.5"/>
  </r>
  <r>
    <x v="67"/>
    <x v="15"/>
    <x v="5"/>
    <n v="22897"/>
    <n v="42563.71"/>
    <n v="6.66"/>
    <n v="3430.6"/>
    <n v="0.46200000000000002"/>
    <n v="6.8"/>
  </r>
  <r>
    <x v="67"/>
    <x v="16"/>
    <x v="4"/>
    <n v="18746"/>
    <n v="42909.33"/>
    <n v="6.49"/>
    <n v="2885.6"/>
    <n v="0.42899999999999999"/>
    <n v="5.9"/>
  </r>
  <r>
    <x v="67"/>
    <x v="17"/>
    <x v="5"/>
    <n v="16706"/>
    <n v="34320.269999999997"/>
    <n v="6.59"/>
    <n v="2529.9"/>
    <n v="0.38500000000000001"/>
    <n v="7.7"/>
  </r>
  <r>
    <x v="67"/>
    <x v="18"/>
    <x v="12"/>
    <n v="27005"/>
    <n v="57569.84"/>
    <n v="6.49"/>
    <n v="4153.6000000000004"/>
    <n v="0.55600000000000005"/>
    <n v="6.6"/>
  </r>
  <r>
    <x v="67"/>
    <x v="19"/>
    <x v="17"/>
    <n v="34831"/>
    <n v="75417.94"/>
    <n v="6.65"/>
    <n v="5313.8"/>
    <n v="0.4"/>
    <n v="7.1"/>
  </r>
  <r>
    <x v="67"/>
    <x v="20"/>
    <x v="6"/>
    <n v="34292"/>
    <n v="76352.22"/>
    <n v="6.42"/>
    <n v="5463.3"/>
    <n v="0.66700000000000004"/>
    <n v="7.4"/>
  </r>
  <r>
    <x v="67"/>
    <x v="21"/>
    <x v="6"/>
    <n v="26647"/>
    <n v="59916.88"/>
    <n v="6.6"/>
    <n v="4016"/>
    <n v="0.47599999999999998"/>
    <n v="8"/>
  </r>
  <r>
    <x v="67"/>
    <x v="22"/>
    <x v="13"/>
    <n v="27941"/>
    <n v="59109.45"/>
    <n v="6.36"/>
    <n v="4453.1000000000004"/>
    <n v="0.5"/>
    <n v="5.7"/>
  </r>
  <r>
    <x v="67"/>
    <x v="23"/>
    <x v="9"/>
    <n v="28268"/>
    <n v="57657.2"/>
    <n v="6.53"/>
    <n v="4333.5"/>
    <n v="0.41199999999999998"/>
    <n v="7.3"/>
  </r>
  <r>
    <x v="67"/>
    <x v="24"/>
    <x v="11"/>
    <n v="33782"/>
    <n v="72344.13"/>
    <n v="6.42"/>
    <n v="5345.4"/>
    <n v="0.45800000000000002"/>
    <n v="7.3"/>
  </r>
  <r>
    <x v="67"/>
    <x v="25"/>
    <x v="8"/>
    <n v="27085"/>
    <n v="58348.73"/>
    <n v="6.83"/>
    <n v="3928.7"/>
    <n v="0.438"/>
    <n v="7"/>
  </r>
  <r>
    <x v="67"/>
    <x v="26"/>
    <x v="2"/>
    <n v="28406"/>
    <n v="62431.62"/>
    <n v="6.28"/>
    <n v="4553.6000000000004"/>
    <n v="0.3"/>
    <n v="8.3000000000000007"/>
  </r>
  <r>
    <x v="67"/>
    <x v="27"/>
    <x v="2"/>
    <n v="26503"/>
    <n v="52684"/>
    <n v="6.5"/>
    <n v="4090.6"/>
    <n v="0.4"/>
    <n v="6.9"/>
  </r>
  <r>
    <x v="67"/>
    <x v="28"/>
    <x v="14"/>
    <n v="27819"/>
    <n v="58965.03"/>
    <n v="6.5"/>
    <n v="4306.6000000000004"/>
    <n v="0.26700000000000002"/>
    <n v="7"/>
  </r>
  <r>
    <x v="67"/>
    <x v="29"/>
    <x v="8"/>
    <n v="20022"/>
    <n v="39319"/>
    <n v="6.62"/>
    <n v="3027.5"/>
    <n v="0.75"/>
    <n v="8.4"/>
  </r>
  <r>
    <x v="67"/>
    <x v="30"/>
    <x v="8"/>
    <n v="24048"/>
    <n v="52579.65"/>
    <n v="6.55"/>
    <n v="3726.4"/>
    <n v="0.188"/>
    <n v="7.9"/>
  </r>
  <r>
    <x v="67"/>
    <x v="31"/>
    <x v="9"/>
    <n v="20137"/>
    <n v="42140.83"/>
    <n v="6.44"/>
    <n v="3125.3"/>
    <n v="0.41199999999999998"/>
    <n v="6.2"/>
  </r>
  <r>
    <x v="67"/>
    <x v="32"/>
    <x v="22"/>
    <n v="34910"/>
    <n v="76628.88"/>
    <n v="6.53"/>
    <n v="5430"/>
    <n v="0.46400000000000002"/>
    <n v="8"/>
  </r>
  <r>
    <x v="67"/>
    <x v="33"/>
    <x v="9"/>
    <n v="21359"/>
    <n v="46515.17"/>
    <n v="6.32"/>
    <n v="3420.2"/>
    <n v="0.47099999999999997"/>
    <n v="6.8"/>
  </r>
  <r>
    <x v="67"/>
    <x v="34"/>
    <x v="6"/>
    <n v="26353"/>
    <n v="60046.79"/>
    <n v="6.57"/>
    <n v="3967.5"/>
    <n v="0.38100000000000001"/>
    <n v="8"/>
  </r>
  <r>
    <x v="67"/>
    <x v="35"/>
    <x v="10"/>
    <n v="39920"/>
    <n v="85375.65"/>
    <n v="6.49"/>
    <n v="6305.8"/>
    <n v="0.48099999999999998"/>
    <n v="7.9"/>
  </r>
  <r>
    <x v="68"/>
    <x v="0"/>
    <x v="7"/>
    <n v="21475"/>
    <n v="47330.49"/>
    <n v="6.5"/>
    <n v="3341"/>
    <n v="0.33300000000000002"/>
    <n v="6.8"/>
  </r>
  <r>
    <x v="68"/>
    <x v="1"/>
    <x v="12"/>
    <n v="29914"/>
    <n v="61379.06"/>
    <n v="6.42"/>
    <n v="4788.6000000000004"/>
    <n v="0.44400000000000001"/>
    <n v="7.1"/>
  </r>
  <r>
    <x v="68"/>
    <x v="2"/>
    <x v="3"/>
    <n v="28029"/>
    <n v="55796.31"/>
    <n v="6.48"/>
    <n v="4447.6000000000004"/>
    <n v="0.42099999999999999"/>
    <n v="6.8"/>
  </r>
  <r>
    <x v="68"/>
    <x v="3"/>
    <x v="13"/>
    <n v="30226"/>
    <n v="65073.85"/>
    <n v="6.72"/>
    <n v="4486.3999999999996"/>
    <n v="0.68200000000000005"/>
    <n v="7.7"/>
  </r>
  <r>
    <x v="68"/>
    <x v="4"/>
    <x v="3"/>
    <n v="26408"/>
    <n v="57337.78"/>
    <n v="6.61"/>
    <n v="3902.9"/>
    <n v="0.42099999999999999"/>
    <n v="6.2"/>
  </r>
  <r>
    <x v="68"/>
    <x v="5"/>
    <x v="13"/>
    <n v="30150"/>
    <n v="71879.179999999993"/>
    <n v="6.35"/>
    <n v="4737.2"/>
    <n v="0.36399999999999999"/>
    <n v="6.4"/>
  </r>
  <r>
    <x v="68"/>
    <x v="6"/>
    <x v="9"/>
    <n v="18956"/>
    <n v="41647.760000000002"/>
    <n v="6.72"/>
    <n v="2840.3"/>
    <n v="0.41199999999999998"/>
    <n v="7.8"/>
  </r>
  <r>
    <x v="68"/>
    <x v="7"/>
    <x v="14"/>
    <n v="24933"/>
    <n v="60693.68"/>
    <n v="6.69"/>
    <n v="3767"/>
    <n v="0.4"/>
    <n v="7.5"/>
  </r>
  <r>
    <x v="68"/>
    <x v="8"/>
    <x v="19"/>
    <n v="15326"/>
    <n v="38986.46"/>
    <n v="6.42"/>
    <n v="2370.4"/>
    <n v="0.3"/>
    <n v="4.9000000000000004"/>
  </r>
  <r>
    <x v="68"/>
    <x v="9"/>
    <x v="9"/>
    <n v="18954"/>
    <n v="41407.74"/>
    <n v="6.73"/>
    <n v="2800.7"/>
    <n v="0.35299999999999998"/>
    <n v="6.4"/>
  </r>
  <r>
    <x v="68"/>
    <x v="10"/>
    <x v="6"/>
    <n v="23539"/>
    <n v="50562.33"/>
    <n v="6.3"/>
    <n v="3749.5"/>
    <n v="0.42899999999999999"/>
    <n v="6.6"/>
  </r>
  <r>
    <x v="68"/>
    <x v="11"/>
    <x v="17"/>
    <n v="37428"/>
    <n v="82627.360000000001"/>
    <n v="6.67"/>
    <n v="5516"/>
    <n v="0.4"/>
    <n v="7"/>
  </r>
  <r>
    <x v="68"/>
    <x v="12"/>
    <x v="12"/>
    <n v="17974"/>
    <n v="41007.160000000003"/>
    <n v="6.5"/>
    <n v="2777.7"/>
    <n v="0.33300000000000002"/>
    <n v="7.8"/>
  </r>
  <r>
    <x v="68"/>
    <x v="13"/>
    <x v="9"/>
    <n v="25703"/>
    <n v="55117.42"/>
    <n v="6.43"/>
    <n v="4055.6"/>
    <n v="0.64700000000000002"/>
    <n v="7.8"/>
  </r>
  <r>
    <x v="68"/>
    <x v="14"/>
    <x v="19"/>
    <n v="11506"/>
    <n v="28431.54"/>
    <n v="6.46"/>
    <n v="1740.3"/>
    <n v="0.7"/>
    <n v="5.9"/>
  </r>
  <r>
    <x v="68"/>
    <x v="15"/>
    <x v="0"/>
    <n v="37121"/>
    <n v="78201.460000000006"/>
    <n v="6.4"/>
    <n v="5819.6"/>
    <n v="0.42299999999999999"/>
    <n v="7.8"/>
  </r>
  <r>
    <x v="68"/>
    <x v="16"/>
    <x v="4"/>
    <n v="24449"/>
    <n v="57833.95"/>
    <n v="6.3"/>
    <n v="3896.4"/>
    <n v="0.35699999999999998"/>
    <n v="7.1"/>
  </r>
  <r>
    <x v="68"/>
    <x v="17"/>
    <x v="14"/>
    <n v="13839"/>
    <n v="29641.65"/>
    <n v="6.38"/>
    <n v="2216.1999999999998"/>
    <n v="0.46700000000000003"/>
    <n v="7.4"/>
  </r>
  <r>
    <x v="68"/>
    <x v="18"/>
    <x v="11"/>
    <n v="36419"/>
    <n v="76209.259999999995"/>
    <n v="6.56"/>
    <n v="5586.1"/>
    <n v="0.33300000000000002"/>
    <n v="6.9"/>
  </r>
  <r>
    <x v="68"/>
    <x v="19"/>
    <x v="19"/>
    <n v="12737"/>
    <n v="28709"/>
    <n v="6.57"/>
    <n v="1992.8"/>
    <n v="0.5"/>
    <n v="7.9"/>
  </r>
  <r>
    <x v="68"/>
    <x v="20"/>
    <x v="8"/>
    <n v="20909"/>
    <n v="41655.64"/>
    <n v="6.19"/>
    <n v="3393.1"/>
    <n v="0.56200000000000006"/>
    <n v="6.7"/>
  </r>
  <r>
    <x v="68"/>
    <x v="21"/>
    <x v="17"/>
    <n v="31566"/>
    <n v="64685.04"/>
    <n v="6.37"/>
    <n v="5063.3999999999996"/>
    <n v="0.4"/>
    <n v="6.2"/>
  </r>
  <r>
    <x v="68"/>
    <x v="22"/>
    <x v="3"/>
    <n v="30027"/>
    <n v="63938.400000000001"/>
    <n v="6.59"/>
    <n v="4620.7"/>
    <n v="0.21099999999999999"/>
    <n v="8.4"/>
  </r>
  <r>
    <x v="68"/>
    <x v="23"/>
    <x v="15"/>
    <n v="32243"/>
    <n v="68580.039999999994"/>
    <n v="6.7"/>
    <n v="4779.5"/>
    <n v="0.39100000000000001"/>
    <n v="7.5"/>
  </r>
  <r>
    <x v="68"/>
    <x v="24"/>
    <x v="9"/>
    <n v="28993"/>
    <n v="60624.21"/>
    <n v="6.77"/>
    <n v="4292.5"/>
    <n v="0.47099999999999997"/>
    <n v="6.6"/>
  </r>
  <r>
    <x v="68"/>
    <x v="25"/>
    <x v="11"/>
    <n v="32939"/>
    <n v="70513.899999999994"/>
    <n v="6.31"/>
    <n v="5248.9"/>
    <n v="0.41699999999999998"/>
    <n v="6.7"/>
  </r>
  <r>
    <x v="68"/>
    <x v="26"/>
    <x v="4"/>
    <n v="22593"/>
    <n v="47158.68"/>
    <n v="6.55"/>
    <n v="3444.3"/>
    <n v="0.5"/>
    <n v="8.1"/>
  </r>
  <r>
    <x v="68"/>
    <x v="27"/>
    <x v="9"/>
    <n v="22937"/>
    <n v="50657.58"/>
    <n v="6.56"/>
    <n v="3568.9"/>
    <n v="0.41199999999999998"/>
    <n v="6.2"/>
  </r>
  <r>
    <x v="68"/>
    <x v="28"/>
    <x v="13"/>
    <n v="29184"/>
    <n v="61077.760000000002"/>
    <n v="6.2"/>
    <n v="4759.6000000000004"/>
    <n v="0.54500000000000004"/>
    <n v="8.6999999999999993"/>
  </r>
  <r>
    <x v="68"/>
    <x v="29"/>
    <x v="6"/>
    <n v="36696"/>
    <n v="75090.25"/>
    <n v="6.51"/>
    <n v="5717.5"/>
    <n v="0.42899999999999999"/>
    <n v="6.5"/>
  </r>
  <r>
    <x v="68"/>
    <x v="30"/>
    <x v="14"/>
    <n v="18690"/>
    <n v="39842.42"/>
    <n v="6.61"/>
    <n v="2779.1"/>
    <n v="0.53300000000000003"/>
    <n v="7.1"/>
  </r>
  <r>
    <x v="68"/>
    <x v="31"/>
    <x v="5"/>
    <n v="15532"/>
    <n v="34715.89"/>
    <n v="6.42"/>
    <n v="2414"/>
    <n v="0.38500000000000001"/>
    <n v="7.6"/>
  </r>
  <r>
    <x v="68"/>
    <x v="32"/>
    <x v="10"/>
    <n v="32954"/>
    <n v="68545.88"/>
    <n v="6.62"/>
    <n v="4993.1000000000004"/>
    <n v="0.51900000000000002"/>
    <n v="6.4"/>
  </r>
  <r>
    <x v="68"/>
    <x v="33"/>
    <x v="21"/>
    <n v="16254"/>
    <n v="37130.86"/>
    <n v="6.43"/>
    <n v="2546.8000000000002"/>
    <n v="0.54500000000000004"/>
    <n v="5.8"/>
  </r>
  <r>
    <x v="68"/>
    <x v="34"/>
    <x v="9"/>
    <n v="20220"/>
    <n v="46907.05"/>
    <n v="6.5"/>
    <n v="3095.7"/>
    <n v="0.35299999999999998"/>
    <n v="6.6"/>
  </r>
  <r>
    <x v="68"/>
    <x v="35"/>
    <x v="9"/>
    <n v="25877"/>
    <n v="56669.11"/>
    <n v="6.02"/>
    <n v="4297.5"/>
    <n v="0.58799999999999997"/>
    <n v="6.3"/>
  </r>
  <r>
    <x v="69"/>
    <x v="0"/>
    <x v="17"/>
    <n v="34060"/>
    <n v="74298.66"/>
    <n v="6.44"/>
    <n v="5369.4"/>
    <n v="0.48"/>
    <n v="7"/>
  </r>
  <r>
    <x v="69"/>
    <x v="1"/>
    <x v="3"/>
    <n v="19937"/>
    <n v="41893.550000000003"/>
    <n v="6.48"/>
    <n v="3104.6"/>
    <n v="0.42099999999999999"/>
    <n v="7.1"/>
  </r>
  <r>
    <x v="69"/>
    <x v="2"/>
    <x v="11"/>
    <n v="34927"/>
    <n v="76205.539999999994"/>
    <n v="6.53"/>
    <n v="5423.6"/>
    <n v="0.45800000000000002"/>
    <n v="7"/>
  </r>
  <r>
    <x v="69"/>
    <x v="3"/>
    <x v="4"/>
    <n v="22170"/>
    <n v="49971.78"/>
    <n v="6.44"/>
    <n v="3435.7"/>
    <n v="0.42899999999999999"/>
    <n v="6.5"/>
  </r>
  <r>
    <x v="69"/>
    <x v="4"/>
    <x v="2"/>
    <n v="24537"/>
    <n v="58086.48"/>
    <n v="6.5"/>
    <n v="3842.2"/>
    <n v="0.65"/>
    <n v="7.3"/>
  </r>
  <r>
    <x v="69"/>
    <x v="5"/>
    <x v="12"/>
    <n v="31504"/>
    <n v="58773.26"/>
    <n v="6.43"/>
    <n v="4822.7"/>
    <n v="0.5"/>
    <n v="7.2"/>
  </r>
  <r>
    <x v="69"/>
    <x v="6"/>
    <x v="23"/>
    <n v="43720"/>
    <n v="85947.37"/>
    <n v="6.47"/>
    <n v="6732.3"/>
    <n v="0.4"/>
    <n v="6.2"/>
  </r>
  <r>
    <x v="69"/>
    <x v="7"/>
    <x v="22"/>
    <n v="42243"/>
    <n v="86128.86"/>
    <n v="6.41"/>
    <n v="6682"/>
    <n v="0.60699999999999998"/>
    <n v="7"/>
  </r>
  <r>
    <x v="69"/>
    <x v="8"/>
    <x v="1"/>
    <n v="17147"/>
    <n v="39191.67"/>
    <n v="6.14"/>
    <n v="2826"/>
    <n v="0.44400000000000001"/>
    <n v="7.5"/>
  </r>
  <r>
    <x v="69"/>
    <x v="9"/>
    <x v="3"/>
    <n v="23582"/>
    <n v="48822.92"/>
    <n v="6.32"/>
    <n v="3831.7"/>
    <n v="0.57899999999999996"/>
    <n v="6"/>
  </r>
  <r>
    <x v="69"/>
    <x v="10"/>
    <x v="5"/>
    <n v="16630"/>
    <n v="34346.660000000003"/>
    <n v="6.66"/>
    <n v="2531.9"/>
    <n v="0.53800000000000003"/>
    <n v="6.5"/>
  </r>
  <r>
    <x v="69"/>
    <x v="11"/>
    <x v="12"/>
    <n v="30535"/>
    <n v="69516.39"/>
    <n v="6.21"/>
    <n v="4924.6000000000004"/>
    <n v="0.38900000000000001"/>
    <n v="6.1"/>
  </r>
  <r>
    <x v="69"/>
    <x v="12"/>
    <x v="9"/>
    <n v="20566"/>
    <n v="45418.86"/>
    <n v="6.6"/>
    <n v="3166.9"/>
    <n v="0.29399999999999998"/>
    <n v="7"/>
  </r>
  <r>
    <x v="69"/>
    <x v="13"/>
    <x v="13"/>
    <n v="31469"/>
    <n v="66472.149999999994"/>
    <n v="6.54"/>
    <n v="4784.2"/>
    <n v="0.5"/>
    <n v="5.7"/>
  </r>
  <r>
    <x v="69"/>
    <x v="14"/>
    <x v="3"/>
    <n v="34984"/>
    <n v="77748.5"/>
    <n v="6.65"/>
    <n v="5259.4"/>
    <n v="0.73699999999999999"/>
    <n v="7.3"/>
  </r>
  <r>
    <x v="69"/>
    <x v="15"/>
    <x v="9"/>
    <n v="23733"/>
    <n v="49515.94"/>
    <n v="6.6"/>
    <n v="3641"/>
    <n v="0.29399999999999998"/>
    <n v="7.4"/>
  </r>
  <r>
    <x v="69"/>
    <x v="16"/>
    <x v="11"/>
    <n v="38708"/>
    <n v="84947.51"/>
    <n v="6.66"/>
    <n v="5964.5"/>
    <n v="0.33300000000000002"/>
    <n v="7.1"/>
  </r>
  <r>
    <x v="69"/>
    <x v="17"/>
    <x v="14"/>
    <n v="18549"/>
    <n v="43484.07"/>
    <n v="6.55"/>
    <n v="2834.7"/>
    <n v="0.53300000000000003"/>
    <n v="7"/>
  </r>
  <r>
    <x v="69"/>
    <x v="18"/>
    <x v="13"/>
    <n v="31815"/>
    <n v="72242.429999999993"/>
    <n v="6.48"/>
    <n v="5038.5"/>
    <n v="0.36399999999999999"/>
    <n v="6.9"/>
  </r>
  <r>
    <x v="69"/>
    <x v="19"/>
    <x v="13"/>
    <n v="27966"/>
    <n v="59345.07"/>
    <n v="6.58"/>
    <n v="4337.5"/>
    <n v="0.63600000000000001"/>
    <n v="6.8"/>
  </r>
  <r>
    <x v="69"/>
    <x v="20"/>
    <x v="3"/>
    <n v="24669"/>
    <n v="53553.04"/>
    <n v="6.67"/>
    <n v="3746.8"/>
    <n v="0.52600000000000002"/>
    <n v="6.2"/>
  </r>
  <r>
    <x v="69"/>
    <x v="21"/>
    <x v="3"/>
    <n v="34367"/>
    <n v="79273.899999999994"/>
    <n v="6.47"/>
    <n v="5374.9"/>
    <n v="0.42099999999999999"/>
    <n v="7.2"/>
  </r>
  <r>
    <x v="69"/>
    <x v="22"/>
    <x v="7"/>
    <n v="21604"/>
    <n v="52130.2"/>
    <n v="6.58"/>
    <n v="3314.7"/>
    <n v="0.25"/>
    <n v="6"/>
  </r>
  <r>
    <x v="69"/>
    <x v="23"/>
    <x v="4"/>
    <n v="17388"/>
    <n v="38464.199999999997"/>
    <n v="6.39"/>
    <n v="2756.1"/>
    <n v="0.5"/>
    <n v="8.4"/>
  </r>
  <r>
    <x v="69"/>
    <x v="24"/>
    <x v="13"/>
    <n v="33267"/>
    <n v="70483.990000000005"/>
    <n v="6.76"/>
    <n v="4976.5"/>
    <n v="0.36399999999999999"/>
    <n v="6.8"/>
  </r>
  <r>
    <x v="69"/>
    <x v="25"/>
    <x v="9"/>
    <n v="29710"/>
    <n v="64663.61"/>
    <n v="6.57"/>
    <n v="4516"/>
    <n v="0.41199999999999998"/>
    <n v="7.1"/>
  </r>
  <r>
    <x v="69"/>
    <x v="26"/>
    <x v="17"/>
    <n v="38838"/>
    <n v="83054.38"/>
    <n v="6.5"/>
    <n v="5985.9"/>
    <n v="0.36"/>
    <n v="6.6"/>
  </r>
  <r>
    <x v="69"/>
    <x v="27"/>
    <x v="13"/>
    <n v="27861"/>
    <n v="54250.27"/>
    <n v="6.43"/>
    <n v="4450.6000000000004"/>
    <n v="0.54500000000000004"/>
    <n v="6"/>
  </r>
  <r>
    <x v="69"/>
    <x v="28"/>
    <x v="15"/>
    <n v="34161"/>
    <n v="67939.039999999994"/>
    <n v="6.5"/>
    <n v="5306.4"/>
    <n v="0.47799999999999998"/>
    <n v="7.1"/>
  </r>
  <r>
    <x v="69"/>
    <x v="29"/>
    <x v="6"/>
    <n v="26871"/>
    <n v="59151.040000000001"/>
    <n v="6.64"/>
    <n v="4099.6000000000004"/>
    <n v="0.52400000000000002"/>
    <n v="6.7"/>
  </r>
  <r>
    <x v="69"/>
    <x v="30"/>
    <x v="9"/>
    <n v="30249"/>
    <n v="68289.03"/>
    <n v="6.69"/>
    <n v="4493.2"/>
    <n v="0.23499999999999999"/>
    <n v="7.4"/>
  </r>
  <r>
    <x v="69"/>
    <x v="31"/>
    <x v="17"/>
    <n v="37487"/>
    <n v="83449.52"/>
    <n v="6.59"/>
    <n v="5646.8"/>
    <n v="0.6"/>
    <n v="6.6"/>
  </r>
  <r>
    <x v="69"/>
    <x v="32"/>
    <x v="5"/>
    <n v="22168"/>
    <n v="45377.62"/>
    <n v="6.34"/>
    <n v="3522.4"/>
    <n v="0.308"/>
    <n v="6.8"/>
  </r>
  <r>
    <x v="69"/>
    <x v="33"/>
    <x v="6"/>
    <n v="35147"/>
    <n v="75819.14"/>
    <n v="6.43"/>
    <n v="5511.7"/>
    <n v="0.38100000000000001"/>
    <n v="7"/>
  </r>
  <r>
    <x v="69"/>
    <x v="34"/>
    <x v="2"/>
    <n v="33334"/>
    <n v="73053.350000000006"/>
    <n v="6.59"/>
    <n v="5058.3999999999996"/>
    <n v="0.35"/>
    <n v="6.9"/>
  </r>
  <r>
    <x v="69"/>
    <x v="35"/>
    <x v="12"/>
    <n v="18330"/>
    <n v="38211.230000000003"/>
    <n v="6.47"/>
    <n v="2896.8"/>
    <n v="0.5"/>
    <n v="6.3"/>
  </r>
  <r>
    <x v="70"/>
    <x v="0"/>
    <x v="17"/>
    <n v="41242"/>
    <n v="85852.87"/>
    <n v="6.26"/>
    <n v="6545.4"/>
    <n v="0.4"/>
    <n v="7.9"/>
  </r>
  <r>
    <x v="70"/>
    <x v="1"/>
    <x v="6"/>
    <n v="30282"/>
    <n v="63478.25"/>
    <n v="6.54"/>
    <n v="4679"/>
    <n v="0.61899999999999999"/>
    <n v="7.2"/>
  </r>
  <r>
    <x v="70"/>
    <x v="2"/>
    <x v="12"/>
    <n v="27828"/>
    <n v="64585.88"/>
    <n v="6.47"/>
    <n v="4352.5"/>
    <n v="0.55600000000000005"/>
    <n v="7.3"/>
  </r>
  <r>
    <x v="70"/>
    <x v="3"/>
    <x v="6"/>
    <n v="33749"/>
    <n v="73529.72"/>
    <n v="6.39"/>
    <n v="5378.5"/>
    <n v="0.42899999999999999"/>
    <n v="7.7"/>
  </r>
  <r>
    <x v="70"/>
    <x v="4"/>
    <x v="2"/>
    <n v="28972"/>
    <n v="63241.73"/>
    <n v="6.31"/>
    <n v="4600.6000000000004"/>
    <n v="0.5"/>
    <n v="7.7"/>
  </r>
  <r>
    <x v="70"/>
    <x v="5"/>
    <x v="5"/>
    <n v="16780"/>
    <n v="36729.47"/>
    <n v="6.74"/>
    <n v="2489.3000000000002"/>
    <n v="0.46200000000000002"/>
    <n v="6"/>
  </r>
  <r>
    <x v="70"/>
    <x v="6"/>
    <x v="29"/>
    <n v="8091"/>
    <n v="19062.14"/>
    <n v="6.46"/>
    <n v="1269.2"/>
    <n v="0.375"/>
    <n v="6.8"/>
  </r>
  <r>
    <x v="70"/>
    <x v="7"/>
    <x v="10"/>
    <n v="39003"/>
    <n v="81658.91"/>
    <n v="6.48"/>
    <n v="6052.6"/>
    <n v="0.37"/>
    <n v="6.8"/>
  </r>
  <r>
    <x v="70"/>
    <x v="8"/>
    <x v="10"/>
    <n v="40953"/>
    <n v="93045.16"/>
    <n v="6.58"/>
    <n v="6177.9"/>
    <n v="0.51900000000000002"/>
    <n v="6.8"/>
  </r>
  <r>
    <x v="70"/>
    <x v="9"/>
    <x v="10"/>
    <n v="32677"/>
    <n v="71646.720000000001"/>
    <n v="6.35"/>
    <n v="5183.1000000000004"/>
    <n v="0.37"/>
    <n v="7"/>
  </r>
  <r>
    <x v="70"/>
    <x v="10"/>
    <x v="8"/>
    <n v="25269"/>
    <n v="53300.43"/>
    <n v="6.48"/>
    <n v="3944.7"/>
    <n v="0.625"/>
    <n v="6.4"/>
  </r>
  <r>
    <x v="70"/>
    <x v="11"/>
    <x v="0"/>
    <n v="32328"/>
    <n v="64462.16"/>
    <n v="6.49"/>
    <n v="5046.3999999999996"/>
    <n v="0.73099999999999998"/>
    <n v="8"/>
  </r>
  <r>
    <x v="70"/>
    <x v="12"/>
    <x v="8"/>
    <n v="20400"/>
    <n v="45240.19"/>
    <n v="6.63"/>
    <n v="3183.9"/>
    <n v="0.438"/>
    <n v="6.8"/>
  </r>
  <r>
    <x v="70"/>
    <x v="13"/>
    <x v="9"/>
    <n v="23847"/>
    <n v="47772.25"/>
    <n v="6.58"/>
    <n v="3620.1"/>
    <n v="0.35299999999999998"/>
    <n v="7.3"/>
  </r>
  <r>
    <x v="70"/>
    <x v="14"/>
    <x v="10"/>
    <n v="44969"/>
    <n v="93941.11"/>
    <n v="6.48"/>
    <n v="6911"/>
    <n v="0.44400000000000001"/>
    <n v="6.8"/>
  </r>
  <r>
    <x v="70"/>
    <x v="15"/>
    <x v="8"/>
    <n v="24742"/>
    <n v="49593.88"/>
    <n v="6.74"/>
    <n v="3821.3"/>
    <n v="0.312"/>
    <n v="5.9"/>
  </r>
  <r>
    <x v="70"/>
    <x v="16"/>
    <x v="6"/>
    <n v="21062"/>
    <n v="40576.980000000003"/>
    <n v="6.46"/>
    <n v="3241.7"/>
    <n v="0.42899999999999999"/>
    <n v="7.4"/>
  </r>
  <r>
    <x v="70"/>
    <x v="17"/>
    <x v="1"/>
    <n v="14400"/>
    <n v="32808.83"/>
    <n v="6.46"/>
    <n v="2195.9"/>
    <n v="0.44400000000000001"/>
    <n v="5.5"/>
  </r>
  <r>
    <x v="70"/>
    <x v="18"/>
    <x v="11"/>
    <n v="29818"/>
    <n v="62696.15"/>
    <n v="6.64"/>
    <n v="4495.3999999999996"/>
    <n v="0.29199999999999998"/>
    <n v="7"/>
  </r>
  <r>
    <x v="70"/>
    <x v="19"/>
    <x v="22"/>
    <n v="39894"/>
    <n v="77206.31"/>
    <n v="6.51"/>
    <n v="6268.4"/>
    <n v="0.57099999999999995"/>
    <n v="6"/>
  </r>
  <r>
    <x v="70"/>
    <x v="20"/>
    <x v="4"/>
    <n v="15841"/>
    <n v="35181.85"/>
    <n v="6.65"/>
    <n v="2389.9"/>
    <n v="0.214"/>
    <n v="8.8000000000000007"/>
  </r>
  <r>
    <x v="70"/>
    <x v="21"/>
    <x v="6"/>
    <n v="28406"/>
    <n v="60419.54"/>
    <n v="6.57"/>
    <n v="4366.8"/>
    <n v="0.38100000000000001"/>
    <n v="7.4"/>
  </r>
  <r>
    <x v="70"/>
    <x v="22"/>
    <x v="15"/>
    <n v="35853"/>
    <n v="78044.36"/>
    <n v="6.49"/>
    <n v="5545.5"/>
    <n v="0.47799999999999998"/>
    <n v="7.3"/>
  </r>
  <r>
    <x v="70"/>
    <x v="23"/>
    <x v="21"/>
    <n v="17232"/>
    <n v="38845.980000000003"/>
    <n v="6.57"/>
    <n v="2658.2"/>
    <n v="0.27300000000000002"/>
    <n v="7.4"/>
  </r>
  <r>
    <x v="70"/>
    <x v="24"/>
    <x v="2"/>
    <n v="28582"/>
    <n v="63793.45"/>
    <n v="6.08"/>
    <n v="4763.5"/>
    <n v="0.5"/>
    <n v="6.2"/>
  </r>
  <r>
    <x v="70"/>
    <x v="25"/>
    <x v="15"/>
    <n v="34655"/>
    <n v="75264.3"/>
    <n v="6.49"/>
    <n v="5356.5"/>
    <n v="0.47799999999999998"/>
    <n v="6.7"/>
  </r>
  <r>
    <x v="70"/>
    <x v="26"/>
    <x v="8"/>
    <n v="22244"/>
    <n v="49891.199999999997"/>
    <n v="6.72"/>
    <n v="3295.4"/>
    <n v="0.25"/>
    <n v="6.9"/>
  </r>
  <r>
    <x v="70"/>
    <x v="27"/>
    <x v="15"/>
    <n v="24535"/>
    <n v="47160.08"/>
    <n v="6.51"/>
    <n v="3740.9"/>
    <n v="0.435"/>
    <n v="6.3"/>
  </r>
  <r>
    <x v="70"/>
    <x v="28"/>
    <x v="13"/>
    <n v="34389"/>
    <n v="77511.990000000005"/>
    <n v="6.54"/>
    <n v="5270"/>
    <n v="0.40899999999999997"/>
    <n v="7"/>
  </r>
  <r>
    <x v="70"/>
    <x v="29"/>
    <x v="15"/>
    <n v="32346"/>
    <n v="69618.84"/>
    <n v="6.51"/>
    <n v="4991.2"/>
    <n v="0.30399999999999999"/>
    <n v="7.3"/>
  </r>
  <r>
    <x v="70"/>
    <x v="30"/>
    <x v="14"/>
    <n v="24803"/>
    <n v="54086.12"/>
    <n v="6.64"/>
    <n v="3731.6"/>
    <n v="0.46700000000000003"/>
    <n v="6.2"/>
  </r>
  <r>
    <x v="70"/>
    <x v="31"/>
    <x v="17"/>
    <n v="29405"/>
    <n v="66655.149999999994"/>
    <n v="6.53"/>
    <n v="4594.7"/>
    <n v="0.36"/>
    <n v="7.2"/>
  </r>
  <r>
    <x v="70"/>
    <x v="32"/>
    <x v="3"/>
    <n v="31929"/>
    <n v="65698.83"/>
    <n v="6.68"/>
    <n v="4756.1000000000004"/>
    <n v="0.21099999999999999"/>
    <n v="6.7"/>
  </r>
  <r>
    <x v="70"/>
    <x v="33"/>
    <x v="28"/>
    <n v="42586"/>
    <n v="93723.87"/>
    <n v="6.65"/>
    <n v="6505"/>
    <n v="0.379"/>
    <n v="5.9"/>
  </r>
  <r>
    <x v="70"/>
    <x v="34"/>
    <x v="8"/>
    <n v="21154"/>
    <n v="49030.33"/>
    <n v="6.3"/>
    <n v="3380.5"/>
    <n v="0.375"/>
    <n v="6.3"/>
  </r>
  <r>
    <x v="70"/>
    <x v="35"/>
    <x v="12"/>
    <n v="29347"/>
    <n v="68648.3"/>
    <n v="6.6"/>
    <n v="4474.7"/>
    <n v="0.33300000000000002"/>
    <n v="6.3"/>
  </r>
  <r>
    <x v="71"/>
    <x v="0"/>
    <x v="3"/>
    <n v="27344"/>
    <n v="59911.99"/>
    <n v="6.57"/>
    <n v="4131.1000000000004"/>
    <n v="0.63200000000000001"/>
    <n v="6.8"/>
  </r>
  <r>
    <x v="71"/>
    <x v="1"/>
    <x v="13"/>
    <n v="32936"/>
    <n v="66322.48"/>
    <n v="6.22"/>
    <n v="5307.8"/>
    <n v="0.59099999999999997"/>
    <n v="6.4"/>
  </r>
  <r>
    <x v="71"/>
    <x v="2"/>
    <x v="8"/>
    <n v="28960"/>
    <n v="65621.570000000007"/>
    <n v="6.75"/>
    <n v="4216.8999999999996"/>
    <n v="0.5"/>
    <n v="6.5"/>
  </r>
  <r>
    <x v="71"/>
    <x v="3"/>
    <x v="7"/>
    <n v="12605"/>
    <n v="27808.240000000002"/>
    <n v="6.66"/>
    <n v="1923.5"/>
    <n v="0.33300000000000002"/>
    <n v="8.4"/>
  </r>
  <r>
    <x v="71"/>
    <x v="4"/>
    <x v="10"/>
    <n v="40268"/>
    <n v="89625.15"/>
    <n v="6.58"/>
    <n v="6185.9"/>
    <n v="0.51900000000000002"/>
    <n v="6.1"/>
  </r>
  <r>
    <x v="71"/>
    <x v="5"/>
    <x v="19"/>
    <n v="15366"/>
    <n v="32398.18"/>
    <n v="6.34"/>
    <n v="2444.1999999999998"/>
    <n v="0.3"/>
    <n v="6.3"/>
  </r>
  <r>
    <x v="71"/>
    <x v="6"/>
    <x v="21"/>
    <n v="13507"/>
    <n v="29648.51"/>
    <n v="6.37"/>
    <n v="2134.6"/>
    <n v="0.54500000000000004"/>
    <n v="5.9"/>
  </r>
  <r>
    <x v="71"/>
    <x v="7"/>
    <x v="5"/>
    <n v="15607"/>
    <n v="29407.78"/>
    <n v="6.45"/>
    <n v="2416.6999999999998"/>
    <n v="0.53800000000000003"/>
    <n v="7.5"/>
  </r>
  <r>
    <x v="71"/>
    <x v="8"/>
    <x v="3"/>
    <n v="28685"/>
    <n v="56287.61"/>
    <n v="6.36"/>
    <n v="4533.3"/>
    <n v="0.36799999999999999"/>
    <n v="5.5"/>
  </r>
  <r>
    <x v="71"/>
    <x v="9"/>
    <x v="14"/>
    <n v="17347"/>
    <n v="36104.01"/>
    <n v="6.48"/>
    <n v="2727.3"/>
    <n v="0.33300000000000002"/>
    <n v="7"/>
  </r>
  <r>
    <x v="71"/>
    <x v="10"/>
    <x v="14"/>
    <n v="21763"/>
    <n v="40879.64"/>
    <n v="6.39"/>
    <n v="3431.9"/>
    <n v="0.46700000000000003"/>
    <n v="6.4"/>
  </r>
  <r>
    <x v="71"/>
    <x v="11"/>
    <x v="6"/>
    <n v="29971"/>
    <n v="65072.84"/>
    <n v="6.67"/>
    <n v="4486.3999999999996"/>
    <n v="0.28599999999999998"/>
    <n v="6.9"/>
  </r>
  <r>
    <x v="71"/>
    <x v="12"/>
    <x v="2"/>
    <n v="25258"/>
    <n v="56999.51"/>
    <n v="6.47"/>
    <n v="3904.1"/>
    <n v="0.55000000000000004"/>
    <n v="7.2"/>
  </r>
  <r>
    <x v="71"/>
    <x v="13"/>
    <x v="21"/>
    <n v="12302"/>
    <n v="28291.79"/>
    <n v="6.56"/>
    <n v="1895.9"/>
    <n v="0.45500000000000002"/>
    <n v="7.4"/>
  </r>
  <r>
    <x v="71"/>
    <x v="14"/>
    <x v="14"/>
    <n v="24871"/>
    <n v="57409.64"/>
    <n v="6.45"/>
    <n v="3948.5"/>
    <n v="0.53300000000000003"/>
    <n v="7.8"/>
  </r>
  <r>
    <x v="71"/>
    <x v="15"/>
    <x v="19"/>
    <n v="12955"/>
    <n v="30089.84"/>
    <n v="6.49"/>
    <n v="1974.3"/>
    <n v="0.4"/>
    <n v="7.8"/>
  </r>
  <r>
    <x v="71"/>
    <x v="16"/>
    <x v="8"/>
    <n v="22625"/>
    <n v="52692.17"/>
    <n v="6.52"/>
    <n v="3390.9"/>
    <n v="0.375"/>
    <n v="8.1"/>
  </r>
  <r>
    <x v="71"/>
    <x v="17"/>
    <x v="14"/>
    <n v="19435"/>
    <n v="40290.86"/>
    <n v="6.64"/>
    <n v="2936.2"/>
    <n v="0.4"/>
    <n v="7.3"/>
  </r>
  <r>
    <x v="71"/>
    <x v="18"/>
    <x v="10"/>
    <n v="42818"/>
    <n v="100557.78"/>
    <n v="6.38"/>
    <n v="6769.7"/>
    <n v="0.48099999999999998"/>
    <n v="6.7"/>
  </r>
  <r>
    <x v="71"/>
    <x v="19"/>
    <x v="15"/>
    <n v="42969"/>
    <n v="93286.81"/>
    <n v="6.43"/>
    <n v="6721.8"/>
    <n v="0.56499999999999995"/>
    <n v="6.6"/>
  </r>
  <r>
    <x v="71"/>
    <x v="20"/>
    <x v="14"/>
    <n v="20970"/>
    <n v="46103.87"/>
    <n v="6.66"/>
    <n v="3260.5"/>
    <n v="0.46700000000000003"/>
    <n v="6.2"/>
  </r>
  <r>
    <x v="71"/>
    <x v="21"/>
    <x v="12"/>
    <n v="20723"/>
    <n v="49756.87"/>
    <n v="6.61"/>
    <n v="3105.8"/>
    <n v="0.33300000000000002"/>
    <n v="8"/>
  </r>
  <r>
    <x v="71"/>
    <x v="22"/>
    <x v="3"/>
    <n v="30263"/>
    <n v="67425.440000000002"/>
    <n v="6.23"/>
    <n v="4888.3"/>
    <n v="0.57899999999999996"/>
    <n v="6.6"/>
  </r>
  <r>
    <x v="71"/>
    <x v="23"/>
    <x v="28"/>
    <n v="37530"/>
    <n v="76300.929999999993"/>
    <n v="6.43"/>
    <n v="5841.5"/>
    <n v="0.41399999999999998"/>
    <n v="7.8"/>
  </r>
  <r>
    <x v="71"/>
    <x v="24"/>
    <x v="0"/>
    <n v="36899"/>
    <n v="83385.929999999993"/>
    <n v="6.3"/>
    <n v="5940"/>
    <n v="0.34599999999999997"/>
    <n v="6.4"/>
  </r>
  <r>
    <x v="71"/>
    <x v="25"/>
    <x v="12"/>
    <n v="26304"/>
    <n v="56599.85"/>
    <n v="6.64"/>
    <n v="3995.1"/>
    <n v="0.72199999999999998"/>
    <n v="7.8"/>
  </r>
  <r>
    <x v="71"/>
    <x v="26"/>
    <x v="10"/>
    <n v="33385"/>
    <n v="77888.56"/>
    <n v="6.64"/>
    <n v="5093.5"/>
    <n v="0.51900000000000002"/>
    <n v="6.5"/>
  </r>
  <r>
    <x v="71"/>
    <x v="27"/>
    <x v="9"/>
    <n v="18997"/>
    <n v="42994.02"/>
    <n v="6.4"/>
    <n v="2951.4"/>
    <n v="0.47099999999999997"/>
    <n v="7.2"/>
  </r>
  <r>
    <x v="71"/>
    <x v="28"/>
    <x v="2"/>
    <n v="26223"/>
    <n v="55125.279999999999"/>
    <n v="6.62"/>
    <n v="3964.2"/>
    <n v="0.35"/>
    <n v="6.1"/>
  </r>
  <r>
    <x v="71"/>
    <x v="29"/>
    <x v="13"/>
    <n v="30942"/>
    <n v="62508.58"/>
    <n v="6.21"/>
    <n v="5052.3999999999996"/>
    <n v="0.54500000000000004"/>
    <n v="6.6"/>
  </r>
  <r>
    <x v="71"/>
    <x v="30"/>
    <x v="3"/>
    <n v="30814"/>
    <n v="62790.1"/>
    <n v="6.44"/>
    <n v="4876.8"/>
    <n v="0.47399999999999998"/>
    <n v="7.3"/>
  </r>
  <r>
    <x v="71"/>
    <x v="31"/>
    <x v="13"/>
    <n v="24197"/>
    <n v="48850.46"/>
    <n v="6.34"/>
    <n v="3843.5"/>
    <n v="0.5"/>
    <n v="7"/>
  </r>
  <r>
    <x v="71"/>
    <x v="32"/>
    <x v="12"/>
    <n v="27320"/>
    <n v="60800.24"/>
    <n v="6.55"/>
    <n v="4125.3999999999996"/>
    <n v="0.55600000000000005"/>
    <n v="7.4"/>
  </r>
  <r>
    <x v="71"/>
    <x v="33"/>
    <x v="17"/>
    <n v="34647"/>
    <n v="69635"/>
    <n v="6.64"/>
    <n v="5238.6000000000004"/>
    <n v="0.4"/>
    <n v="6.3"/>
  </r>
  <r>
    <x v="71"/>
    <x v="34"/>
    <x v="11"/>
    <n v="30210"/>
    <n v="67291.12"/>
    <n v="6.42"/>
    <n v="4737.3999999999996"/>
    <n v="0.625"/>
    <n v="8.1999999999999993"/>
  </r>
  <r>
    <x v="71"/>
    <x v="35"/>
    <x v="6"/>
    <n v="36665"/>
    <n v="79205.17"/>
    <n v="6.43"/>
    <n v="5756.4"/>
    <n v="0.38100000000000001"/>
    <n v="6.6"/>
  </r>
  <r>
    <x v="72"/>
    <x v="0"/>
    <x v="12"/>
    <n v="25125"/>
    <n v="54974.9"/>
    <n v="6.34"/>
    <n v="3944"/>
    <n v="0.55600000000000005"/>
    <n v="6.2"/>
  </r>
  <r>
    <x v="72"/>
    <x v="1"/>
    <x v="5"/>
    <n v="17774"/>
    <n v="39021.49"/>
    <n v="6.45"/>
    <n v="2711.2"/>
    <n v="0.53800000000000003"/>
    <n v="8.1"/>
  </r>
  <r>
    <x v="72"/>
    <x v="2"/>
    <x v="3"/>
    <n v="24848"/>
    <n v="54381.22"/>
    <n v="6.73"/>
    <n v="3761.1"/>
    <n v="0.52600000000000002"/>
    <n v="6.2"/>
  </r>
  <r>
    <x v="72"/>
    <x v="3"/>
    <x v="2"/>
    <n v="32672"/>
    <n v="66047"/>
    <n v="6.38"/>
    <n v="5136.3"/>
    <n v="0.5"/>
    <n v="7.7"/>
  </r>
  <r>
    <x v="72"/>
    <x v="4"/>
    <x v="3"/>
    <n v="25768"/>
    <n v="60328.42"/>
    <n v="6.68"/>
    <n v="3938.6"/>
    <n v="0.21099999999999999"/>
    <n v="7.8"/>
  </r>
  <r>
    <x v="72"/>
    <x v="5"/>
    <x v="14"/>
    <n v="19229"/>
    <n v="36882.75"/>
    <n v="6.43"/>
    <n v="3004.9"/>
    <n v="0.73299999999999998"/>
    <n v="6.9"/>
  </r>
  <r>
    <x v="72"/>
    <x v="6"/>
    <x v="2"/>
    <n v="26002"/>
    <n v="50424.36"/>
    <n v="6.55"/>
    <n v="3955.1"/>
    <n v="0.5"/>
    <n v="7.6"/>
  </r>
  <r>
    <x v="72"/>
    <x v="7"/>
    <x v="0"/>
    <n v="32705"/>
    <n v="68935.41"/>
    <n v="6.63"/>
    <n v="5052.1000000000004"/>
    <n v="0.34599999999999997"/>
    <n v="6.9"/>
  </r>
  <r>
    <x v="72"/>
    <x v="8"/>
    <x v="8"/>
    <n v="22821"/>
    <n v="52209.36"/>
    <n v="6.27"/>
    <n v="3676.6"/>
    <n v="0.375"/>
    <n v="6.8"/>
  </r>
  <r>
    <x v="72"/>
    <x v="9"/>
    <x v="14"/>
    <n v="20803"/>
    <n v="43368.4"/>
    <n v="6.58"/>
    <n v="3148.2"/>
    <n v="0.4"/>
    <n v="6.5"/>
  </r>
  <r>
    <x v="72"/>
    <x v="10"/>
    <x v="6"/>
    <n v="32957"/>
    <n v="69069.38"/>
    <n v="6.61"/>
    <n v="4985.8"/>
    <n v="0.33300000000000002"/>
    <n v="7.3"/>
  </r>
  <r>
    <x v="72"/>
    <x v="11"/>
    <x v="14"/>
    <n v="25309"/>
    <n v="56729.65"/>
    <n v="6.48"/>
    <n v="3968.7"/>
    <n v="0.46700000000000003"/>
    <n v="6.8"/>
  </r>
  <r>
    <x v="72"/>
    <x v="12"/>
    <x v="12"/>
    <n v="21893"/>
    <n v="51333.03"/>
    <n v="6.6"/>
    <n v="3321.2"/>
    <n v="0.44400000000000001"/>
    <n v="7.9"/>
  </r>
  <r>
    <x v="72"/>
    <x v="13"/>
    <x v="3"/>
    <n v="34039"/>
    <n v="72047.199999999997"/>
    <n v="6.37"/>
    <n v="5362.9"/>
    <n v="0.36799999999999999"/>
    <n v="7.3"/>
  </r>
  <r>
    <x v="72"/>
    <x v="14"/>
    <x v="8"/>
    <n v="17626"/>
    <n v="37661.22"/>
    <n v="6.71"/>
    <n v="2612.3000000000002"/>
    <n v="0.375"/>
    <n v="7.5"/>
  </r>
  <r>
    <x v="72"/>
    <x v="15"/>
    <x v="13"/>
    <n v="30655"/>
    <n v="65314.13"/>
    <n v="6.44"/>
    <n v="4781.8"/>
    <n v="0.54500000000000004"/>
    <n v="8.5"/>
  </r>
  <r>
    <x v="72"/>
    <x v="16"/>
    <x v="8"/>
    <n v="25014"/>
    <n v="52320.82"/>
    <n v="6.88"/>
    <n v="3632.2"/>
    <n v="0.56200000000000006"/>
    <n v="6.7"/>
  </r>
  <r>
    <x v="72"/>
    <x v="17"/>
    <x v="2"/>
    <n v="26361"/>
    <n v="56952.34"/>
    <n v="6.35"/>
    <n v="4142.3999999999996"/>
    <n v="0.55000000000000004"/>
    <n v="6.8"/>
  </r>
  <r>
    <x v="72"/>
    <x v="18"/>
    <x v="11"/>
    <n v="28758"/>
    <n v="66564.41"/>
    <n v="6.54"/>
    <n v="4484.8"/>
    <n v="0.41699999999999998"/>
    <n v="6.5"/>
  </r>
  <r>
    <x v="72"/>
    <x v="19"/>
    <x v="6"/>
    <n v="35139"/>
    <n v="76209.91"/>
    <n v="6.32"/>
    <n v="5592.8"/>
    <n v="0.28599999999999998"/>
    <n v="7.3"/>
  </r>
  <r>
    <x v="72"/>
    <x v="20"/>
    <x v="12"/>
    <n v="17464"/>
    <n v="39035.46"/>
    <n v="6.43"/>
    <n v="2741.4"/>
    <n v="0.38900000000000001"/>
    <n v="8.1999999999999993"/>
  </r>
  <r>
    <x v="72"/>
    <x v="21"/>
    <x v="3"/>
    <n v="25651"/>
    <n v="56414.1"/>
    <n v="6.42"/>
    <n v="3998.4"/>
    <n v="0.52600000000000002"/>
    <n v="6.6"/>
  </r>
  <r>
    <x v="72"/>
    <x v="22"/>
    <x v="21"/>
    <n v="17313"/>
    <n v="37308.339999999997"/>
    <n v="6.51"/>
    <n v="2654.9"/>
    <n v="0.54500000000000004"/>
    <n v="6.7"/>
  </r>
  <r>
    <x v="72"/>
    <x v="23"/>
    <x v="3"/>
    <n v="31976"/>
    <n v="66801.119999999995"/>
    <n v="6.49"/>
    <n v="4996.3"/>
    <n v="0.57899999999999996"/>
    <n v="7.8"/>
  </r>
  <r>
    <x v="72"/>
    <x v="24"/>
    <x v="3"/>
    <n v="29765"/>
    <n v="67441.539999999994"/>
    <n v="6.6"/>
    <n v="4566.6000000000004"/>
    <n v="0.47399999999999998"/>
    <n v="8.4"/>
  </r>
  <r>
    <x v="72"/>
    <x v="25"/>
    <x v="14"/>
    <n v="24477"/>
    <n v="49334.34"/>
    <n v="6.37"/>
    <n v="3845.9"/>
    <n v="0.6"/>
    <n v="6.1"/>
  </r>
  <r>
    <x v="72"/>
    <x v="26"/>
    <x v="6"/>
    <n v="35242"/>
    <n v="78779.87"/>
    <n v="6.52"/>
    <n v="5488.9"/>
    <n v="0.47599999999999998"/>
    <n v="6.9"/>
  </r>
  <r>
    <x v="72"/>
    <x v="27"/>
    <x v="4"/>
    <n v="20652"/>
    <n v="41314.33"/>
    <n v="6.46"/>
    <n v="3159.1"/>
    <n v="0.42899999999999999"/>
    <n v="8"/>
  </r>
  <r>
    <x v="72"/>
    <x v="28"/>
    <x v="6"/>
    <n v="33909"/>
    <n v="73005.05"/>
    <n v="6.58"/>
    <n v="5133.3"/>
    <n v="0.66700000000000004"/>
    <n v="7.5"/>
  </r>
  <r>
    <x v="72"/>
    <x v="29"/>
    <x v="13"/>
    <n v="27937"/>
    <n v="59384.31"/>
    <n v="6.44"/>
    <n v="4374.5"/>
    <n v="0.54500000000000004"/>
    <n v="6.4"/>
  </r>
  <r>
    <x v="72"/>
    <x v="30"/>
    <x v="12"/>
    <n v="25650"/>
    <n v="56457.53"/>
    <n v="6.38"/>
    <n v="3972.7"/>
    <n v="0.33300000000000002"/>
    <n v="7.9"/>
  </r>
  <r>
    <x v="72"/>
    <x v="31"/>
    <x v="3"/>
    <n v="28585"/>
    <n v="60329.62"/>
    <n v="6.65"/>
    <n v="4288.8"/>
    <n v="0.36799999999999999"/>
    <n v="7.1"/>
  </r>
  <r>
    <x v="72"/>
    <x v="32"/>
    <x v="5"/>
    <n v="16079"/>
    <n v="31624.93"/>
    <n v="6.73"/>
    <n v="2400.8000000000002"/>
    <n v="0.38500000000000001"/>
    <n v="7.2"/>
  </r>
  <r>
    <x v="72"/>
    <x v="33"/>
    <x v="15"/>
    <n v="28814"/>
    <n v="58545.42"/>
    <n v="6.35"/>
    <n v="4604.8999999999996"/>
    <n v="0.47799999999999998"/>
    <n v="6.8"/>
  </r>
  <r>
    <x v="72"/>
    <x v="34"/>
    <x v="3"/>
    <n v="24377"/>
    <n v="53153.89"/>
    <n v="6.61"/>
    <n v="3707.1"/>
    <n v="0.52600000000000002"/>
    <n v="7.2"/>
  </r>
  <r>
    <x v="72"/>
    <x v="35"/>
    <x v="13"/>
    <n v="28049"/>
    <n v="60735.01"/>
    <n v="6.44"/>
    <n v="4448.3"/>
    <n v="0.36399999999999999"/>
    <n v="7.3"/>
  </r>
  <r>
    <x v="73"/>
    <x v="0"/>
    <x v="2"/>
    <n v="27807"/>
    <n v="63852.52"/>
    <n v="6.46"/>
    <n v="4263"/>
    <n v="0.55000000000000004"/>
    <n v="7.5"/>
  </r>
  <r>
    <x v="73"/>
    <x v="1"/>
    <x v="2"/>
    <n v="30515"/>
    <n v="58834.17"/>
    <n v="6.37"/>
    <n v="4861"/>
    <n v="0.3"/>
    <n v="8"/>
  </r>
  <r>
    <x v="73"/>
    <x v="2"/>
    <x v="9"/>
    <n v="27064"/>
    <n v="55360.85"/>
    <n v="6.4"/>
    <n v="4189.7"/>
    <n v="0.64700000000000002"/>
    <n v="6.8"/>
  </r>
  <r>
    <x v="73"/>
    <x v="3"/>
    <x v="13"/>
    <n v="29965"/>
    <n v="61105.2"/>
    <n v="6.48"/>
    <n v="4668.1000000000004"/>
    <n v="0.27300000000000002"/>
    <n v="7.7"/>
  </r>
  <r>
    <x v="73"/>
    <x v="4"/>
    <x v="13"/>
    <n v="36064"/>
    <n v="73359.38"/>
    <n v="6.43"/>
    <n v="5622.3"/>
    <n v="0.45500000000000002"/>
    <n v="7"/>
  </r>
  <r>
    <x v="73"/>
    <x v="5"/>
    <x v="8"/>
    <n v="23289"/>
    <n v="49530.28"/>
    <n v="6.35"/>
    <n v="3707.8"/>
    <n v="0.56200000000000006"/>
    <n v="6.4"/>
  </r>
  <r>
    <x v="73"/>
    <x v="6"/>
    <x v="2"/>
    <n v="25343"/>
    <n v="51302.67"/>
    <n v="6.57"/>
    <n v="3939"/>
    <n v="0.45"/>
    <n v="6"/>
  </r>
  <r>
    <x v="73"/>
    <x v="7"/>
    <x v="15"/>
    <n v="25629"/>
    <n v="55872.21"/>
    <n v="6.44"/>
    <n v="4036.3"/>
    <n v="0.30399999999999999"/>
    <n v="7"/>
  </r>
  <r>
    <x v="73"/>
    <x v="8"/>
    <x v="14"/>
    <n v="23331"/>
    <n v="57226.41"/>
    <n v="6.53"/>
    <n v="3601.5"/>
    <n v="0.4"/>
    <n v="6.4"/>
  </r>
  <r>
    <x v="73"/>
    <x v="9"/>
    <x v="13"/>
    <n v="29422"/>
    <n v="64819.69"/>
    <n v="6.52"/>
    <n v="4589.8999999999996"/>
    <n v="0.36399999999999999"/>
    <n v="7.5"/>
  </r>
  <r>
    <x v="73"/>
    <x v="10"/>
    <x v="3"/>
    <n v="30817"/>
    <n v="68331.59"/>
    <n v="6.37"/>
    <n v="4791.8999999999996"/>
    <n v="0.52600000000000002"/>
    <n v="6.2"/>
  </r>
  <r>
    <x v="73"/>
    <x v="11"/>
    <x v="15"/>
    <n v="34122"/>
    <n v="68157.850000000006"/>
    <n v="6.48"/>
    <n v="5299.9"/>
    <n v="0.56499999999999995"/>
    <n v="6.2"/>
  </r>
  <r>
    <x v="73"/>
    <x v="12"/>
    <x v="13"/>
    <n v="26797"/>
    <n v="56330.01"/>
    <n v="6.49"/>
    <n v="4158.8999999999996"/>
    <n v="0.36399999999999999"/>
    <n v="7"/>
  </r>
  <r>
    <x v="73"/>
    <x v="13"/>
    <x v="14"/>
    <n v="17211"/>
    <n v="41395.120000000003"/>
    <n v="6.52"/>
    <n v="2654.6"/>
    <n v="0.4"/>
    <n v="7.4"/>
  </r>
  <r>
    <x v="73"/>
    <x v="14"/>
    <x v="12"/>
    <n v="29869"/>
    <n v="67424.490000000005"/>
    <n v="6.61"/>
    <n v="4562.1000000000004"/>
    <n v="0.27800000000000002"/>
    <n v="7.5"/>
  </r>
  <r>
    <x v="73"/>
    <x v="15"/>
    <x v="7"/>
    <n v="18885"/>
    <n v="45670.45"/>
    <n v="6.52"/>
    <n v="2949"/>
    <n v="0.58299999999999996"/>
    <n v="7.7"/>
  </r>
  <r>
    <x v="73"/>
    <x v="16"/>
    <x v="17"/>
    <n v="39198"/>
    <n v="82359.47"/>
    <n v="6.44"/>
    <n v="6109.3"/>
    <n v="0.56000000000000005"/>
    <n v="6.7"/>
  </r>
  <r>
    <x v="73"/>
    <x v="17"/>
    <x v="0"/>
    <n v="30261"/>
    <n v="64794.6"/>
    <n v="6.61"/>
    <n v="4656.7"/>
    <n v="0.42299999999999999"/>
    <n v="8.1"/>
  </r>
  <r>
    <x v="73"/>
    <x v="18"/>
    <x v="0"/>
    <n v="40052"/>
    <n v="86268.21"/>
    <n v="6.62"/>
    <n v="6207.5"/>
    <n v="0.42299999999999999"/>
    <n v="6.9"/>
  </r>
  <r>
    <x v="73"/>
    <x v="19"/>
    <x v="9"/>
    <n v="27875"/>
    <n v="59525.58"/>
    <n v="6.43"/>
    <n v="4343.2"/>
    <n v="0.58799999999999997"/>
    <n v="7"/>
  </r>
  <r>
    <x v="73"/>
    <x v="20"/>
    <x v="21"/>
    <n v="15420"/>
    <n v="35876.99"/>
    <n v="6.36"/>
    <n v="2432.6999999999998"/>
    <n v="0.45500000000000002"/>
    <n v="8.1"/>
  </r>
  <r>
    <x v="73"/>
    <x v="21"/>
    <x v="13"/>
    <n v="34426"/>
    <n v="76354.679999999993"/>
    <n v="6.49"/>
    <n v="5334.3"/>
    <n v="0.36399999999999999"/>
    <n v="5.9"/>
  </r>
  <r>
    <x v="73"/>
    <x v="22"/>
    <x v="6"/>
    <n v="19131"/>
    <n v="38491.74"/>
    <n v="6.4"/>
    <n v="2953.8"/>
    <n v="0.52400000000000002"/>
    <n v="7.6"/>
  </r>
  <r>
    <x v="73"/>
    <x v="23"/>
    <x v="15"/>
    <n v="28596"/>
    <n v="60050.22"/>
    <n v="6.6"/>
    <n v="4382.6000000000004"/>
    <n v="0.34799999999999998"/>
    <n v="7.1"/>
  </r>
  <r>
    <x v="73"/>
    <x v="24"/>
    <x v="7"/>
    <n v="14259"/>
    <n v="29205.97"/>
    <n v="6.41"/>
    <n v="2249.6"/>
    <n v="0.41699999999999998"/>
    <n v="6.8"/>
  </r>
  <r>
    <x v="73"/>
    <x v="25"/>
    <x v="2"/>
    <n v="27268"/>
    <n v="62208.57"/>
    <n v="6.32"/>
    <n v="4452.7"/>
    <n v="0.25"/>
    <n v="7.5"/>
  </r>
  <r>
    <x v="73"/>
    <x v="26"/>
    <x v="11"/>
    <n v="33463"/>
    <n v="69179.48"/>
    <n v="6.55"/>
    <n v="5207.5"/>
    <n v="0.375"/>
    <n v="7.4"/>
  </r>
  <r>
    <x v="73"/>
    <x v="27"/>
    <x v="8"/>
    <n v="19401"/>
    <n v="45111.23"/>
    <n v="6.59"/>
    <n v="2930.2"/>
    <n v="0.56200000000000006"/>
    <n v="7.6"/>
  </r>
  <r>
    <x v="73"/>
    <x v="28"/>
    <x v="11"/>
    <n v="43454"/>
    <n v="86479.25"/>
    <n v="6.63"/>
    <n v="6596.9"/>
    <n v="0.29199999999999998"/>
    <n v="6.8"/>
  </r>
  <r>
    <x v="73"/>
    <x v="29"/>
    <x v="17"/>
    <n v="38959"/>
    <n v="86076.73"/>
    <n v="6.31"/>
    <n v="6164.3"/>
    <n v="0.52"/>
    <n v="6.4"/>
  </r>
  <r>
    <x v="73"/>
    <x v="30"/>
    <x v="4"/>
    <n v="21854"/>
    <n v="45895.37"/>
    <n v="6.31"/>
    <n v="3465"/>
    <n v="0.57099999999999995"/>
    <n v="6"/>
  </r>
  <r>
    <x v="73"/>
    <x v="31"/>
    <x v="14"/>
    <n v="21277"/>
    <n v="43885.83"/>
    <n v="6.5"/>
    <n v="3270.9"/>
    <n v="0.2"/>
    <n v="7.3"/>
  </r>
  <r>
    <x v="73"/>
    <x v="32"/>
    <x v="9"/>
    <n v="19270"/>
    <n v="41890.49"/>
    <n v="6.8"/>
    <n v="2908.8"/>
    <n v="0.58799999999999997"/>
    <n v="7.1"/>
  </r>
  <r>
    <x v="73"/>
    <x v="33"/>
    <x v="3"/>
    <n v="27601"/>
    <n v="58015.37"/>
    <n v="6.56"/>
    <n v="4200.3"/>
    <n v="0.316"/>
    <n v="6.3"/>
  </r>
  <r>
    <x v="73"/>
    <x v="34"/>
    <x v="9"/>
    <n v="25400"/>
    <n v="53110.83"/>
    <n v="6.39"/>
    <n v="4000.5"/>
    <n v="0.58799999999999997"/>
    <n v="6.9"/>
  </r>
  <r>
    <x v="73"/>
    <x v="35"/>
    <x v="4"/>
    <n v="23485"/>
    <n v="47937.43"/>
    <n v="6.52"/>
    <n v="3637.1"/>
    <n v="0.35699999999999998"/>
    <n v="7.3"/>
  </r>
  <r>
    <x v="74"/>
    <x v="0"/>
    <x v="9"/>
    <n v="27302"/>
    <n v="61152.77"/>
    <n v="6.46"/>
    <n v="4247.7"/>
    <n v="0.58799999999999997"/>
    <n v="7.8"/>
  </r>
  <r>
    <x v="74"/>
    <x v="1"/>
    <x v="8"/>
    <n v="19773"/>
    <n v="46043.02"/>
    <n v="6.59"/>
    <n v="3007.5"/>
    <n v="0.56200000000000006"/>
    <n v="6.7"/>
  </r>
  <r>
    <x v="74"/>
    <x v="2"/>
    <x v="8"/>
    <n v="26484"/>
    <n v="55722.43"/>
    <n v="6.3"/>
    <n v="4308.2"/>
    <n v="0.56200000000000006"/>
    <n v="8"/>
  </r>
  <r>
    <x v="74"/>
    <x v="3"/>
    <x v="0"/>
    <n v="32121"/>
    <n v="72155.149999999994"/>
    <n v="6.52"/>
    <n v="5007.3999999999996"/>
    <n v="0.42299999999999999"/>
    <n v="7.9"/>
  </r>
  <r>
    <x v="74"/>
    <x v="4"/>
    <x v="7"/>
    <n v="15303"/>
    <n v="35017.699999999997"/>
    <n v="6.57"/>
    <n v="2361.6"/>
    <n v="0.58299999999999996"/>
    <n v="6.1"/>
  </r>
  <r>
    <x v="74"/>
    <x v="5"/>
    <x v="4"/>
    <n v="19619"/>
    <n v="44235.1"/>
    <n v="6.62"/>
    <n v="3083.2"/>
    <n v="0.5"/>
    <n v="6.6"/>
  </r>
  <r>
    <x v="74"/>
    <x v="6"/>
    <x v="5"/>
    <n v="14208"/>
    <n v="29493.55"/>
    <n v="6.39"/>
    <n v="2256.1999999999998"/>
    <n v="0.46200000000000002"/>
    <n v="7.3"/>
  </r>
  <r>
    <x v="74"/>
    <x v="7"/>
    <x v="2"/>
    <n v="26417"/>
    <n v="60719.93"/>
    <n v="6.51"/>
    <n v="4020.8"/>
    <n v="0.45"/>
    <n v="6.9"/>
  </r>
  <r>
    <x v="74"/>
    <x v="8"/>
    <x v="15"/>
    <n v="28245"/>
    <n v="63106.77"/>
    <n v="6.59"/>
    <n v="4242.8"/>
    <n v="0.47799999999999998"/>
    <n v="7.7"/>
  </r>
  <r>
    <x v="74"/>
    <x v="9"/>
    <x v="3"/>
    <n v="24014"/>
    <n v="50903.58"/>
    <n v="6.68"/>
    <n v="3653.3"/>
    <n v="0.57899999999999996"/>
    <n v="7.7"/>
  </r>
  <r>
    <x v="74"/>
    <x v="10"/>
    <x v="8"/>
    <n v="19240"/>
    <n v="41199.42"/>
    <n v="6.56"/>
    <n v="2917.5"/>
    <n v="0.438"/>
    <n v="5.5"/>
  </r>
  <r>
    <x v="74"/>
    <x v="11"/>
    <x v="12"/>
    <n v="25242"/>
    <n v="55393.61"/>
    <n v="6.45"/>
    <n v="3932.9"/>
    <n v="0.61099999999999999"/>
    <n v="8.9"/>
  </r>
  <r>
    <x v="74"/>
    <x v="12"/>
    <x v="6"/>
    <n v="29586"/>
    <n v="66415.600000000006"/>
    <n v="6.54"/>
    <n v="4558.2"/>
    <n v="0.47599999999999998"/>
    <n v="6.6"/>
  </r>
  <r>
    <x v="74"/>
    <x v="13"/>
    <x v="21"/>
    <n v="9089"/>
    <n v="21341.15"/>
    <n v="6.39"/>
    <n v="1411.5"/>
    <n v="0.27300000000000002"/>
    <n v="6.7"/>
  </r>
  <r>
    <x v="74"/>
    <x v="14"/>
    <x v="3"/>
    <n v="29324"/>
    <n v="64960.32"/>
    <n v="6.5"/>
    <n v="4581.8"/>
    <n v="0.36799999999999999"/>
    <n v="6.2"/>
  </r>
  <r>
    <x v="74"/>
    <x v="15"/>
    <x v="10"/>
    <n v="36201"/>
    <n v="68519.600000000006"/>
    <n v="6.63"/>
    <n v="5521.1"/>
    <n v="0.51900000000000002"/>
    <n v="7.2"/>
  </r>
  <r>
    <x v="74"/>
    <x v="16"/>
    <x v="3"/>
    <n v="28525"/>
    <n v="59394.26"/>
    <n v="6.53"/>
    <n v="4336.1000000000004"/>
    <n v="0.316"/>
    <n v="5.8"/>
  </r>
  <r>
    <x v="74"/>
    <x v="17"/>
    <x v="6"/>
    <n v="30882"/>
    <n v="63142.080000000002"/>
    <n v="6.45"/>
    <n v="4725.2"/>
    <n v="0.38100000000000001"/>
    <n v="6.5"/>
  </r>
  <r>
    <x v="74"/>
    <x v="18"/>
    <x v="2"/>
    <n v="33447"/>
    <n v="77721.16"/>
    <n v="6.55"/>
    <n v="5219.2"/>
    <n v="0.6"/>
    <n v="7.7"/>
  </r>
  <r>
    <x v="74"/>
    <x v="19"/>
    <x v="3"/>
    <n v="23764"/>
    <n v="47077.36"/>
    <n v="6.22"/>
    <n v="3775.2"/>
    <n v="0.47399999999999998"/>
    <n v="6.9"/>
  </r>
  <r>
    <x v="74"/>
    <x v="20"/>
    <x v="9"/>
    <n v="25051"/>
    <n v="52520.63"/>
    <n v="6.43"/>
    <n v="3900.9"/>
    <n v="0.47099999999999997"/>
    <n v="7.5"/>
  </r>
  <r>
    <x v="74"/>
    <x v="21"/>
    <x v="12"/>
    <n v="25479"/>
    <n v="57237.16"/>
    <n v="6.76"/>
    <n v="3787.7"/>
    <n v="0.38900000000000001"/>
    <n v="6.1"/>
  </r>
  <r>
    <x v="74"/>
    <x v="22"/>
    <x v="4"/>
    <n v="19109"/>
    <n v="44872.09"/>
    <n v="6.47"/>
    <n v="2945.5"/>
    <n v="0.214"/>
    <n v="6.4"/>
  </r>
  <r>
    <x v="74"/>
    <x v="23"/>
    <x v="8"/>
    <n v="25682"/>
    <n v="58328.35"/>
    <n v="6.68"/>
    <n v="3890.1"/>
    <n v="0.5"/>
    <n v="6.5"/>
  </r>
  <r>
    <x v="74"/>
    <x v="24"/>
    <x v="7"/>
    <n v="19717"/>
    <n v="47070.33"/>
    <n v="6.39"/>
    <n v="3153.3"/>
    <n v="0.16700000000000001"/>
    <n v="7.3"/>
  </r>
  <r>
    <x v="74"/>
    <x v="25"/>
    <x v="4"/>
    <n v="22786"/>
    <n v="49260.97"/>
    <n v="6.3"/>
    <n v="3705.5"/>
    <n v="0.57099999999999995"/>
    <n v="7.7"/>
  </r>
  <r>
    <x v="74"/>
    <x v="26"/>
    <x v="21"/>
    <n v="15564"/>
    <n v="30717.58"/>
    <n v="6.67"/>
    <n v="2292.5"/>
    <n v="0.27300000000000002"/>
    <n v="7.1"/>
  </r>
  <r>
    <x v="74"/>
    <x v="27"/>
    <x v="9"/>
    <n v="23792"/>
    <n v="48277.98"/>
    <n v="6.51"/>
    <n v="3715.8"/>
    <n v="0.64700000000000002"/>
    <n v="6.8"/>
  </r>
  <r>
    <x v="74"/>
    <x v="28"/>
    <x v="5"/>
    <n v="17237"/>
    <n v="35848.639999999999"/>
    <n v="6.36"/>
    <n v="2701.6"/>
    <n v="0.38500000000000001"/>
    <n v="7.4"/>
  </r>
  <r>
    <x v="74"/>
    <x v="29"/>
    <x v="4"/>
    <n v="21484"/>
    <n v="38989.410000000003"/>
    <n v="6.65"/>
    <n v="3287.8"/>
    <n v="0.42899999999999999"/>
    <n v="7.3"/>
  </r>
  <r>
    <x v="74"/>
    <x v="30"/>
    <x v="19"/>
    <n v="16525"/>
    <n v="37358.370000000003"/>
    <n v="6.35"/>
    <n v="2664.9"/>
    <n v="0.4"/>
    <n v="6.8"/>
  </r>
  <r>
    <x v="74"/>
    <x v="31"/>
    <x v="3"/>
    <n v="25350"/>
    <n v="53993.46"/>
    <n v="6.53"/>
    <n v="3947.9"/>
    <n v="0.36799999999999999"/>
    <n v="5.7"/>
  </r>
  <r>
    <x v="74"/>
    <x v="32"/>
    <x v="21"/>
    <n v="21385"/>
    <n v="52326.59"/>
    <n v="6.59"/>
    <n v="3283"/>
    <n v="0.45500000000000002"/>
    <n v="5.2"/>
  </r>
  <r>
    <x v="74"/>
    <x v="33"/>
    <x v="14"/>
    <n v="24138"/>
    <n v="53278.75"/>
    <n v="6.49"/>
    <n v="3726.2"/>
    <n v="0.53300000000000003"/>
    <n v="7.8"/>
  </r>
  <r>
    <x v="74"/>
    <x v="34"/>
    <x v="8"/>
    <n v="22789"/>
    <n v="54590.5"/>
    <n v="6.6"/>
    <n v="3531.2"/>
    <n v="0.5"/>
    <n v="7.7"/>
  </r>
  <r>
    <x v="74"/>
    <x v="35"/>
    <x v="15"/>
    <n v="31065"/>
    <n v="68919.100000000006"/>
    <n v="6.63"/>
    <n v="4646.7"/>
    <n v="0.56499999999999995"/>
    <n v="7.6"/>
  </r>
  <r>
    <x v="75"/>
    <x v="0"/>
    <x v="22"/>
    <n v="43049"/>
    <n v="89942.88"/>
    <n v="6.66"/>
    <n v="6538.8"/>
    <n v="0.39300000000000002"/>
    <n v="7"/>
  </r>
  <r>
    <x v="75"/>
    <x v="1"/>
    <x v="6"/>
    <n v="30255"/>
    <n v="60090.81"/>
    <n v="6.47"/>
    <n v="4680.3999999999996"/>
    <n v="0.38100000000000001"/>
    <n v="7.1"/>
  </r>
  <r>
    <x v="75"/>
    <x v="2"/>
    <x v="7"/>
    <n v="15524"/>
    <n v="33217.300000000003"/>
    <n v="6.26"/>
    <n v="2526.1"/>
    <n v="0.33300000000000002"/>
    <n v="9.1"/>
  </r>
  <r>
    <x v="75"/>
    <x v="3"/>
    <x v="6"/>
    <n v="30146"/>
    <n v="60466.93"/>
    <n v="6.59"/>
    <n v="4549.3"/>
    <n v="0.28599999999999998"/>
    <n v="6.4"/>
  </r>
  <r>
    <x v="75"/>
    <x v="4"/>
    <x v="8"/>
    <n v="17526"/>
    <n v="39227.21"/>
    <n v="6.55"/>
    <n v="2664.2"/>
    <n v="0.438"/>
    <n v="5.7"/>
  </r>
  <r>
    <x v="75"/>
    <x v="5"/>
    <x v="14"/>
    <n v="20660"/>
    <n v="42361.02"/>
    <n v="6.77"/>
    <n v="3032.3"/>
    <n v="0.6"/>
    <n v="6.7"/>
  </r>
  <r>
    <x v="75"/>
    <x v="6"/>
    <x v="0"/>
    <n v="34911"/>
    <n v="70085.83"/>
    <n v="6.64"/>
    <n v="5351.8"/>
    <n v="0.57699999999999996"/>
    <n v="6.9"/>
  </r>
  <r>
    <x v="75"/>
    <x v="7"/>
    <x v="17"/>
    <n v="34636"/>
    <n v="72262.38"/>
    <n v="6.55"/>
    <n v="5205.5"/>
    <n v="0.52"/>
    <n v="7.2"/>
  </r>
  <r>
    <x v="75"/>
    <x v="8"/>
    <x v="4"/>
    <n v="19435"/>
    <n v="42149.1"/>
    <n v="6.7"/>
    <n v="2884.3"/>
    <n v="0.214"/>
    <n v="6.9"/>
  </r>
  <r>
    <x v="75"/>
    <x v="9"/>
    <x v="11"/>
    <n v="31132"/>
    <n v="69602.039999999994"/>
    <n v="6.48"/>
    <n v="4710.8999999999996"/>
    <n v="0.45800000000000002"/>
    <n v="6.7"/>
  </r>
  <r>
    <x v="75"/>
    <x v="10"/>
    <x v="3"/>
    <n v="26960"/>
    <n v="62448.79"/>
    <n v="6.67"/>
    <n v="4053"/>
    <n v="0.47399999999999998"/>
    <n v="7.8"/>
  </r>
  <r>
    <x v="75"/>
    <x v="11"/>
    <x v="12"/>
    <n v="28470"/>
    <n v="63406.91"/>
    <n v="6.46"/>
    <n v="4371.2"/>
    <n v="0.5"/>
    <n v="7"/>
  </r>
  <r>
    <x v="75"/>
    <x v="12"/>
    <x v="2"/>
    <n v="28223"/>
    <n v="63985.33"/>
    <n v="6.47"/>
    <n v="4476.8"/>
    <n v="0.45"/>
    <n v="7.3"/>
  </r>
  <r>
    <x v="75"/>
    <x v="13"/>
    <x v="2"/>
    <n v="27090"/>
    <n v="57077.78"/>
    <n v="6.36"/>
    <n v="4218.8999999999996"/>
    <n v="0.4"/>
    <n v="7.4"/>
  </r>
  <r>
    <x v="75"/>
    <x v="14"/>
    <x v="17"/>
    <n v="42959"/>
    <n v="91219.62"/>
    <n v="6.55"/>
    <n v="6624.9"/>
    <n v="0.44"/>
    <n v="7.3"/>
  </r>
  <r>
    <x v="75"/>
    <x v="15"/>
    <x v="17"/>
    <n v="38331"/>
    <n v="78072.56"/>
    <n v="6.28"/>
    <n v="6196.1"/>
    <n v="0.52"/>
    <n v="7"/>
  </r>
  <r>
    <x v="75"/>
    <x v="16"/>
    <x v="11"/>
    <n v="35180"/>
    <n v="75615.98"/>
    <n v="6.41"/>
    <n v="5492.6"/>
    <n v="0.33300000000000002"/>
    <n v="7"/>
  </r>
  <r>
    <x v="75"/>
    <x v="17"/>
    <x v="8"/>
    <n v="15785"/>
    <n v="37471.379999999997"/>
    <n v="6.61"/>
    <n v="2407.3000000000002"/>
    <n v="0.25"/>
    <n v="6.4"/>
  </r>
  <r>
    <x v="75"/>
    <x v="18"/>
    <x v="15"/>
    <n v="25396"/>
    <n v="51002.17"/>
    <n v="6.51"/>
    <n v="3999"/>
    <n v="0.52200000000000002"/>
    <n v="6.1"/>
  </r>
  <r>
    <x v="75"/>
    <x v="19"/>
    <x v="2"/>
    <n v="28113"/>
    <n v="60912.78"/>
    <n v="6.47"/>
    <n v="4329.5"/>
    <n v="0.45"/>
    <n v="8.1999999999999993"/>
  </r>
  <r>
    <x v="75"/>
    <x v="20"/>
    <x v="9"/>
    <n v="22692"/>
    <n v="46693.58"/>
    <n v="6.68"/>
    <n v="3420.2"/>
    <n v="0.35299999999999998"/>
    <n v="6.7"/>
  </r>
  <r>
    <x v="75"/>
    <x v="21"/>
    <x v="15"/>
    <n v="30901"/>
    <n v="65057.17"/>
    <n v="6.47"/>
    <n v="4716.3"/>
    <n v="0.52200000000000002"/>
    <n v="7.1"/>
  </r>
  <r>
    <x v="75"/>
    <x v="22"/>
    <x v="8"/>
    <n v="26931"/>
    <n v="58095.73"/>
    <n v="6.42"/>
    <n v="4253.5"/>
    <n v="0.438"/>
    <n v="8.1999999999999993"/>
  </r>
  <r>
    <x v="75"/>
    <x v="23"/>
    <x v="4"/>
    <n v="28289"/>
    <n v="64682.05"/>
    <n v="6.27"/>
    <n v="4600.6000000000004"/>
    <n v="0.14299999999999999"/>
    <n v="6.4"/>
  </r>
  <r>
    <x v="75"/>
    <x v="24"/>
    <x v="15"/>
    <n v="33491"/>
    <n v="73650.91"/>
    <n v="6.45"/>
    <n v="5359.4"/>
    <n v="0.435"/>
    <n v="6.3"/>
  </r>
  <r>
    <x v="75"/>
    <x v="25"/>
    <x v="7"/>
    <n v="17918"/>
    <n v="38358.11"/>
    <n v="6.43"/>
    <n v="2893.1"/>
    <n v="0.33300000000000002"/>
    <n v="8.1999999999999993"/>
  </r>
  <r>
    <x v="75"/>
    <x v="26"/>
    <x v="4"/>
    <n v="19654"/>
    <n v="39974.14"/>
    <n v="6.26"/>
    <n v="3168.4"/>
    <n v="0.28599999999999998"/>
    <n v="7.7"/>
  </r>
  <r>
    <x v="75"/>
    <x v="27"/>
    <x v="14"/>
    <n v="17835"/>
    <n v="39541.25"/>
    <n v="6.47"/>
    <n v="2730.8"/>
    <n v="0.46700000000000003"/>
    <n v="7.4"/>
  </r>
  <r>
    <x v="75"/>
    <x v="28"/>
    <x v="8"/>
    <n v="22487"/>
    <n v="52515.78"/>
    <n v="6.62"/>
    <n v="3419.4"/>
    <n v="0.375"/>
    <n v="7.8"/>
  </r>
  <r>
    <x v="75"/>
    <x v="29"/>
    <x v="0"/>
    <n v="38132"/>
    <n v="80710.899999999994"/>
    <n v="6.29"/>
    <n v="6117.3"/>
    <n v="0.57699999999999996"/>
    <n v="7.7"/>
  </r>
  <r>
    <x v="75"/>
    <x v="30"/>
    <x v="11"/>
    <n v="31557"/>
    <n v="65345.760000000002"/>
    <n v="6.28"/>
    <n v="5132"/>
    <n v="0.375"/>
    <n v="6.8"/>
  </r>
  <r>
    <x v="75"/>
    <x v="31"/>
    <x v="15"/>
    <n v="33631"/>
    <n v="70263.67"/>
    <n v="6.38"/>
    <n v="5288.9"/>
    <n v="0.435"/>
    <n v="7.2"/>
  </r>
  <r>
    <x v="75"/>
    <x v="32"/>
    <x v="8"/>
    <n v="25968"/>
    <n v="48988.82"/>
    <n v="6.73"/>
    <n v="3884.4"/>
    <n v="0.625"/>
    <n v="7.7"/>
  </r>
  <r>
    <x v="75"/>
    <x v="33"/>
    <x v="12"/>
    <n v="31567"/>
    <n v="71662.63"/>
    <n v="6.59"/>
    <n v="4915.8999999999996"/>
    <n v="0.27800000000000002"/>
    <n v="7"/>
  </r>
  <r>
    <x v="75"/>
    <x v="34"/>
    <x v="13"/>
    <n v="35828"/>
    <n v="81647.960000000006"/>
    <n v="6.37"/>
    <n v="5663.6"/>
    <n v="0.59099999999999997"/>
    <n v="8.1"/>
  </r>
  <r>
    <x v="75"/>
    <x v="35"/>
    <x v="2"/>
    <n v="28284"/>
    <n v="56122.28"/>
    <n v="6.65"/>
    <n v="4315.1000000000004"/>
    <n v="0.4"/>
    <n v="7.2"/>
  </r>
  <r>
    <x v="76"/>
    <x v="0"/>
    <x v="6"/>
    <n v="27189"/>
    <n v="54625.23"/>
    <n v="6.51"/>
    <n v="4234.5"/>
    <n v="0.42899999999999999"/>
    <n v="7"/>
  </r>
  <r>
    <x v="76"/>
    <x v="1"/>
    <x v="12"/>
    <n v="29222"/>
    <n v="63071.25"/>
    <n v="6.37"/>
    <n v="4585.8999999999996"/>
    <n v="0.44400000000000001"/>
    <n v="7.3"/>
  </r>
  <r>
    <x v="76"/>
    <x v="2"/>
    <x v="13"/>
    <n v="37341"/>
    <n v="83203.34"/>
    <n v="6.67"/>
    <n v="5716"/>
    <n v="0.5"/>
    <n v="6.7"/>
  </r>
  <r>
    <x v="76"/>
    <x v="3"/>
    <x v="3"/>
    <n v="28283"/>
    <n v="66744.86"/>
    <n v="6.6"/>
    <n v="4315.8999999999996"/>
    <n v="0.26300000000000001"/>
    <n v="6.8"/>
  </r>
  <r>
    <x v="76"/>
    <x v="4"/>
    <x v="15"/>
    <n v="38566"/>
    <n v="83794.259999999995"/>
    <n v="6.72"/>
    <n v="5794.1"/>
    <n v="0.435"/>
    <n v="6.8"/>
  </r>
  <r>
    <x v="76"/>
    <x v="5"/>
    <x v="3"/>
    <n v="27777"/>
    <n v="60102.89"/>
    <n v="6.51"/>
    <n v="4329"/>
    <n v="0.68400000000000005"/>
    <n v="7"/>
  </r>
  <r>
    <x v="76"/>
    <x v="6"/>
    <x v="3"/>
    <n v="24994"/>
    <n v="51940.84"/>
    <n v="6.35"/>
    <n v="4087.9"/>
    <n v="0.316"/>
    <n v="6.2"/>
  </r>
  <r>
    <x v="76"/>
    <x v="7"/>
    <x v="13"/>
    <n v="32754"/>
    <n v="70975.600000000006"/>
    <n v="6.59"/>
    <n v="4990.1000000000004"/>
    <n v="0.63600000000000001"/>
    <n v="5.9"/>
  </r>
  <r>
    <x v="76"/>
    <x v="8"/>
    <x v="3"/>
    <n v="26277"/>
    <n v="57181.09"/>
    <n v="6.51"/>
    <n v="4065"/>
    <n v="0.47399999999999998"/>
    <n v="7"/>
  </r>
  <r>
    <x v="76"/>
    <x v="9"/>
    <x v="3"/>
    <n v="29407"/>
    <n v="64614.62"/>
    <n v="6.62"/>
    <n v="4380.8999999999996"/>
    <n v="0.316"/>
    <n v="6.6"/>
  </r>
  <r>
    <x v="76"/>
    <x v="10"/>
    <x v="9"/>
    <n v="21867"/>
    <n v="46672"/>
    <n v="6.69"/>
    <n v="3278.2"/>
    <n v="0.29399999999999998"/>
    <n v="5.5"/>
  </r>
  <r>
    <x v="76"/>
    <x v="11"/>
    <x v="8"/>
    <n v="22481"/>
    <n v="46480.79"/>
    <n v="6.41"/>
    <n v="3577.6"/>
    <n v="0.56200000000000006"/>
    <n v="8.8000000000000007"/>
  </r>
  <r>
    <x v="76"/>
    <x v="12"/>
    <x v="12"/>
    <n v="21363"/>
    <n v="42932.39"/>
    <n v="6.62"/>
    <n v="3207.9"/>
    <n v="0.27800000000000002"/>
    <n v="7.4"/>
  </r>
  <r>
    <x v="76"/>
    <x v="13"/>
    <x v="7"/>
    <n v="18936"/>
    <n v="32376.53"/>
    <n v="6.38"/>
    <n v="3013.4"/>
    <n v="0.58299999999999996"/>
    <n v="6.5"/>
  </r>
  <r>
    <x v="76"/>
    <x v="14"/>
    <x v="13"/>
    <n v="28108"/>
    <n v="59921.45"/>
    <n v="6.56"/>
    <n v="4312.6000000000004"/>
    <n v="0.318"/>
    <n v="7"/>
  </r>
  <r>
    <x v="76"/>
    <x v="15"/>
    <x v="3"/>
    <n v="27835"/>
    <n v="57567.64"/>
    <n v="6.36"/>
    <n v="4380.8999999999996"/>
    <n v="0.26300000000000001"/>
    <n v="6.3"/>
  </r>
  <r>
    <x v="76"/>
    <x v="16"/>
    <x v="8"/>
    <n v="23188"/>
    <n v="50282.64"/>
    <n v="6.52"/>
    <n v="3537.2"/>
    <n v="0.56200000000000006"/>
    <n v="7.2"/>
  </r>
  <r>
    <x v="76"/>
    <x v="17"/>
    <x v="8"/>
    <n v="23928"/>
    <n v="47532.160000000003"/>
    <n v="6.31"/>
    <n v="3853.7"/>
    <n v="0.625"/>
    <n v="7"/>
  </r>
  <r>
    <x v="76"/>
    <x v="18"/>
    <x v="12"/>
    <n v="30527"/>
    <n v="66615.100000000006"/>
    <n v="6.23"/>
    <n v="4943.3999999999996"/>
    <n v="0.55600000000000005"/>
    <n v="8"/>
  </r>
  <r>
    <x v="76"/>
    <x v="19"/>
    <x v="12"/>
    <n v="23291"/>
    <n v="54808.480000000003"/>
    <n v="6.32"/>
    <n v="3683.7"/>
    <n v="0.5"/>
    <n v="7.2"/>
  </r>
  <r>
    <x v="76"/>
    <x v="20"/>
    <x v="6"/>
    <n v="32081"/>
    <n v="69673"/>
    <n v="6.32"/>
    <n v="5149.2"/>
    <n v="0.52400000000000002"/>
    <n v="5.8"/>
  </r>
  <r>
    <x v="76"/>
    <x v="21"/>
    <x v="0"/>
    <n v="37682"/>
    <n v="78983.83"/>
    <n v="6.6"/>
    <n v="5751.2"/>
    <n v="0.38500000000000001"/>
    <n v="6.7"/>
  </r>
  <r>
    <x v="76"/>
    <x v="22"/>
    <x v="12"/>
    <n v="26214"/>
    <n v="63457.55"/>
    <n v="6.45"/>
    <n v="4084.9"/>
    <n v="0.27800000000000002"/>
    <n v="7.3"/>
  </r>
  <r>
    <x v="76"/>
    <x v="23"/>
    <x v="12"/>
    <n v="22524"/>
    <n v="51447.7"/>
    <n v="6.28"/>
    <n v="3598.5"/>
    <n v="0.44400000000000001"/>
    <n v="6.2"/>
  </r>
  <r>
    <x v="76"/>
    <x v="24"/>
    <x v="8"/>
    <n v="24326"/>
    <n v="49276.19"/>
    <n v="6.34"/>
    <n v="3885.3"/>
    <n v="0.438"/>
    <n v="8.5"/>
  </r>
  <r>
    <x v="76"/>
    <x v="25"/>
    <x v="12"/>
    <n v="25361"/>
    <n v="53891.49"/>
    <n v="6.53"/>
    <n v="3929.2"/>
    <n v="0.33300000000000002"/>
    <n v="7.1"/>
  </r>
  <r>
    <x v="76"/>
    <x v="26"/>
    <x v="12"/>
    <n v="24741"/>
    <n v="51306.5"/>
    <n v="6.4"/>
    <n v="3991"/>
    <n v="0.38900000000000001"/>
    <n v="7.7"/>
  </r>
  <r>
    <x v="76"/>
    <x v="27"/>
    <x v="15"/>
    <n v="28302"/>
    <n v="62847.21"/>
    <n v="6.55"/>
    <n v="4355.5"/>
    <n v="0.52200000000000002"/>
    <n v="6.5"/>
  </r>
  <r>
    <x v="76"/>
    <x v="28"/>
    <x v="11"/>
    <n v="33615"/>
    <n v="68873.2"/>
    <n v="6.56"/>
    <n v="5124"/>
    <n v="0.375"/>
    <n v="6.7"/>
  </r>
  <r>
    <x v="76"/>
    <x v="29"/>
    <x v="7"/>
    <n v="16439"/>
    <n v="36538.43"/>
    <n v="6.48"/>
    <n v="2586.6999999999998"/>
    <n v="0.5"/>
    <n v="8.6"/>
  </r>
  <r>
    <x v="76"/>
    <x v="30"/>
    <x v="2"/>
    <n v="28651"/>
    <n v="66116.33"/>
    <n v="6.53"/>
    <n v="4443.2"/>
    <n v="0.5"/>
    <n v="7.1"/>
  </r>
  <r>
    <x v="76"/>
    <x v="31"/>
    <x v="12"/>
    <n v="21920"/>
    <n v="46102.559999999998"/>
    <n v="6.61"/>
    <n v="3329.9"/>
    <n v="0.33300000000000002"/>
    <n v="7"/>
  </r>
  <r>
    <x v="76"/>
    <x v="32"/>
    <x v="3"/>
    <n v="27697"/>
    <n v="59030.47"/>
    <n v="6.45"/>
    <n v="4298.7"/>
    <n v="0.316"/>
    <n v="6.5"/>
  </r>
  <r>
    <x v="76"/>
    <x v="33"/>
    <x v="11"/>
    <n v="25661"/>
    <n v="56249.27"/>
    <n v="6.24"/>
    <n v="4128.5"/>
    <n v="0.375"/>
    <n v="6"/>
  </r>
  <r>
    <x v="76"/>
    <x v="34"/>
    <x v="12"/>
    <n v="23129"/>
    <n v="49321.59"/>
    <n v="6.49"/>
    <n v="3546.6"/>
    <n v="0.44400000000000001"/>
    <n v="7.4"/>
  </r>
  <r>
    <x v="76"/>
    <x v="35"/>
    <x v="12"/>
    <n v="27624"/>
    <n v="60751.25"/>
    <n v="6.43"/>
    <n v="4342.1000000000004"/>
    <n v="0.55600000000000005"/>
    <n v="6.5"/>
  </r>
  <r>
    <x v="77"/>
    <x v="0"/>
    <x v="9"/>
    <n v="24196"/>
    <n v="54000.71"/>
    <n v="6.67"/>
    <n v="3585.9"/>
    <n v="0.29399999999999998"/>
    <n v="7.1"/>
  </r>
  <r>
    <x v="77"/>
    <x v="1"/>
    <x v="6"/>
    <n v="29696"/>
    <n v="57649.05"/>
    <n v="6.16"/>
    <n v="4931.3999999999996"/>
    <n v="0.61899999999999999"/>
    <n v="6.8"/>
  </r>
  <r>
    <x v="77"/>
    <x v="2"/>
    <x v="7"/>
    <n v="13244"/>
    <n v="29713"/>
    <n v="6.36"/>
    <n v="2074.9"/>
    <n v="0.33300000000000002"/>
    <n v="7.3"/>
  </r>
  <r>
    <x v="77"/>
    <x v="3"/>
    <x v="6"/>
    <n v="33690"/>
    <n v="79443.69"/>
    <n v="6.57"/>
    <n v="5172.1000000000004"/>
    <n v="0.47599999999999998"/>
    <n v="6.1"/>
  </r>
  <r>
    <x v="77"/>
    <x v="4"/>
    <x v="12"/>
    <n v="22069"/>
    <n v="47633.36"/>
    <n v="6.43"/>
    <n v="3432.1"/>
    <n v="0.38900000000000001"/>
    <n v="6.3"/>
  </r>
  <r>
    <x v="77"/>
    <x v="5"/>
    <x v="14"/>
    <n v="14790"/>
    <n v="29660.82"/>
    <n v="6.5"/>
    <n v="2307.5"/>
    <n v="0.4"/>
    <n v="8.5"/>
  </r>
  <r>
    <x v="77"/>
    <x v="6"/>
    <x v="13"/>
    <n v="32270"/>
    <n v="70761.240000000005"/>
    <n v="6.46"/>
    <n v="5029"/>
    <n v="0.318"/>
    <n v="7.8"/>
  </r>
  <r>
    <x v="77"/>
    <x v="7"/>
    <x v="2"/>
    <n v="28826"/>
    <n v="62742.47"/>
    <n v="6.4"/>
    <n v="4554.3999999999996"/>
    <n v="0.45"/>
    <n v="7.7"/>
  </r>
  <r>
    <x v="77"/>
    <x v="8"/>
    <x v="2"/>
    <n v="29741"/>
    <n v="62639.27"/>
    <n v="6.46"/>
    <n v="4564.7"/>
    <n v="0.5"/>
    <n v="6.2"/>
  </r>
  <r>
    <x v="77"/>
    <x v="9"/>
    <x v="8"/>
    <n v="24996"/>
    <n v="58900.76"/>
    <n v="6.58"/>
    <n v="3829.8"/>
    <n v="0.438"/>
    <n v="6.6"/>
  </r>
  <r>
    <x v="77"/>
    <x v="10"/>
    <x v="19"/>
    <n v="10393"/>
    <n v="23897.15"/>
    <n v="6.36"/>
    <n v="1602.3"/>
    <n v="0.2"/>
    <n v="5.2"/>
  </r>
  <r>
    <x v="77"/>
    <x v="11"/>
    <x v="15"/>
    <n v="28192"/>
    <n v="61838.18"/>
    <n v="6.54"/>
    <n v="4440.8999999999996"/>
    <n v="0.47799999999999998"/>
    <n v="7.1"/>
  </r>
  <r>
    <x v="77"/>
    <x v="12"/>
    <x v="0"/>
    <n v="30960"/>
    <n v="66876.990000000005"/>
    <n v="6.29"/>
    <n v="4871.7"/>
    <n v="0.42299999999999999"/>
    <n v="7.1"/>
  </r>
  <r>
    <x v="77"/>
    <x v="13"/>
    <x v="13"/>
    <n v="31095"/>
    <n v="66200.09"/>
    <n v="6.71"/>
    <n v="4644.6000000000004"/>
    <n v="0.318"/>
    <n v="7.3"/>
  </r>
  <r>
    <x v="77"/>
    <x v="14"/>
    <x v="14"/>
    <n v="20350"/>
    <n v="45921.66"/>
    <n v="6.77"/>
    <n v="3087.7"/>
    <n v="0.13300000000000001"/>
    <n v="6.7"/>
  </r>
  <r>
    <x v="77"/>
    <x v="15"/>
    <x v="9"/>
    <n v="18531"/>
    <n v="41847.339999999997"/>
    <n v="6.25"/>
    <n v="3007.6"/>
    <n v="0.58799999999999997"/>
    <n v="6.2"/>
  </r>
  <r>
    <x v="77"/>
    <x v="16"/>
    <x v="3"/>
    <n v="30933"/>
    <n v="65799.81"/>
    <n v="6.69"/>
    <n v="4621"/>
    <n v="0.316"/>
    <n v="6.4"/>
  </r>
  <r>
    <x v="77"/>
    <x v="17"/>
    <x v="21"/>
    <n v="16797"/>
    <n v="37398.5"/>
    <n v="6.62"/>
    <n v="2571.1999999999998"/>
    <n v="0.72699999999999998"/>
    <n v="7"/>
  </r>
  <r>
    <x v="77"/>
    <x v="18"/>
    <x v="2"/>
    <n v="29890"/>
    <n v="70060.429999999993"/>
    <n v="6.24"/>
    <n v="4797.2"/>
    <n v="0.35"/>
    <n v="6"/>
  </r>
  <r>
    <x v="77"/>
    <x v="19"/>
    <x v="6"/>
    <n v="29726"/>
    <n v="66502.75"/>
    <n v="6.69"/>
    <n v="4501.5"/>
    <n v="0.47599999999999998"/>
    <n v="7.3"/>
  </r>
  <r>
    <x v="77"/>
    <x v="20"/>
    <x v="13"/>
    <n v="31867"/>
    <n v="70351.259999999995"/>
    <n v="6.26"/>
    <n v="5055.8"/>
    <n v="0.318"/>
    <n v="7.3"/>
  </r>
  <r>
    <x v="77"/>
    <x v="21"/>
    <x v="12"/>
    <n v="21821"/>
    <n v="48547.07"/>
    <n v="6.3"/>
    <n v="3459.2"/>
    <n v="0.38900000000000001"/>
    <n v="6.7"/>
  </r>
  <r>
    <x v="77"/>
    <x v="22"/>
    <x v="7"/>
    <n v="22133"/>
    <n v="44538.36"/>
    <n v="6.46"/>
    <n v="3389.1"/>
    <n v="0.33300000000000002"/>
    <n v="6.6"/>
  </r>
  <r>
    <x v="77"/>
    <x v="23"/>
    <x v="2"/>
    <n v="26256"/>
    <n v="52637.3"/>
    <n v="6.34"/>
    <n v="4098"/>
    <n v="0.5"/>
    <n v="6.1"/>
  </r>
  <r>
    <x v="77"/>
    <x v="24"/>
    <x v="13"/>
    <n v="36180"/>
    <n v="75402.55"/>
    <n v="6.39"/>
    <n v="5731.6"/>
    <n v="0.59099999999999997"/>
    <n v="7"/>
  </r>
  <r>
    <x v="77"/>
    <x v="25"/>
    <x v="1"/>
    <n v="16630"/>
    <n v="38956.33"/>
    <n v="6.76"/>
    <n v="2495"/>
    <n v="0.55600000000000005"/>
    <n v="7.2"/>
  </r>
  <r>
    <x v="77"/>
    <x v="26"/>
    <x v="12"/>
    <n v="26398"/>
    <n v="59560.69"/>
    <n v="6.87"/>
    <n v="3874.3"/>
    <n v="0.38900000000000001"/>
    <n v="7"/>
  </r>
  <r>
    <x v="77"/>
    <x v="27"/>
    <x v="0"/>
    <n v="41610"/>
    <n v="85101.14"/>
    <n v="6.52"/>
    <n v="6485.6"/>
    <n v="0.38500000000000001"/>
    <n v="6.5"/>
  </r>
  <r>
    <x v="77"/>
    <x v="28"/>
    <x v="4"/>
    <n v="17172"/>
    <n v="33878.910000000003"/>
    <n v="6.59"/>
    <n v="2662.2"/>
    <n v="0.28599999999999998"/>
    <n v="7.4"/>
  </r>
  <r>
    <x v="77"/>
    <x v="29"/>
    <x v="12"/>
    <n v="26698"/>
    <n v="56601.98"/>
    <n v="6.32"/>
    <n v="4294.5"/>
    <n v="0.33300000000000002"/>
    <n v="6.4"/>
  </r>
  <r>
    <x v="77"/>
    <x v="30"/>
    <x v="4"/>
    <n v="20333"/>
    <n v="40862.379999999997"/>
    <n v="6.34"/>
    <n v="3222.9"/>
    <n v="0.42899999999999999"/>
    <n v="6.5"/>
  </r>
  <r>
    <x v="77"/>
    <x v="31"/>
    <x v="8"/>
    <n v="22287"/>
    <n v="41082.160000000003"/>
    <n v="6.28"/>
    <n v="3543.8"/>
    <n v="0.438"/>
    <n v="7.8"/>
  </r>
  <r>
    <x v="77"/>
    <x v="32"/>
    <x v="2"/>
    <n v="28031"/>
    <n v="63924.44"/>
    <n v="6.56"/>
    <n v="4381.1000000000004"/>
    <n v="0.3"/>
    <n v="7.5"/>
  </r>
  <r>
    <x v="77"/>
    <x v="33"/>
    <x v="21"/>
    <n v="14517"/>
    <n v="29105.3"/>
    <n v="6.66"/>
    <n v="2205.9"/>
    <n v="0.45500000000000002"/>
    <n v="7.2"/>
  </r>
  <r>
    <x v="77"/>
    <x v="34"/>
    <x v="12"/>
    <n v="25428"/>
    <n v="51526.2"/>
    <n v="6.54"/>
    <n v="3936.2"/>
    <n v="0.5"/>
    <n v="7"/>
  </r>
  <r>
    <x v="77"/>
    <x v="35"/>
    <x v="5"/>
    <n v="12278"/>
    <n v="24068.91"/>
    <n v="6.64"/>
    <n v="1871.5"/>
    <n v="0.46200000000000002"/>
    <n v="7.6"/>
  </r>
  <r>
    <x v="78"/>
    <x v="0"/>
    <x v="3"/>
    <n v="26304"/>
    <n v="54531.63"/>
    <n v="6.45"/>
    <n v="4050.9"/>
    <n v="0.47399999999999998"/>
    <n v="6.6"/>
  </r>
  <r>
    <x v="78"/>
    <x v="1"/>
    <x v="7"/>
    <n v="10940"/>
    <n v="23632.29"/>
    <n v="6.34"/>
    <n v="1737.7"/>
    <n v="0.16700000000000001"/>
    <n v="7.4"/>
  </r>
  <r>
    <x v="78"/>
    <x v="2"/>
    <x v="6"/>
    <n v="29367"/>
    <n v="60217.05"/>
    <n v="6.55"/>
    <n v="4456.8"/>
    <n v="0.19"/>
    <n v="7.7"/>
  </r>
  <r>
    <x v="78"/>
    <x v="3"/>
    <x v="12"/>
    <n v="22616"/>
    <n v="48399.85"/>
    <n v="6.39"/>
    <n v="3623.6"/>
    <n v="0.66700000000000004"/>
    <n v="7"/>
  </r>
  <r>
    <x v="78"/>
    <x v="4"/>
    <x v="0"/>
    <n v="37293"/>
    <n v="75855.570000000007"/>
    <n v="6.51"/>
    <n v="5738.9"/>
    <n v="0.34599999999999997"/>
    <n v="8.4"/>
  </r>
  <r>
    <x v="78"/>
    <x v="5"/>
    <x v="3"/>
    <n v="27859"/>
    <n v="62057.96"/>
    <n v="6.35"/>
    <n v="4496.7"/>
    <n v="0.52600000000000002"/>
    <n v="6.8"/>
  </r>
  <r>
    <x v="78"/>
    <x v="6"/>
    <x v="5"/>
    <n v="20707"/>
    <n v="44569.02"/>
    <n v="6.52"/>
    <n v="3175.3"/>
    <n v="0.46200000000000002"/>
    <n v="6.7"/>
  </r>
  <r>
    <x v="78"/>
    <x v="7"/>
    <x v="12"/>
    <n v="30308"/>
    <n v="61738.89"/>
    <n v="6.33"/>
    <n v="4858.3999999999996"/>
    <n v="0.55600000000000005"/>
    <n v="6.5"/>
  </r>
  <r>
    <x v="78"/>
    <x v="8"/>
    <x v="6"/>
    <n v="29836"/>
    <n v="61594.45"/>
    <n v="6.47"/>
    <n v="4598.5"/>
    <n v="0.66700000000000004"/>
    <n v="6.6"/>
  </r>
  <r>
    <x v="78"/>
    <x v="9"/>
    <x v="9"/>
    <n v="18534"/>
    <n v="39016.9"/>
    <n v="6.36"/>
    <n v="2917.9"/>
    <n v="0.47099999999999997"/>
    <n v="6.4"/>
  </r>
  <r>
    <x v="78"/>
    <x v="10"/>
    <x v="9"/>
    <n v="25639"/>
    <n v="54394.64"/>
    <n v="6.4"/>
    <n v="4061.3"/>
    <n v="0.52900000000000003"/>
    <n v="7.1"/>
  </r>
  <r>
    <x v="78"/>
    <x v="11"/>
    <x v="13"/>
    <n v="30301"/>
    <n v="66991.649999999994"/>
    <n v="6.58"/>
    <n v="4525.5"/>
    <n v="0.45500000000000002"/>
    <n v="7.4"/>
  </r>
  <r>
    <x v="78"/>
    <x v="12"/>
    <x v="18"/>
    <n v="41691"/>
    <n v="83395.69"/>
    <n v="6.53"/>
    <n v="6481.5"/>
    <n v="0.53100000000000003"/>
    <n v="6.6"/>
  </r>
  <r>
    <x v="78"/>
    <x v="13"/>
    <x v="12"/>
    <n v="27049"/>
    <n v="52886.81"/>
    <n v="6.48"/>
    <n v="4185.1000000000004"/>
    <n v="0.5"/>
    <n v="7.4"/>
  </r>
  <r>
    <x v="78"/>
    <x v="14"/>
    <x v="6"/>
    <n v="29919"/>
    <n v="61787.5"/>
    <n v="6.32"/>
    <n v="4750.3999999999996"/>
    <n v="0.47599999999999998"/>
    <n v="6.6"/>
  </r>
  <r>
    <x v="78"/>
    <x v="15"/>
    <x v="6"/>
    <n v="32027"/>
    <n v="68460.95"/>
    <n v="6.41"/>
    <n v="5151.6000000000004"/>
    <n v="0.42899999999999999"/>
    <n v="7"/>
  </r>
  <r>
    <x v="78"/>
    <x v="16"/>
    <x v="5"/>
    <n v="18426"/>
    <n v="41410.97"/>
    <n v="6.5"/>
    <n v="2881.1"/>
    <n v="0.46200000000000002"/>
    <n v="6.6"/>
  </r>
  <r>
    <x v="78"/>
    <x v="17"/>
    <x v="24"/>
    <n v="48141"/>
    <n v="94001.66"/>
    <n v="6.7"/>
    <n v="7153.1"/>
    <n v="0.45500000000000002"/>
    <n v="7.1"/>
  </r>
  <r>
    <x v="78"/>
    <x v="18"/>
    <x v="11"/>
    <n v="30762"/>
    <n v="65826.8"/>
    <n v="6.42"/>
    <n v="4773.8999999999996"/>
    <n v="0.58299999999999996"/>
    <n v="7.5"/>
  </r>
  <r>
    <x v="78"/>
    <x v="19"/>
    <x v="7"/>
    <n v="17861"/>
    <n v="40425.26"/>
    <n v="6.32"/>
    <n v="2837.6"/>
    <n v="0.25"/>
    <n v="7.6"/>
  </r>
  <r>
    <x v="78"/>
    <x v="20"/>
    <x v="19"/>
    <n v="10470"/>
    <n v="22155.98"/>
    <n v="6.68"/>
    <n v="1577"/>
    <n v="0.6"/>
    <n v="6.5"/>
  </r>
  <r>
    <x v="78"/>
    <x v="21"/>
    <x v="14"/>
    <n v="23419"/>
    <n v="48045.26"/>
    <n v="6.38"/>
    <n v="3742.6"/>
    <n v="0.2"/>
    <n v="5.5"/>
  </r>
  <r>
    <x v="78"/>
    <x v="22"/>
    <x v="12"/>
    <n v="31203"/>
    <n v="72125.149999999994"/>
    <n v="6.33"/>
    <n v="4925.8"/>
    <n v="0.44400000000000001"/>
    <n v="6.8"/>
  </r>
  <r>
    <x v="78"/>
    <x v="23"/>
    <x v="5"/>
    <n v="12972"/>
    <n v="26837.8"/>
    <n v="6.66"/>
    <n v="1931.8"/>
    <n v="0.23100000000000001"/>
    <n v="6.7"/>
  </r>
  <r>
    <x v="78"/>
    <x v="24"/>
    <x v="4"/>
    <n v="24471"/>
    <n v="52504.05"/>
    <n v="6.31"/>
    <n v="3882.2"/>
    <n v="0.42899999999999999"/>
    <n v="7.7"/>
  </r>
  <r>
    <x v="78"/>
    <x v="25"/>
    <x v="22"/>
    <n v="35767"/>
    <n v="75753.94"/>
    <n v="6.53"/>
    <n v="5461.8"/>
    <n v="0.35699999999999998"/>
    <n v="7.2"/>
  </r>
  <r>
    <x v="78"/>
    <x v="26"/>
    <x v="3"/>
    <n v="20653"/>
    <n v="43394.1"/>
    <n v="6.41"/>
    <n v="3238.5"/>
    <n v="0.36799999999999999"/>
    <n v="6.8"/>
  </r>
  <r>
    <x v="78"/>
    <x v="27"/>
    <x v="14"/>
    <n v="18671"/>
    <n v="38581.519999999997"/>
    <n v="6.69"/>
    <n v="2806.7"/>
    <n v="0.46700000000000003"/>
    <n v="6"/>
  </r>
  <r>
    <x v="78"/>
    <x v="28"/>
    <x v="15"/>
    <n v="32331"/>
    <n v="70302.8"/>
    <n v="6.5"/>
    <n v="5122.2"/>
    <n v="0.26100000000000001"/>
    <n v="5.8"/>
  </r>
  <r>
    <x v="78"/>
    <x v="29"/>
    <x v="4"/>
    <n v="22218"/>
    <n v="52763.57"/>
    <n v="6.67"/>
    <n v="3345.2"/>
    <n v="0.28599999999999998"/>
    <n v="5.4"/>
  </r>
  <r>
    <x v="78"/>
    <x v="30"/>
    <x v="22"/>
    <n v="41331"/>
    <n v="92573.37"/>
    <n v="6.52"/>
    <n v="6386.7"/>
    <n v="0.32100000000000001"/>
    <n v="6.6"/>
  </r>
  <r>
    <x v="78"/>
    <x v="31"/>
    <x v="19"/>
    <n v="11439"/>
    <n v="23548.32"/>
    <n v="6.17"/>
    <n v="1876.3"/>
    <n v="0.4"/>
    <n v="8.1"/>
  </r>
  <r>
    <x v="78"/>
    <x v="32"/>
    <x v="9"/>
    <n v="21572"/>
    <n v="44782.27"/>
    <n v="6.32"/>
    <n v="3423.5"/>
    <n v="0.41199999999999998"/>
    <n v="5.9"/>
  </r>
  <r>
    <x v="78"/>
    <x v="33"/>
    <x v="9"/>
    <n v="14464"/>
    <n v="26975.88"/>
    <n v="6.57"/>
    <n v="2225.1"/>
    <n v="0.47099999999999997"/>
    <n v="7.4"/>
  </r>
  <r>
    <x v="78"/>
    <x v="34"/>
    <x v="12"/>
    <n v="24669"/>
    <n v="54684.480000000003"/>
    <n v="6.54"/>
    <n v="3776.1"/>
    <n v="0.5"/>
    <n v="6.5"/>
  </r>
  <r>
    <x v="78"/>
    <x v="35"/>
    <x v="10"/>
    <n v="32451"/>
    <n v="68879.61"/>
    <n v="6.58"/>
    <n v="4988.3"/>
    <n v="0.29599999999999999"/>
    <n v="7.7"/>
  </r>
  <r>
    <x v="79"/>
    <x v="0"/>
    <x v="21"/>
    <n v="20368"/>
    <n v="41555.21"/>
    <n v="6.23"/>
    <n v="3321.5"/>
    <n v="0.45500000000000002"/>
    <n v="7.9"/>
  </r>
  <r>
    <x v="79"/>
    <x v="1"/>
    <x v="6"/>
    <n v="29715"/>
    <n v="69258.48"/>
    <n v="6.5"/>
    <n v="4627.2"/>
    <n v="0.42899999999999999"/>
    <n v="7"/>
  </r>
  <r>
    <x v="79"/>
    <x v="2"/>
    <x v="11"/>
    <n v="33082"/>
    <n v="65315.35"/>
    <n v="6.41"/>
    <n v="5089.6000000000004"/>
    <n v="0.20799999999999999"/>
    <n v="7.7"/>
  </r>
  <r>
    <x v="79"/>
    <x v="3"/>
    <x v="6"/>
    <n v="26864"/>
    <n v="59395.22"/>
    <n v="6.56"/>
    <n v="4081.6"/>
    <n v="0.38100000000000001"/>
    <n v="8.6"/>
  </r>
  <r>
    <x v="79"/>
    <x v="4"/>
    <x v="3"/>
    <n v="29284"/>
    <n v="62376.66"/>
    <n v="6.54"/>
    <n v="4561.3999999999996"/>
    <n v="0.42099999999999999"/>
    <n v="6.8"/>
  </r>
  <r>
    <x v="79"/>
    <x v="5"/>
    <x v="11"/>
    <n v="38671"/>
    <n v="83075.41"/>
    <n v="6.5"/>
    <n v="5874.6"/>
    <n v="0.5"/>
    <n v="7.2"/>
  </r>
  <r>
    <x v="79"/>
    <x v="6"/>
    <x v="12"/>
    <n v="31394"/>
    <n v="70725.73"/>
    <n v="6.52"/>
    <n v="4898.3999999999996"/>
    <n v="0.61099999999999999"/>
    <n v="7.1"/>
  </r>
  <r>
    <x v="79"/>
    <x v="7"/>
    <x v="17"/>
    <n v="35339"/>
    <n v="72596.33"/>
    <n v="6.38"/>
    <n v="5479.8"/>
    <n v="0.36"/>
    <n v="7"/>
  </r>
  <r>
    <x v="79"/>
    <x v="8"/>
    <x v="3"/>
    <n v="28113"/>
    <n v="65617.45"/>
    <n v="6.71"/>
    <n v="4123.8"/>
    <n v="0.47399999999999998"/>
    <n v="7.1"/>
  </r>
  <r>
    <x v="79"/>
    <x v="9"/>
    <x v="21"/>
    <n v="17981"/>
    <n v="37410.58"/>
    <n v="6.78"/>
    <n v="2662.1"/>
    <n v="0.27300000000000002"/>
    <n v="5.4"/>
  </r>
  <r>
    <x v="79"/>
    <x v="10"/>
    <x v="13"/>
    <n v="27192"/>
    <n v="54884.81"/>
    <n v="6.34"/>
    <n v="4273.1000000000004"/>
    <n v="0.45500000000000002"/>
    <n v="7.7"/>
  </r>
  <r>
    <x v="79"/>
    <x v="11"/>
    <x v="15"/>
    <n v="33091"/>
    <n v="72621.77"/>
    <n v="6.5"/>
    <n v="5234.3"/>
    <n v="0.435"/>
    <n v="6.3"/>
  </r>
  <r>
    <x v="79"/>
    <x v="12"/>
    <x v="12"/>
    <n v="24775"/>
    <n v="53869.83"/>
    <n v="6.48"/>
    <n v="3816.5"/>
    <n v="0.16700000000000001"/>
    <n v="7.8"/>
  </r>
  <r>
    <x v="79"/>
    <x v="13"/>
    <x v="12"/>
    <n v="27339"/>
    <n v="55101.13"/>
    <n v="6.57"/>
    <n v="4313.3999999999996"/>
    <n v="0.44400000000000001"/>
    <n v="7.6"/>
  </r>
  <r>
    <x v="79"/>
    <x v="14"/>
    <x v="13"/>
    <n v="31980"/>
    <n v="69721.45"/>
    <n v="6.52"/>
    <n v="4999.8"/>
    <n v="0.36399999999999999"/>
    <n v="6"/>
  </r>
  <r>
    <x v="79"/>
    <x v="15"/>
    <x v="4"/>
    <n v="21649"/>
    <n v="47058.04"/>
    <n v="6.76"/>
    <n v="3199.6"/>
    <n v="0.214"/>
    <n v="7.2"/>
  </r>
  <r>
    <x v="79"/>
    <x v="16"/>
    <x v="14"/>
    <n v="21539"/>
    <n v="45578.61"/>
    <n v="6.32"/>
    <n v="3417.3"/>
    <n v="0.33300000000000002"/>
    <n v="7.4"/>
  </r>
  <r>
    <x v="79"/>
    <x v="17"/>
    <x v="4"/>
    <n v="22096"/>
    <n v="49066.17"/>
    <n v="6.48"/>
    <n v="3422.9"/>
    <n v="0.42899999999999999"/>
    <n v="6.6"/>
  </r>
  <r>
    <x v="79"/>
    <x v="18"/>
    <x v="14"/>
    <n v="15694"/>
    <n v="31451.63"/>
    <n v="6.69"/>
    <n v="2351.1"/>
    <n v="0.46700000000000003"/>
    <n v="6.6"/>
  </r>
  <r>
    <x v="79"/>
    <x v="19"/>
    <x v="15"/>
    <n v="38346"/>
    <n v="82121.149999999994"/>
    <n v="6.53"/>
    <n v="5983.5"/>
    <n v="0.34799999999999998"/>
    <n v="7.7"/>
  </r>
  <r>
    <x v="79"/>
    <x v="20"/>
    <x v="19"/>
    <n v="15931"/>
    <n v="34915.980000000003"/>
    <n v="6.84"/>
    <n v="2303.1999999999998"/>
    <n v="0.3"/>
    <n v="5.9"/>
  </r>
  <r>
    <x v="79"/>
    <x v="21"/>
    <x v="2"/>
    <n v="21065"/>
    <n v="47042.67"/>
    <n v="6.88"/>
    <n v="3126.1"/>
    <n v="0.6"/>
    <n v="7.7"/>
  </r>
  <r>
    <x v="79"/>
    <x v="22"/>
    <x v="15"/>
    <n v="28487"/>
    <n v="58073.34"/>
    <n v="6.47"/>
    <n v="4428.7"/>
    <n v="0.39100000000000001"/>
    <n v="6.6"/>
  </r>
  <r>
    <x v="79"/>
    <x v="23"/>
    <x v="1"/>
    <n v="15644"/>
    <n v="35634.800000000003"/>
    <n v="6.55"/>
    <n v="2397.6999999999998"/>
    <n v="0.44400000000000001"/>
    <n v="7.4"/>
  </r>
  <r>
    <x v="79"/>
    <x v="24"/>
    <x v="12"/>
    <n v="24720"/>
    <n v="51947.96"/>
    <n v="6.54"/>
    <n v="3897"/>
    <n v="0.33300000000000002"/>
    <n v="5.3"/>
  </r>
  <r>
    <x v="79"/>
    <x v="25"/>
    <x v="15"/>
    <n v="24341"/>
    <n v="52943.65"/>
    <n v="6.59"/>
    <n v="3848.4"/>
    <n v="0.39100000000000001"/>
    <n v="7.4"/>
  </r>
  <r>
    <x v="79"/>
    <x v="26"/>
    <x v="9"/>
    <n v="27610"/>
    <n v="58422.25"/>
    <n v="6.57"/>
    <n v="4410.7"/>
    <n v="0.41199999999999998"/>
    <n v="6.5"/>
  </r>
  <r>
    <x v="79"/>
    <x v="27"/>
    <x v="10"/>
    <n v="36800"/>
    <n v="77338.240000000005"/>
    <n v="6.52"/>
    <n v="5663.5"/>
    <n v="0.40699999999999997"/>
    <n v="6.9"/>
  </r>
  <r>
    <x v="79"/>
    <x v="28"/>
    <x v="4"/>
    <n v="18628"/>
    <n v="39609.67"/>
    <n v="6.73"/>
    <n v="2809.7"/>
    <n v="0.28599999999999998"/>
    <n v="7.7"/>
  </r>
  <r>
    <x v="79"/>
    <x v="29"/>
    <x v="17"/>
    <n v="33903"/>
    <n v="75577.55"/>
    <n v="6.52"/>
    <n v="5242.8"/>
    <n v="0.4"/>
    <n v="8.1"/>
  </r>
  <r>
    <x v="79"/>
    <x v="30"/>
    <x v="13"/>
    <n v="28022"/>
    <n v="60339.58"/>
    <n v="6.53"/>
    <n v="4341.1000000000004"/>
    <n v="0.22700000000000001"/>
    <n v="7.9"/>
  </r>
  <r>
    <x v="79"/>
    <x v="31"/>
    <x v="13"/>
    <n v="32260"/>
    <n v="67400.19"/>
    <n v="6.38"/>
    <n v="5150.3999999999996"/>
    <n v="0.63600000000000001"/>
    <n v="6.6"/>
  </r>
  <r>
    <x v="79"/>
    <x v="32"/>
    <x v="2"/>
    <n v="25625"/>
    <n v="54389.95"/>
    <n v="6.84"/>
    <n v="3813.3"/>
    <n v="0.55000000000000004"/>
    <n v="7.2"/>
  </r>
  <r>
    <x v="79"/>
    <x v="33"/>
    <x v="8"/>
    <n v="28278"/>
    <n v="64740.160000000003"/>
    <n v="6.56"/>
    <n v="4328.2"/>
    <n v="0.625"/>
    <n v="7.2"/>
  </r>
  <r>
    <x v="79"/>
    <x v="34"/>
    <x v="4"/>
    <n v="17050"/>
    <n v="37486.51"/>
    <n v="6.42"/>
    <n v="2764.4"/>
    <n v="0.42899999999999999"/>
    <n v="6.4"/>
  </r>
  <r>
    <x v="79"/>
    <x v="35"/>
    <x v="17"/>
    <n v="45001"/>
    <n v="92048.75"/>
    <n v="6.66"/>
    <n v="6713.9"/>
    <n v="0.44"/>
    <n v="6.5"/>
  </r>
  <r>
    <x v="80"/>
    <x v="0"/>
    <x v="1"/>
    <n v="11799"/>
    <n v="21434.73"/>
    <n v="6.85"/>
    <n v="1751.1"/>
    <n v="0.44400000000000001"/>
    <n v="7.3"/>
  </r>
  <r>
    <x v="80"/>
    <x v="1"/>
    <x v="9"/>
    <n v="28907"/>
    <n v="61904.28"/>
    <n v="6.51"/>
    <n v="4496.3"/>
    <n v="0.41199999999999998"/>
    <n v="7"/>
  </r>
  <r>
    <x v="80"/>
    <x v="2"/>
    <x v="17"/>
    <n v="37265"/>
    <n v="75824.89"/>
    <n v="6.48"/>
    <n v="5778.4"/>
    <n v="0.4"/>
    <n v="7.4"/>
  </r>
  <r>
    <x v="80"/>
    <x v="3"/>
    <x v="13"/>
    <n v="27906"/>
    <n v="59468.67"/>
    <n v="6.66"/>
    <n v="4222.1000000000004"/>
    <n v="0.40899999999999997"/>
    <n v="8"/>
  </r>
  <r>
    <x v="80"/>
    <x v="4"/>
    <x v="0"/>
    <n v="37553"/>
    <n v="86137.78"/>
    <n v="6.59"/>
    <n v="5709.4"/>
    <n v="0.5"/>
    <n v="6.5"/>
  </r>
  <r>
    <x v="80"/>
    <x v="5"/>
    <x v="0"/>
    <n v="39483"/>
    <n v="83754.52"/>
    <n v="6.49"/>
    <n v="6132.8"/>
    <n v="0.42299999999999999"/>
    <n v="6.7"/>
  </r>
  <r>
    <x v="80"/>
    <x v="6"/>
    <x v="17"/>
    <n v="36331"/>
    <n v="79931.08"/>
    <n v="6.5"/>
    <n v="5680.9"/>
    <n v="0.56000000000000005"/>
    <n v="6.5"/>
  </r>
  <r>
    <x v="80"/>
    <x v="7"/>
    <x v="12"/>
    <n v="25163"/>
    <n v="55862.14"/>
    <n v="6.44"/>
    <n v="3957.6"/>
    <n v="0.61099999999999999"/>
    <n v="7.7"/>
  </r>
  <r>
    <x v="80"/>
    <x v="8"/>
    <x v="12"/>
    <n v="22764"/>
    <n v="48652.97"/>
    <n v="6.8"/>
    <n v="3366.7"/>
    <n v="0.5"/>
    <n v="7.4"/>
  </r>
  <r>
    <x v="80"/>
    <x v="9"/>
    <x v="12"/>
    <n v="28215"/>
    <n v="62954.91"/>
    <n v="6.53"/>
    <n v="4379.1000000000004"/>
    <n v="0.44400000000000001"/>
    <n v="7.9"/>
  </r>
  <r>
    <x v="80"/>
    <x v="10"/>
    <x v="15"/>
    <n v="31462"/>
    <n v="74658.48"/>
    <n v="6.5"/>
    <n v="4777"/>
    <n v="0.69599999999999995"/>
    <n v="7.8"/>
  </r>
  <r>
    <x v="80"/>
    <x v="11"/>
    <x v="9"/>
    <n v="19921"/>
    <n v="42136.62"/>
    <n v="6.48"/>
    <n v="3066.2"/>
    <n v="0.35299999999999998"/>
    <n v="7.8"/>
  </r>
  <r>
    <x v="80"/>
    <x v="12"/>
    <x v="10"/>
    <n v="46058"/>
    <n v="96579.96"/>
    <n v="6.37"/>
    <n v="7305.8"/>
    <n v="0.51900000000000002"/>
    <n v="7.5"/>
  </r>
  <r>
    <x v="80"/>
    <x v="13"/>
    <x v="6"/>
    <n v="30193"/>
    <n v="66218.59"/>
    <n v="6.53"/>
    <n v="4659.8"/>
    <n v="0.42899999999999999"/>
    <n v="7.8"/>
  </r>
  <r>
    <x v="80"/>
    <x v="14"/>
    <x v="14"/>
    <n v="22623"/>
    <n v="51432.67"/>
    <n v="6.48"/>
    <n v="3561.8"/>
    <n v="0.46700000000000003"/>
    <n v="6.6"/>
  </r>
  <r>
    <x v="80"/>
    <x v="15"/>
    <x v="12"/>
    <n v="24384"/>
    <n v="55651.05"/>
    <n v="6.37"/>
    <n v="3824.2"/>
    <n v="0.38900000000000001"/>
    <n v="6"/>
  </r>
  <r>
    <x v="80"/>
    <x v="16"/>
    <x v="6"/>
    <n v="25773"/>
    <n v="56151.8"/>
    <n v="6.47"/>
    <n v="3964.8"/>
    <n v="0.42899999999999999"/>
    <n v="6.7"/>
  </r>
  <r>
    <x v="80"/>
    <x v="17"/>
    <x v="5"/>
    <n v="13294"/>
    <n v="30796.42"/>
    <n v="6.44"/>
    <n v="2073.8000000000002"/>
    <n v="0.61499999999999999"/>
    <n v="6.6"/>
  </r>
  <r>
    <x v="80"/>
    <x v="18"/>
    <x v="9"/>
    <n v="26496"/>
    <n v="54973.81"/>
    <n v="6.42"/>
    <n v="4219.5"/>
    <n v="0.47099999999999997"/>
    <n v="6.9"/>
  </r>
  <r>
    <x v="80"/>
    <x v="19"/>
    <x v="9"/>
    <n v="25223"/>
    <n v="53277.39"/>
    <n v="6.65"/>
    <n v="3909.3"/>
    <n v="0.41199999999999998"/>
    <n v="6.9"/>
  </r>
  <r>
    <x v="80"/>
    <x v="20"/>
    <x v="11"/>
    <n v="36100"/>
    <n v="82265.66"/>
    <n v="6.53"/>
    <n v="5413.5"/>
    <n v="0.375"/>
    <n v="6.2"/>
  </r>
  <r>
    <x v="80"/>
    <x v="21"/>
    <x v="3"/>
    <n v="23917"/>
    <n v="51906.53"/>
    <n v="6.59"/>
    <n v="3670.5"/>
    <n v="0.36799999999999999"/>
    <n v="7.5"/>
  </r>
  <r>
    <x v="80"/>
    <x v="22"/>
    <x v="14"/>
    <n v="18084"/>
    <n v="38590.839999999997"/>
    <n v="6.34"/>
    <n v="2822.7"/>
    <n v="0.66700000000000004"/>
    <n v="6.6"/>
  </r>
  <r>
    <x v="80"/>
    <x v="23"/>
    <x v="7"/>
    <n v="15230"/>
    <n v="33373.97"/>
    <n v="6.52"/>
    <n v="2383.1"/>
    <n v="0.66700000000000004"/>
    <n v="6.3"/>
  </r>
  <r>
    <x v="80"/>
    <x v="24"/>
    <x v="3"/>
    <n v="29806"/>
    <n v="65183.9"/>
    <n v="6.25"/>
    <n v="4808.2"/>
    <n v="0.36799999999999999"/>
    <n v="7.7"/>
  </r>
  <r>
    <x v="80"/>
    <x v="25"/>
    <x v="21"/>
    <n v="13423"/>
    <n v="28500.34"/>
    <n v="6.7"/>
    <n v="2024.3"/>
    <n v="0.27300000000000002"/>
    <n v="6.1"/>
  </r>
  <r>
    <x v="80"/>
    <x v="26"/>
    <x v="22"/>
    <n v="43832"/>
    <n v="92969.54"/>
    <n v="6.41"/>
    <n v="6952.5"/>
    <n v="0.5"/>
    <n v="7.1"/>
  </r>
  <r>
    <x v="80"/>
    <x v="27"/>
    <x v="21"/>
    <n v="14893"/>
    <n v="32761.01"/>
    <n v="6.61"/>
    <n v="2258.1999999999998"/>
    <n v="0.45500000000000002"/>
    <n v="6.6"/>
  </r>
  <r>
    <x v="80"/>
    <x v="28"/>
    <x v="2"/>
    <n v="21033"/>
    <n v="47407.5"/>
    <n v="6.6"/>
    <n v="3162.4"/>
    <n v="0.45"/>
    <n v="6.7"/>
  </r>
  <r>
    <x v="80"/>
    <x v="29"/>
    <x v="11"/>
    <n v="34892"/>
    <n v="73392.210000000006"/>
    <n v="6.64"/>
    <n v="5341.8"/>
    <n v="0.625"/>
    <n v="7.2"/>
  </r>
  <r>
    <x v="80"/>
    <x v="30"/>
    <x v="6"/>
    <n v="22667"/>
    <n v="47371.61"/>
    <n v="6.63"/>
    <n v="3501.6"/>
    <n v="0.38100000000000001"/>
    <n v="7"/>
  </r>
  <r>
    <x v="80"/>
    <x v="31"/>
    <x v="15"/>
    <n v="37293"/>
    <n v="89044.41"/>
    <n v="6.5"/>
    <n v="5801.4"/>
    <n v="0.435"/>
    <n v="6.7"/>
  </r>
  <r>
    <x v="80"/>
    <x v="32"/>
    <x v="2"/>
    <n v="31747"/>
    <n v="72752.63"/>
    <n v="6.29"/>
    <n v="5085.2"/>
    <n v="0.45"/>
    <n v="6.8"/>
  </r>
  <r>
    <x v="80"/>
    <x v="33"/>
    <x v="11"/>
    <n v="31358"/>
    <n v="65931.41"/>
    <n v="6.76"/>
    <n v="4629.3999999999996"/>
    <n v="0.45800000000000002"/>
    <n v="7.6"/>
  </r>
  <r>
    <x v="80"/>
    <x v="34"/>
    <x v="11"/>
    <n v="26529"/>
    <n v="53164.35"/>
    <n v="6.37"/>
    <n v="4171.7"/>
    <n v="0.41699999999999998"/>
    <n v="7.3"/>
  </r>
  <r>
    <x v="80"/>
    <x v="35"/>
    <x v="15"/>
    <n v="30339"/>
    <n v="65978.78"/>
    <n v="6.51"/>
    <n v="4685.6000000000004"/>
    <n v="0.26100000000000001"/>
    <n v="6.7"/>
  </r>
  <r>
    <x v="81"/>
    <x v="0"/>
    <x v="7"/>
    <n v="18766"/>
    <n v="34915.31"/>
    <n v="6.57"/>
    <n v="2916.7"/>
    <n v="0.33300000000000002"/>
    <n v="6.5"/>
  </r>
  <r>
    <x v="81"/>
    <x v="1"/>
    <x v="3"/>
    <n v="25364"/>
    <n v="58138.18"/>
    <n v="6.4"/>
    <n v="3906.9"/>
    <n v="0.47399999999999998"/>
    <n v="7.3"/>
  </r>
  <r>
    <x v="81"/>
    <x v="2"/>
    <x v="21"/>
    <n v="11758"/>
    <n v="25875.5"/>
    <n v="6.52"/>
    <n v="1836"/>
    <n v="0.72699999999999998"/>
    <n v="6.9"/>
  </r>
  <r>
    <x v="81"/>
    <x v="3"/>
    <x v="9"/>
    <n v="20392"/>
    <n v="43290.04"/>
    <n v="6.51"/>
    <n v="3051.9"/>
    <n v="0.47099999999999997"/>
    <n v="6.9"/>
  </r>
  <r>
    <x v="81"/>
    <x v="4"/>
    <x v="12"/>
    <n v="28438"/>
    <n v="56108.52"/>
    <n v="6.38"/>
    <n v="4467.8999999999996"/>
    <n v="0.55600000000000005"/>
    <n v="7.2"/>
  </r>
  <r>
    <x v="81"/>
    <x v="5"/>
    <x v="9"/>
    <n v="24577"/>
    <n v="50904.1"/>
    <n v="6.52"/>
    <n v="3777.8"/>
    <n v="0.52900000000000003"/>
    <n v="7.2"/>
  </r>
  <r>
    <x v="81"/>
    <x v="6"/>
    <x v="12"/>
    <n v="17553"/>
    <n v="38040.01"/>
    <n v="6.5"/>
    <n v="2707.1"/>
    <n v="0.61099999999999999"/>
    <n v="6.8"/>
  </r>
  <r>
    <x v="81"/>
    <x v="7"/>
    <x v="11"/>
    <n v="36076"/>
    <n v="76971.25"/>
    <n v="6.5"/>
    <n v="5584.8"/>
    <n v="0.45800000000000002"/>
    <n v="6.9"/>
  </r>
  <r>
    <x v="81"/>
    <x v="8"/>
    <x v="3"/>
    <n v="23802"/>
    <n v="52280.87"/>
    <n v="6.61"/>
    <n v="3628.8"/>
    <n v="0.63200000000000001"/>
    <n v="6.4"/>
  </r>
  <r>
    <x v="81"/>
    <x v="9"/>
    <x v="2"/>
    <n v="28455"/>
    <n v="62100.76"/>
    <n v="6.56"/>
    <n v="4332.6000000000004"/>
    <n v="0.5"/>
    <n v="7"/>
  </r>
  <r>
    <x v="81"/>
    <x v="10"/>
    <x v="3"/>
    <n v="24712"/>
    <n v="55150.91"/>
    <n v="6.52"/>
    <n v="3778.5"/>
    <n v="0.42099999999999999"/>
    <n v="7.4"/>
  </r>
  <r>
    <x v="81"/>
    <x v="11"/>
    <x v="4"/>
    <n v="19953"/>
    <n v="46327.75"/>
    <n v="6.44"/>
    <n v="3106.2"/>
    <n v="0.42899999999999999"/>
    <n v="6.8"/>
  </r>
  <r>
    <x v="81"/>
    <x v="12"/>
    <x v="15"/>
    <n v="34877"/>
    <n v="73193.7"/>
    <n v="6.39"/>
    <n v="5517.3"/>
    <n v="0.435"/>
    <n v="7"/>
  </r>
  <r>
    <x v="81"/>
    <x v="13"/>
    <x v="2"/>
    <n v="26234"/>
    <n v="53916.97"/>
    <n v="6.31"/>
    <n v="4201.3"/>
    <n v="0.4"/>
    <n v="7"/>
  </r>
  <r>
    <x v="81"/>
    <x v="14"/>
    <x v="7"/>
    <n v="12233"/>
    <n v="28390.29"/>
    <n v="6.56"/>
    <n v="1941.5"/>
    <n v="0.41699999999999998"/>
    <n v="6.9"/>
  </r>
  <r>
    <x v="81"/>
    <x v="15"/>
    <x v="14"/>
    <n v="18502"/>
    <n v="38368.519999999997"/>
    <n v="6.76"/>
    <n v="2771"/>
    <n v="0.33300000000000002"/>
    <n v="7.9"/>
  </r>
  <r>
    <x v="81"/>
    <x v="16"/>
    <x v="25"/>
    <n v="50376"/>
    <n v="115155.49"/>
    <n v="6.26"/>
    <n v="8078.6"/>
    <n v="0.58099999999999996"/>
    <n v="6.4"/>
  </r>
  <r>
    <x v="81"/>
    <x v="17"/>
    <x v="12"/>
    <n v="24693"/>
    <n v="50703.99"/>
    <n v="6.4"/>
    <n v="3846"/>
    <n v="0.5"/>
    <n v="6.8"/>
  </r>
  <r>
    <x v="81"/>
    <x v="18"/>
    <x v="22"/>
    <n v="32801"/>
    <n v="69137.87"/>
    <n v="6.57"/>
    <n v="5038.5"/>
    <n v="0.46400000000000002"/>
    <n v="8.3000000000000007"/>
  </r>
  <r>
    <x v="81"/>
    <x v="19"/>
    <x v="18"/>
    <n v="43186"/>
    <n v="93161.78"/>
    <n v="6.44"/>
    <n v="6813.5"/>
    <n v="0.5"/>
    <n v="7.6"/>
  </r>
  <r>
    <x v="81"/>
    <x v="20"/>
    <x v="12"/>
    <n v="22591"/>
    <n v="49726.57"/>
    <n v="6.56"/>
    <n v="3401.3"/>
    <n v="0.72199999999999998"/>
    <n v="6.2"/>
  </r>
  <r>
    <x v="81"/>
    <x v="21"/>
    <x v="6"/>
    <n v="31480"/>
    <n v="72573.440000000002"/>
    <n v="6.54"/>
    <n v="4760.2"/>
    <n v="0.47599999999999998"/>
    <n v="6.6"/>
  </r>
  <r>
    <x v="81"/>
    <x v="22"/>
    <x v="4"/>
    <n v="20358"/>
    <n v="41253.64"/>
    <n v="6.49"/>
    <n v="3196.1"/>
    <n v="0.42899999999999999"/>
    <n v="7.2"/>
  </r>
  <r>
    <x v="81"/>
    <x v="23"/>
    <x v="12"/>
    <n v="25413"/>
    <n v="53565.57"/>
    <n v="6.6"/>
    <n v="3895.5"/>
    <n v="0.55600000000000005"/>
    <n v="5.7"/>
  </r>
  <r>
    <x v="81"/>
    <x v="24"/>
    <x v="13"/>
    <n v="29374"/>
    <n v="60731.99"/>
    <n v="6.63"/>
    <n v="4423.1000000000004"/>
    <n v="0.5"/>
    <n v="7"/>
  </r>
  <r>
    <x v="81"/>
    <x v="25"/>
    <x v="3"/>
    <n v="31994"/>
    <n v="64109.95"/>
    <n v="6.41"/>
    <n v="4983.8"/>
    <n v="0.316"/>
    <n v="6.8"/>
  </r>
  <r>
    <x v="81"/>
    <x v="26"/>
    <x v="0"/>
    <n v="40622"/>
    <n v="88655.7"/>
    <n v="6.62"/>
    <n v="6231.8"/>
    <n v="0.42299999999999999"/>
    <n v="6.4"/>
  </r>
  <r>
    <x v="81"/>
    <x v="27"/>
    <x v="13"/>
    <n v="25193"/>
    <n v="55990.02"/>
    <n v="6.49"/>
    <n v="3875.5"/>
    <n v="0.318"/>
    <n v="6.5"/>
  </r>
  <r>
    <x v="81"/>
    <x v="28"/>
    <x v="3"/>
    <n v="29984"/>
    <n v="64042.44"/>
    <n v="6.61"/>
    <n v="4590.5"/>
    <n v="0.63200000000000001"/>
    <n v="7.8"/>
  </r>
  <r>
    <x v="81"/>
    <x v="29"/>
    <x v="15"/>
    <n v="38885"/>
    <n v="88029.33"/>
    <n v="6.38"/>
    <n v="6162.5"/>
    <n v="0.435"/>
    <n v="7.4"/>
  </r>
  <r>
    <x v="81"/>
    <x v="30"/>
    <x v="6"/>
    <n v="28196"/>
    <n v="61926.22"/>
    <n v="6.67"/>
    <n v="4231.8999999999996"/>
    <n v="0.66700000000000004"/>
    <n v="7.3"/>
  </r>
  <r>
    <x v="81"/>
    <x v="31"/>
    <x v="12"/>
    <n v="31056"/>
    <n v="66978.44"/>
    <n v="6.43"/>
    <n v="4951.1000000000004"/>
    <n v="0.33300000000000002"/>
    <n v="6.9"/>
  </r>
  <r>
    <x v="81"/>
    <x v="32"/>
    <x v="9"/>
    <n v="27054"/>
    <n v="57864.71"/>
    <n v="6.38"/>
    <n v="4279.7"/>
    <n v="0.52900000000000003"/>
    <n v="6.9"/>
  </r>
  <r>
    <x v="81"/>
    <x v="33"/>
    <x v="8"/>
    <n v="22872"/>
    <n v="48877.95"/>
    <n v="6.48"/>
    <n v="3594.8"/>
    <n v="0.312"/>
    <n v="7.3"/>
  </r>
  <r>
    <x v="81"/>
    <x v="34"/>
    <x v="8"/>
    <n v="25316"/>
    <n v="54001.99"/>
    <n v="6.39"/>
    <n v="4011"/>
    <n v="0.438"/>
    <n v="7.7"/>
  </r>
  <r>
    <x v="81"/>
    <x v="35"/>
    <x v="3"/>
    <n v="23177"/>
    <n v="45241.120000000003"/>
    <n v="6.35"/>
    <n v="3773.8"/>
    <n v="0.52600000000000002"/>
    <n v="7"/>
  </r>
  <r>
    <x v="82"/>
    <x v="0"/>
    <x v="14"/>
    <n v="22765"/>
    <n v="50655.5"/>
    <n v="6.66"/>
    <n v="3475"/>
    <n v="0.4"/>
    <n v="7.2"/>
  </r>
  <r>
    <x v="82"/>
    <x v="1"/>
    <x v="9"/>
    <n v="27048"/>
    <n v="58657.06"/>
    <n v="6.6"/>
    <n v="4170.8999999999996"/>
    <n v="0.35299999999999998"/>
    <n v="8.1"/>
  </r>
  <r>
    <x v="82"/>
    <x v="2"/>
    <x v="11"/>
    <n v="34275"/>
    <n v="74826.880000000005"/>
    <n v="6.58"/>
    <n v="5214.1000000000004"/>
    <n v="0.41699999999999998"/>
    <n v="7.2"/>
  </r>
  <r>
    <x v="82"/>
    <x v="3"/>
    <x v="8"/>
    <n v="23617"/>
    <n v="48499.83"/>
    <n v="6.5"/>
    <n v="3668.1"/>
    <n v="0.438"/>
    <n v="6.4"/>
  </r>
  <r>
    <x v="82"/>
    <x v="4"/>
    <x v="17"/>
    <n v="37833"/>
    <n v="84855.25"/>
    <n v="6.54"/>
    <n v="5822.3"/>
    <n v="0.4"/>
    <n v="6.5"/>
  </r>
  <r>
    <x v="82"/>
    <x v="5"/>
    <x v="13"/>
    <n v="38510"/>
    <n v="87955.43"/>
    <n v="6.45"/>
    <n v="6034.5"/>
    <n v="0.36399999999999999"/>
    <n v="6.6"/>
  </r>
  <r>
    <x v="82"/>
    <x v="6"/>
    <x v="6"/>
    <n v="30202"/>
    <n v="66772.28"/>
    <n v="6.65"/>
    <n v="4523"/>
    <n v="0.33300000000000002"/>
    <n v="5.9"/>
  </r>
  <r>
    <x v="82"/>
    <x v="7"/>
    <x v="4"/>
    <n v="19036"/>
    <n v="41786.82"/>
    <n v="6.77"/>
    <n v="2868.5"/>
    <n v="0.5"/>
    <n v="7.2"/>
  </r>
  <r>
    <x v="82"/>
    <x v="8"/>
    <x v="7"/>
    <n v="15746"/>
    <n v="35416.639999999999"/>
    <n v="6.45"/>
    <n v="2421.1999999999998"/>
    <n v="0.66700000000000004"/>
    <n v="6.5"/>
  </r>
  <r>
    <x v="82"/>
    <x v="9"/>
    <x v="12"/>
    <n v="22755"/>
    <n v="49620.99"/>
    <n v="6.38"/>
    <n v="3572.8"/>
    <n v="0.55600000000000005"/>
    <n v="7.4"/>
  </r>
  <r>
    <x v="82"/>
    <x v="10"/>
    <x v="8"/>
    <n v="21524"/>
    <n v="48417.06"/>
    <n v="6.06"/>
    <n v="3584.1"/>
    <n v="0.375"/>
    <n v="8.1999999999999993"/>
  </r>
  <r>
    <x v="82"/>
    <x v="11"/>
    <x v="8"/>
    <n v="24178"/>
    <n v="58519.45"/>
    <n v="6.42"/>
    <n v="3771.3"/>
    <n v="0.375"/>
    <n v="7"/>
  </r>
  <r>
    <x v="82"/>
    <x v="12"/>
    <x v="3"/>
    <n v="33187"/>
    <n v="72708.350000000006"/>
    <n v="6.47"/>
    <n v="5152.1000000000004"/>
    <n v="0.52600000000000002"/>
    <n v="5.8"/>
  </r>
  <r>
    <x v="82"/>
    <x v="13"/>
    <x v="12"/>
    <n v="26680"/>
    <n v="58099.71"/>
    <n v="6.41"/>
    <n v="4090.8"/>
    <n v="0.16700000000000001"/>
    <n v="6.4"/>
  </r>
  <r>
    <x v="82"/>
    <x v="14"/>
    <x v="6"/>
    <n v="24660"/>
    <n v="51779.4"/>
    <n v="6.57"/>
    <n v="3748.5"/>
    <n v="0.42899999999999999"/>
    <n v="8.1999999999999993"/>
  </r>
  <r>
    <x v="82"/>
    <x v="15"/>
    <x v="4"/>
    <n v="25140"/>
    <n v="56575.14"/>
    <n v="6.27"/>
    <n v="4056.8"/>
    <n v="0.5"/>
    <n v="6.8"/>
  </r>
  <r>
    <x v="82"/>
    <x v="16"/>
    <x v="3"/>
    <n v="25381"/>
    <n v="53384.2"/>
    <n v="6.64"/>
    <n v="3857.5"/>
    <n v="0.42099999999999999"/>
    <n v="6.3"/>
  </r>
  <r>
    <x v="82"/>
    <x v="17"/>
    <x v="8"/>
    <n v="23973"/>
    <n v="50166.85"/>
    <n v="6.55"/>
    <n v="3625.7"/>
    <n v="0.438"/>
    <n v="6.6"/>
  </r>
  <r>
    <x v="82"/>
    <x v="18"/>
    <x v="2"/>
    <n v="28338"/>
    <n v="59057.61"/>
    <n v="6.28"/>
    <n v="4550.2"/>
    <n v="0.35"/>
    <n v="7.7"/>
  </r>
  <r>
    <x v="82"/>
    <x v="19"/>
    <x v="12"/>
    <n v="25573"/>
    <n v="57642.559999999998"/>
    <n v="6.7"/>
    <n v="3919.4"/>
    <n v="0.38900000000000001"/>
    <n v="7.3"/>
  </r>
  <r>
    <x v="82"/>
    <x v="20"/>
    <x v="17"/>
    <n v="38360"/>
    <n v="78764.320000000007"/>
    <n v="6.51"/>
    <n v="5962.5"/>
    <n v="0.44"/>
    <n v="7.2"/>
  </r>
  <r>
    <x v="82"/>
    <x v="21"/>
    <x v="6"/>
    <n v="28219"/>
    <n v="65831.41"/>
    <n v="6.35"/>
    <n v="4523.3999999999996"/>
    <n v="0.38100000000000001"/>
    <n v="7.9"/>
  </r>
  <r>
    <x v="82"/>
    <x v="22"/>
    <x v="13"/>
    <n v="24902"/>
    <n v="58443.74"/>
    <n v="6.49"/>
    <n v="3885.7"/>
    <n v="0.54500000000000004"/>
    <n v="6"/>
  </r>
  <r>
    <x v="82"/>
    <x v="23"/>
    <x v="10"/>
    <n v="44006"/>
    <n v="94457.47"/>
    <n v="6.49"/>
    <n v="6801.1"/>
    <n v="0.222"/>
    <n v="6.4"/>
  </r>
  <r>
    <x v="82"/>
    <x v="24"/>
    <x v="21"/>
    <n v="15169"/>
    <n v="37740.300000000003"/>
    <n v="6.46"/>
    <n v="2321.9"/>
    <n v="0.45500000000000002"/>
    <n v="7.2"/>
  </r>
  <r>
    <x v="82"/>
    <x v="25"/>
    <x v="4"/>
    <n v="19693"/>
    <n v="44084.25"/>
    <n v="6.57"/>
    <n v="3085.3"/>
    <n v="0.5"/>
    <n v="8.3000000000000007"/>
  </r>
  <r>
    <x v="82"/>
    <x v="26"/>
    <x v="13"/>
    <n v="30547"/>
    <n v="72919.759999999995"/>
    <n v="6.54"/>
    <n v="4704.8"/>
    <n v="0.36399999999999999"/>
    <n v="6.2"/>
  </r>
  <r>
    <x v="82"/>
    <x v="27"/>
    <x v="6"/>
    <n v="27600"/>
    <n v="60235.57"/>
    <n v="6.62"/>
    <n v="4246.3999999999996"/>
    <n v="0.52400000000000002"/>
    <n v="7.6"/>
  </r>
  <r>
    <x v="82"/>
    <x v="28"/>
    <x v="6"/>
    <n v="32136"/>
    <n v="69637.36"/>
    <n v="6.38"/>
    <n v="5079.6000000000004"/>
    <n v="0.33300000000000002"/>
    <n v="6.9"/>
  </r>
  <r>
    <x v="82"/>
    <x v="29"/>
    <x v="9"/>
    <n v="23089"/>
    <n v="45989.88"/>
    <n v="6.47"/>
    <n v="3619.6"/>
    <n v="0.64700000000000002"/>
    <n v="7.3"/>
  </r>
  <r>
    <x v="82"/>
    <x v="30"/>
    <x v="12"/>
    <n v="19959"/>
    <n v="44245.11"/>
    <n v="6.5"/>
    <n v="3026.2"/>
    <n v="0.44400000000000001"/>
    <n v="6.8"/>
  </r>
  <r>
    <x v="82"/>
    <x v="31"/>
    <x v="7"/>
    <n v="19630"/>
    <n v="45056.73"/>
    <n v="6.84"/>
    <n v="2840.7"/>
    <n v="0.5"/>
    <n v="6.8"/>
  </r>
  <r>
    <x v="82"/>
    <x v="32"/>
    <x v="9"/>
    <n v="18546"/>
    <n v="38057.050000000003"/>
    <n v="6.58"/>
    <n v="2846.8"/>
    <n v="0.58799999999999997"/>
    <n v="5.5"/>
  </r>
  <r>
    <x v="82"/>
    <x v="33"/>
    <x v="28"/>
    <n v="41213"/>
    <n v="91468.79"/>
    <n v="6.57"/>
    <n v="6361.3"/>
    <n v="0.44800000000000001"/>
    <n v="7.5"/>
  </r>
  <r>
    <x v="82"/>
    <x v="34"/>
    <x v="4"/>
    <n v="21315"/>
    <n v="48636.98"/>
    <n v="6.58"/>
    <n v="3320.8"/>
    <n v="0.42899999999999999"/>
    <n v="7.3"/>
  </r>
  <r>
    <x v="82"/>
    <x v="35"/>
    <x v="7"/>
    <n v="18002"/>
    <n v="40734.53"/>
    <n v="6.68"/>
    <n v="2736.7"/>
    <n v="0.16700000000000001"/>
    <n v="7.9"/>
  </r>
  <r>
    <x v="83"/>
    <x v="0"/>
    <x v="15"/>
    <n v="33275"/>
    <n v="70037.42"/>
    <n v="6.46"/>
    <n v="5150.3"/>
    <n v="0.26100000000000001"/>
    <n v="6.5"/>
  </r>
  <r>
    <x v="83"/>
    <x v="1"/>
    <x v="2"/>
    <n v="29548"/>
    <n v="61537.81"/>
    <n v="6.31"/>
    <n v="4705.8999999999996"/>
    <n v="0.2"/>
    <n v="7.8"/>
  </r>
  <r>
    <x v="83"/>
    <x v="2"/>
    <x v="29"/>
    <n v="12745"/>
    <n v="28800.54"/>
    <n v="6.47"/>
    <n v="1958.2"/>
    <n v="0.625"/>
    <n v="8.4"/>
  </r>
  <r>
    <x v="83"/>
    <x v="3"/>
    <x v="8"/>
    <n v="24147"/>
    <n v="51075.53"/>
    <n v="6.37"/>
    <n v="3759.1"/>
    <n v="0.375"/>
    <n v="7"/>
  </r>
  <r>
    <x v="83"/>
    <x v="4"/>
    <x v="8"/>
    <n v="22542"/>
    <n v="49973.66"/>
    <n v="6.52"/>
    <n v="3560.9"/>
    <n v="0.312"/>
    <n v="6"/>
  </r>
  <r>
    <x v="83"/>
    <x v="5"/>
    <x v="4"/>
    <n v="20377"/>
    <n v="44863.3"/>
    <n v="6.6"/>
    <n v="3093.2"/>
    <n v="0.57099999999999995"/>
    <n v="6.6"/>
  </r>
  <r>
    <x v="83"/>
    <x v="6"/>
    <x v="2"/>
    <n v="31290"/>
    <n v="66705.5"/>
    <n v="6.64"/>
    <n v="4730.1000000000004"/>
    <n v="0.5"/>
    <n v="6.7"/>
  </r>
  <r>
    <x v="83"/>
    <x v="7"/>
    <x v="6"/>
    <n v="35432"/>
    <n v="75113.66"/>
    <n v="6.54"/>
    <n v="5387.9"/>
    <n v="0.61899999999999999"/>
    <n v="6.9"/>
  </r>
  <r>
    <x v="83"/>
    <x v="8"/>
    <x v="6"/>
    <n v="44045"/>
    <n v="89509.51"/>
    <n v="6.63"/>
    <n v="6632.8"/>
    <n v="0.23799999999999999"/>
    <n v="6.6"/>
  </r>
  <r>
    <x v="83"/>
    <x v="9"/>
    <x v="8"/>
    <n v="28093"/>
    <n v="60890.45"/>
    <n v="6.42"/>
    <n v="4453.8"/>
    <n v="0.56200000000000006"/>
    <n v="7"/>
  </r>
  <r>
    <x v="83"/>
    <x v="10"/>
    <x v="9"/>
    <n v="24560"/>
    <n v="50903.519999999997"/>
    <n v="6.58"/>
    <n v="3755.3"/>
    <n v="0.70599999999999996"/>
    <n v="5.7"/>
  </r>
  <r>
    <x v="83"/>
    <x v="11"/>
    <x v="7"/>
    <n v="18738"/>
    <n v="39165.71"/>
    <n v="6.53"/>
    <n v="2919"/>
    <n v="0.66700000000000004"/>
    <n v="7"/>
  </r>
  <r>
    <x v="83"/>
    <x v="12"/>
    <x v="2"/>
    <n v="29261"/>
    <n v="59821.95"/>
    <n v="6.68"/>
    <n v="4442.2"/>
    <n v="0.3"/>
    <n v="7.2"/>
  </r>
  <r>
    <x v="83"/>
    <x v="13"/>
    <x v="8"/>
    <n v="18056"/>
    <n v="41889.519999999997"/>
    <n v="6.52"/>
    <n v="2788.1"/>
    <n v="0.438"/>
    <n v="6.3"/>
  </r>
  <r>
    <x v="83"/>
    <x v="14"/>
    <x v="7"/>
    <n v="12100"/>
    <n v="26559.4"/>
    <n v="6.21"/>
    <n v="1962.5"/>
    <n v="0.5"/>
    <n v="6.4"/>
  </r>
  <r>
    <x v="83"/>
    <x v="15"/>
    <x v="6"/>
    <n v="32125"/>
    <n v="64452.77"/>
    <n v="6.61"/>
    <n v="4903.8"/>
    <n v="0.33300000000000002"/>
    <n v="7.7"/>
  </r>
  <r>
    <x v="83"/>
    <x v="16"/>
    <x v="9"/>
    <n v="26343"/>
    <n v="60138.28"/>
    <n v="6.11"/>
    <n v="4340.7"/>
    <n v="0.35299999999999998"/>
    <n v="6"/>
  </r>
  <r>
    <x v="83"/>
    <x v="17"/>
    <x v="15"/>
    <n v="35944"/>
    <n v="72659.759999999995"/>
    <n v="6.56"/>
    <n v="5504.3"/>
    <n v="0.47799999999999998"/>
    <n v="6.7"/>
  </r>
  <r>
    <x v="83"/>
    <x v="18"/>
    <x v="3"/>
    <n v="27696"/>
    <n v="56020.72"/>
    <n v="6.35"/>
    <n v="4221.7"/>
    <n v="0.57899999999999996"/>
    <n v="6.9"/>
  </r>
  <r>
    <x v="83"/>
    <x v="19"/>
    <x v="5"/>
    <n v="19685"/>
    <n v="41731.93"/>
    <n v="7.07"/>
    <n v="2801.9"/>
    <n v="0.23100000000000001"/>
    <n v="6.9"/>
  </r>
  <r>
    <x v="83"/>
    <x v="20"/>
    <x v="9"/>
    <n v="28884"/>
    <n v="63416.4"/>
    <n v="6.47"/>
    <n v="4515.2"/>
    <n v="0.47099999999999997"/>
    <n v="7"/>
  </r>
  <r>
    <x v="83"/>
    <x v="21"/>
    <x v="5"/>
    <n v="21254"/>
    <n v="41917.33"/>
    <n v="6.23"/>
    <n v="3427.8"/>
    <n v="0.308"/>
    <n v="6.1"/>
  </r>
  <r>
    <x v="83"/>
    <x v="22"/>
    <x v="14"/>
    <n v="25477"/>
    <n v="58249.61"/>
    <n v="6.7"/>
    <n v="3851.8"/>
    <n v="0.33300000000000002"/>
    <n v="5.4"/>
  </r>
  <r>
    <x v="83"/>
    <x v="23"/>
    <x v="4"/>
    <n v="22818"/>
    <n v="47325.21"/>
    <n v="6.46"/>
    <n v="3582.2"/>
    <n v="0.35699999999999998"/>
    <n v="7.2"/>
  </r>
  <r>
    <x v="83"/>
    <x v="24"/>
    <x v="6"/>
    <n v="33044"/>
    <n v="71749.539999999994"/>
    <n v="6.29"/>
    <n v="5261.6"/>
    <n v="0.47599999999999998"/>
    <n v="7.6"/>
  </r>
  <r>
    <x v="83"/>
    <x v="25"/>
    <x v="0"/>
    <n v="37635"/>
    <n v="85700.87"/>
    <n v="6.54"/>
    <n v="5843.7"/>
    <n v="0.61499999999999999"/>
    <n v="7.1"/>
  </r>
  <r>
    <x v="83"/>
    <x v="26"/>
    <x v="15"/>
    <n v="29435"/>
    <n v="64091.26"/>
    <n v="6.38"/>
    <n v="4776.3999999999996"/>
    <n v="0.65200000000000002"/>
    <n v="6.5"/>
  </r>
  <r>
    <x v="83"/>
    <x v="27"/>
    <x v="9"/>
    <n v="21204"/>
    <n v="46429.87"/>
    <n v="6.49"/>
    <n v="3298.7"/>
    <n v="0.58799999999999997"/>
    <n v="6.3"/>
  </r>
  <r>
    <x v="83"/>
    <x v="28"/>
    <x v="12"/>
    <n v="23777"/>
    <n v="53185.53"/>
    <n v="6.67"/>
    <n v="3577.3"/>
    <n v="0.61099999999999999"/>
    <n v="7.3"/>
  </r>
  <r>
    <x v="83"/>
    <x v="29"/>
    <x v="2"/>
    <n v="31351"/>
    <n v="67704.98"/>
    <n v="6.69"/>
    <n v="4682.2"/>
    <n v="0.4"/>
    <n v="6"/>
  </r>
  <r>
    <x v="83"/>
    <x v="30"/>
    <x v="12"/>
    <n v="20255"/>
    <n v="40557.32"/>
    <n v="6.56"/>
    <n v="3130"/>
    <n v="0.44400000000000001"/>
    <n v="8.1"/>
  </r>
  <r>
    <x v="83"/>
    <x v="31"/>
    <x v="5"/>
    <n v="21480"/>
    <n v="40768.31"/>
    <n v="6.75"/>
    <n v="3169.4"/>
    <n v="0.46200000000000002"/>
    <n v="9.1999999999999993"/>
  </r>
  <r>
    <x v="83"/>
    <x v="32"/>
    <x v="3"/>
    <n v="28705"/>
    <n v="63827.85"/>
    <n v="6.56"/>
    <n v="4412.5"/>
    <n v="0.42099999999999999"/>
    <n v="7.3"/>
  </r>
  <r>
    <x v="83"/>
    <x v="33"/>
    <x v="6"/>
    <n v="30120"/>
    <n v="62579.49"/>
    <n v="6.79"/>
    <n v="4522.6000000000004"/>
    <n v="0.42899999999999999"/>
    <n v="6.7"/>
  </r>
  <r>
    <x v="83"/>
    <x v="34"/>
    <x v="8"/>
    <n v="27400"/>
    <n v="54264.17"/>
    <n v="6.56"/>
    <n v="4289.8999999999996"/>
    <n v="0.56200000000000006"/>
    <n v="6.8"/>
  </r>
  <r>
    <x v="83"/>
    <x v="35"/>
    <x v="12"/>
    <n v="18519"/>
    <n v="36528.230000000003"/>
    <n v="6.6"/>
    <n v="2740.5"/>
    <n v="0.38900000000000001"/>
    <n v="6.9"/>
  </r>
  <r>
    <x v="84"/>
    <x v="0"/>
    <x v="12"/>
    <n v="23949"/>
    <n v="51683.85"/>
    <n v="6.42"/>
    <n v="3788.1"/>
    <n v="0.222"/>
    <n v="6.8"/>
  </r>
  <r>
    <x v="84"/>
    <x v="1"/>
    <x v="4"/>
    <n v="24949"/>
    <n v="60090.67"/>
    <n v="6.86"/>
    <n v="3667.5"/>
    <n v="0.78600000000000003"/>
    <n v="6.5"/>
  </r>
  <r>
    <x v="84"/>
    <x v="2"/>
    <x v="5"/>
    <n v="15650"/>
    <n v="34367.839999999997"/>
    <n v="6.65"/>
    <n v="2418.5"/>
    <n v="0.76900000000000002"/>
    <n v="6.2"/>
  </r>
  <r>
    <x v="84"/>
    <x v="3"/>
    <x v="13"/>
    <n v="31665"/>
    <n v="71302.53"/>
    <n v="6.66"/>
    <n v="4765.3999999999996"/>
    <n v="0.45500000000000002"/>
    <n v="6.1"/>
  </r>
  <r>
    <x v="84"/>
    <x v="4"/>
    <x v="6"/>
    <n v="28023"/>
    <n v="64336.84"/>
    <n v="6.62"/>
    <n v="4356.8999999999996"/>
    <n v="0.71399999999999997"/>
    <n v="7.5"/>
  </r>
  <r>
    <x v="84"/>
    <x v="5"/>
    <x v="21"/>
    <n v="13418"/>
    <n v="28760.86"/>
    <n v="6.89"/>
    <n v="1977.2"/>
    <n v="0.45500000000000002"/>
    <n v="7.7"/>
  </r>
  <r>
    <x v="84"/>
    <x v="6"/>
    <x v="14"/>
    <n v="22419"/>
    <n v="43956.92"/>
    <n v="6.74"/>
    <n v="3409"/>
    <n v="0.13300000000000001"/>
    <n v="7.8"/>
  </r>
  <r>
    <x v="84"/>
    <x v="7"/>
    <x v="12"/>
    <n v="27437"/>
    <n v="61340.35"/>
    <n v="6.39"/>
    <n v="4283.8999999999996"/>
    <n v="0.44400000000000001"/>
    <n v="7"/>
  </r>
  <r>
    <x v="84"/>
    <x v="8"/>
    <x v="9"/>
    <n v="17619"/>
    <n v="36382.480000000003"/>
    <n v="6.52"/>
    <n v="2815"/>
    <n v="0.41199999999999998"/>
    <n v="6.9"/>
  </r>
  <r>
    <x v="84"/>
    <x v="9"/>
    <x v="3"/>
    <n v="32924"/>
    <n v="67239.28"/>
    <n v="6.55"/>
    <n v="5058.3"/>
    <n v="0.47399999999999998"/>
    <n v="6"/>
  </r>
  <r>
    <x v="84"/>
    <x v="10"/>
    <x v="4"/>
    <n v="12402"/>
    <n v="25201.200000000001"/>
    <n v="6.63"/>
    <n v="1890"/>
    <n v="0.5"/>
    <n v="7.4"/>
  </r>
  <r>
    <x v="84"/>
    <x v="11"/>
    <x v="9"/>
    <n v="29634"/>
    <n v="66812.66"/>
    <n v="6.66"/>
    <n v="4509"/>
    <n v="0.52900000000000003"/>
    <n v="7.8"/>
  </r>
  <r>
    <x v="84"/>
    <x v="12"/>
    <x v="6"/>
    <n v="30838"/>
    <n v="59845.81"/>
    <n v="6.49"/>
    <n v="4831.5"/>
    <n v="0.38100000000000001"/>
    <n v="5.9"/>
  </r>
  <r>
    <x v="84"/>
    <x v="13"/>
    <x v="9"/>
    <n v="23043"/>
    <n v="50380.639999999999"/>
    <n v="6.47"/>
    <n v="3631"/>
    <n v="0.29399999999999998"/>
    <n v="7.2"/>
  </r>
  <r>
    <x v="84"/>
    <x v="14"/>
    <x v="9"/>
    <n v="29376"/>
    <n v="62173.58"/>
    <n v="6.89"/>
    <n v="4335.2"/>
    <n v="0.29399999999999998"/>
    <n v="6.7"/>
  </r>
  <r>
    <x v="84"/>
    <x v="15"/>
    <x v="15"/>
    <n v="29871"/>
    <n v="62037.55"/>
    <n v="6.34"/>
    <n v="4713.2"/>
    <n v="0.26100000000000001"/>
    <n v="7.2"/>
  </r>
  <r>
    <x v="84"/>
    <x v="16"/>
    <x v="12"/>
    <n v="23428"/>
    <n v="48384.72"/>
    <n v="6.65"/>
    <n v="3489.9"/>
    <n v="0.55600000000000005"/>
    <n v="7.5"/>
  </r>
  <r>
    <x v="84"/>
    <x v="17"/>
    <x v="4"/>
    <n v="24099"/>
    <n v="50743.48"/>
    <n v="6.5"/>
    <n v="3697.8"/>
    <n v="0.35699999999999998"/>
    <n v="8.1"/>
  </r>
  <r>
    <x v="84"/>
    <x v="18"/>
    <x v="8"/>
    <n v="24594"/>
    <n v="50802.5"/>
    <n v="6.39"/>
    <n v="3836.5"/>
    <n v="0.68799999999999994"/>
    <n v="5.8"/>
  </r>
  <r>
    <x v="84"/>
    <x v="19"/>
    <x v="3"/>
    <n v="30262"/>
    <n v="61137.2"/>
    <n v="6.57"/>
    <n v="4561.2"/>
    <n v="0.42099999999999999"/>
    <n v="7.2"/>
  </r>
  <r>
    <x v="84"/>
    <x v="20"/>
    <x v="8"/>
    <n v="19090"/>
    <n v="37863.550000000003"/>
    <n v="6.74"/>
    <n v="2812.5"/>
    <n v="0.68799999999999994"/>
    <n v="7.8"/>
  </r>
  <r>
    <x v="84"/>
    <x v="21"/>
    <x v="13"/>
    <n v="35380"/>
    <n v="77128.09"/>
    <n v="6.42"/>
    <n v="5531.7"/>
    <n v="0.318"/>
    <n v="7.9"/>
  </r>
  <r>
    <x v="84"/>
    <x v="22"/>
    <x v="28"/>
    <n v="42711"/>
    <n v="90355.38"/>
    <n v="6.52"/>
    <n v="6629.4"/>
    <n v="0.41399999999999998"/>
    <n v="7.1"/>
  </r>
  <r>
    <x v="84"/>
    <x v="23"/>
    <x v="4"/>
    <n v="18715"/>
    <n v="39806.9"/>
    <n v="6.52"/>
    <n v="2928.4"/>
    <n v="0.64300000000000002"/>
    <n v="5.5"/>
  </r>
  <r>
    <x v="84"/>
    <x v="24"/>
    <x v="14"/>
    <n v="23534"/>
    <n v="52721.32"/>
    <n v="6.6"/>
    <n v="3605.4"/>
    <n v="0.53300000000000003"/>
    <n v="7.2"/>
  </r>
  <r>
    <x v="84"/>
    <x v="25"/>
    <x v="4"/>
    <n v="23066"/>
    <n v="51670.76"/>
    <n v="6.43"/>
    <n v="3620.1"/>
    <n v="0.57099999999999995"/>
    <n v="7.2"/>
  </r>
  <r>
    <x v="84"/>
    <x v="26"/>
    <x v="3"/>
    <n v="28655"/>
    <n v="62140.160000000003"/>
    <n v="6.52"/>
    <n v="4480"/>
    <n v="0.52600000000000002"/>
    <n v="6.4"/>
  </r>
  <r>
    <x v="84"/>
    <x v="27"/>
    <x v="2"/>
    <n v="26222"/>
    <n v="62430.82"/>
    <n v="6.44"/>
    <n v="4089.3"/>
    <n v="0.35"/>
    <n v="7.4"/>
  </r>
  <r>
    <x v="84"/>
    <x v="28"/>
    <x v="22"/>
    <n v="40312"/>
    <n v="83782.960000000006"/>
    <n v="6.52"/>
    <n v="6364.3"/>
    <n v="0.57099999999999995"/>
    <n v="7.5"/>
  </r>
  <r>
    <x v="84"/>
    <x v="29"/>
    <x v="8"/>
    <n v="26215"/>
    <n v="52362.46"/>
    <n v="6.32"/>
    <n v="4144.2"/>
    <n v="0.25"/>
    <n v="8.8000000000000007"/>
  </r>
  <r>
    <x v="84"/>
    <x v="30"/>
    <x v="15"/>
    <n v="29777"/>
    <n v="61753.69"/>
    <n v="6.57"/>
    <n v="4560.1000000000004"/>
    <n v="0.34799999999999998"/>
    <n v="6.4"/>
  </r>
  <r>
    <x v="84"/>
    <x v="31"/>
    <x v="12"/>
    <n v="26572"/>
    <n v="55674.67"/>
    <n v="6.47"/>
    <n v="4119.2"/>
    <n v="0.16700000000000001"/>
    <n v="7.8"/>
  </r>
  <r>
    <x v="84"/>
    <x v="32"/>
    <x v="0"/>
    <n v="39487"/>
    <n v="80681.919999999998"/>
    <n v="6.5"/>
    <n v="6010.8"/>
    <n v="0.61499999999999999"/>
    <n v="5.7"/>
  </r>
  <r>
    <x v="84"/>
    <x v="33"/>
    <x v="11"/>
    <n v="33664"/>
    <n v="71581.53"/>
    <n v="6.39"/>
    <n v="5437.7"/>
    <n v="0.5"/>
    <n v="7.5"/>
  </r>
  <r>
    <x v="84"/>
    <x v="34"/>
    <x v="17"/>
    <n v="37667"/>
    <n v="75969.820000000007"/>
    <n v="6.69"/>
    <n v="5674.7"/>
    <n v="0.4"/>
    <n v="8.1"/>
  </r>
  <r>
    <x v="84"/>
    <x v="35"/>
    <x v="4"/>
    <n v="19382"/>
    <n v="43000.03"/>
    <n v="6.7"/>
    <n v="2940.5"/>
    <n v="0.5"/>
    <n v="7.2"/>
  </r>
  <r>
    <x v="85"/>
    <x v="0"/>
    <x v="3"/>
    <n v="26575"/>
    <n v="55502.75"/>
    <n v="6.79"/>
    <n v="4046"/>
    <n v="0.42099999999999999"/>
    <n v="8"/>
  </r>
  <r>
    <x v="85"/>
    <x v="1"/>
    <x v="14"/>
    <n v="23893"/>
    <n v="53338.3"/>
    <n v="6.73"/>
    <n v="3588.5"/>
    <n v="0.53300000000000003"/>
    <n v="7.5"/>
  </r>
  <r>
    <x v="85"/>
    <x v="2"/>
    <x v="14"/>
    <n v="16388"/>
    <n v="36880.379999999997"/>
    <n v="6.44"/>
    <n v="2596.3000000000002"/>
    <n v="0.53300000000000003"/>
    <n v="7.2"/>
  </r>
  <r>
    <x v="85"/>
    <x v="3"/>
    <x v="5"/>
    <n v="22906"/>
    <n v="50052.11"/>
    <n v="6.42"/>
    <n v="3624.5"/>
    <n v="0.46200000000000002"/>
    <n v="6.6"/>
  </r>
  <r>
    <x v="85"/>
    <x v="4"/>
    <x v="0"/>
    <n v="40173"/>
    <n v="85974.15"/>
    <n v="6.58"/>
    <n v="6111.6"/>
    <n v="0.46200000000000002"/>
    <n v="6.7"/>
  </r>
  <r>
    <x v="85"/>
    <x v="5"/>
    <x v="3"/>
    <n v="28666"/>
    <n v="62363.42"/>
    <n v="6.29"/>
    <n v="4699"/>
    <n v="0.47399999999999998"/>
    <n v="6.6"/>
  </r>
  <r>
    <x v="85"/>
    <x v="6"/>
    <x v="2"/>
    <n v="25621"/>
    <n v="57302.17"/>
    <n v="6.59"/>
    <n v="3886.5"/>
    <n v="0.45"/>
    <n v="7"/>
  </r>
  <r>
    <x v="85"/>
    <x v="7"/>
    <x v="1"/>
    <n v="15304"/>
    <n v="37081.589999999997"/>
    <n v="6.27"/>
    <n v="2430.9"/>
    <n v="0.33300000000000002"/>
    <n v="7.3"/>
  </r>
  <r>
    <x v="85"/>
    <x v="8"/>
    <x v="4"/>
    <n v="23423"/>
    <n v="48873.41"/>
    <n v="6.37"/>
    <n v="3773.6"/>
    <n v="0.71399999999999997"/>
    <n v="9.5"/>
  </r>
  <r>
    <x v="85"/>
    <x v="9"/>
    <x v="11"/>
    <n v="43927"/>
    <n v="91022.01"/>
    <n v="6.51"/>
    <n v="6817.1"/>
    <n v="0.45800000000000002"/>
    <n v="6.4"/>
  </r>
  <r>
    <x v="85"/>
    <x v="10"/>
    <x v="19"/>
    <n v="20118"/>
    <n v="41657.71"/>
    <n v="6.44"/>
    <n v="3172.9"/>
    <n v="0.5"/>
    <n v="5.2"/>
  </r>
  <r>
    <x v="85"/>
    <x v="11"/>
    <x v="2"/>
    <n v="30759"/>
    <n v="58635.76"/>
    <n v="6.55"/>
    <n v="4744.2"/>
    <n v="0.55000000000000004"/>
    <n v="5.8"/>
  </r>
  <r>
    <x v="85"/>
    <x v="12"/>
    <x v="13"/>
    <n v="23498"/>
    <n v="54289.73"/>
    <n v="6.25"/>
    <n v="3819"/>
    <n v="0.45500000000000002"/>
    <n v="6.6"/>
  </r>
  <r>
    <x v="85"/>
    <x v="13"/>
    <x v="2"/>
    <n v="31811"/>
    <n v="66864.960000000006"/>
    <n v="6.59"/>
    <n v="4835.1000000000004"/>
    <n v="0.4"/>
    <n v="6.7"/>
  </r>
  <r>
    <x v="85"/>
    <x v="14"/>
    <x v="2"/>
    <n v="30995"/>
    <n v="64377.91"/>
    <n v="6.46"/>
    <n v="4759"/>
    <n v="0.45"/>
    <n v="7.3"/>
  </r>
  <r>
    <x v="85"/>
    <x v="15"/>
    <x v="7"/>
    <n v="19978"/>
    <n v="46216.88"/>
    <n v="6.2"/>
    <n v="3246.8"/>
    <n v="0.5"/>
    <n v="4.7"/>
  </r>
  <r>
    <x v="85"/>
    <x v="16"/>
    <x v="19"/>
    <n v="12990"/>
    <n v="29045.84"/>
    <n v="6.16"/>
    <n v="2085.6999999999998"/>
    <n v="0.6"/>
    <n v="6.1"/>
  </r>
  <r>
    <x v="85"/>
    <x v="17"/>
    <x v="6"/>
    <n v="33219"/>
    <n v="75125.399999999994"/>
    <n v="6.45"/>
    <n v="5172.8"/>
    <n v="0.47599999999999998"/>
    <n v="6.9"/>
  </r>
  <r>
    <x v="85"/>
    <x v="18"/>
    <x v="2"/>
    <n v="26309"/>
    <n v="54383.97"/>
    <n v="6.48"/>
    <n v="4081.1"/>
    <n v="0.6"/>
    <n v="6.2"/>
  </r>
  <r>
    <x v="85"/>
    <x v="19"/>
    <x v="2"/>
    <n v="30853"/>
    <n v="67309.94"/>
    <n v="6.7"/>
    <n v="4696.2"/>
    <n v="0.35"/>
    <n v="7.2"/>
  </r>
  <r>
    <x v="85"/>
    <x v="20"/>
    <x v="12"/>
    <n v="32402"/>
    <n v="66300.27"/>
    <n v="6.5"/>
    <n v="5041.8"/>
    <n v="0.5"/>
    <n v="6.9"/>
  </r>
  <r>
    <x v="85"/>
    <x v="21"/>
    <x v="6"/>
    <n v="28123"/>
    <n v="56897.61"/>
    <n v="6.51"/>
    <n v="4389.8999999999996"/>
    <n v="0.52400000000000002"/>
    <n v="6.1"/>
  </r>
  <r>
    <x v="85"/>
    <x v="22"/>
    <x v="4"/>
    <n v="21846"/>
    <n v="43867.21"/>
    <n v="6.55"/>
    <n v="3476"/>
    <n v="0.5"/>
    <n v="7.7"/>
  </r>
  <r>
    <x v="85"/>
    <x v="23"/>
    <x v="12"/>
    <n v="24304"/>
    <n v="52700.639999999999"/>
    <n v="6.33"/>
    <n v="3867.2"/>
    <n v="0.27800000000000002"/>
    <n v="7.2"/>
  </r>
  <r>
    <x v="85"/>
    <x v="24"/>
    <x v="12"/>
    <n v="27549"/>
    <n v="58207.68"/>
    <n v="6.5"/>
    <n v="4245.8"/>
    <n v="0.44400000000000001"/>
    <n v="7"/>
  </r>
  <r>
    <x v="85"/>
    <x v="25"/>
    <x v="4"/>
    <n v="20975"/>
    <n v="48022.63"/>
    <n v="6.66"/>
    <n v="3215.2"/>
    <n v="0.57099999999999995"/>
    <n v="7.7"/>
  </r>
  <r>
    <x v="85"/>
    <x v="26"/>
    <x v="13"/>
    <n v="32785"/>
    <n v="71536.539999999994"/>
    <n v="6.66"/>
    <n v="5010.1000000000004"/>
    <n v="0.45500000000000002"/>
    <n v="6.9"/>
  </r>
  <r>
    <x v="85"/>
    <x v="27"/>
    <x v="6"/>
    <n v="21393"/>
    <n v="47495.58"/>
    <n v="6.44"/>
    <n v="3339.7"/>
    <n v="0.38100000000000001"/>
    <n v="7.6"/>
  </r>
  <r>
    <x v="85"/>
    <x v="28"/>
    <x v="13"/>
    <n v="34479"/>
    <n v="74758.2"/>
    <n v="6.42"/>
    <n v="5353.6"/>
    <n v="0.5"/>
    <n v="7.7"/>
  </r>
  <r>
    <x v="85"/>
    <x v="29"/>
    <x v="14"/>
    <n v="19585"/>
    <n v="40031.599999999999"/>
    <n v="6.24"/>
    <n v="3152.8"/>
    <n v="0.46700000000000003"/>
    <n v="6.3"/>
  </r>
  <r>
    <x v="85"/>
    <x v="30"/>
    <x v="6"/>
    <n v="26393"/>
    <n v="60441.74"/>
    <n v="6.68"/>
    <n v="3897.3"/>
    <n v="0.52400000000000002"/>
    <n v="6.5"/>
  </r>
  <r>
    <x v="85"/>
    <x v="31"/>
    <x v="14"/>
    <n v="20849"/>
    <n v="48720.59"/>
    <n v="6.57"/>
    <n v="3213.1"/>
    <n v="0.26700000000000002"/>
    <n v="6.3"/>
  </r>
  <r>
    <x v="85"/>
    <x v="32"/>
    <x v="14"/>
    <n v="20409"/>
    <n v="46201.760000000002"/>
    <n v="6.67"/>
    <n v="3030.2"/>
    <n v="0.4"/>
    <n v="6.1"/>
  </r>
  <r>
    <x v="85"/>
    <x v="33"/>
    <x v="14"/>
    <n v="20680"/>
    <n v="44820.73"/>
    <n v="6.5"/>
    <n v="3214.5"/>
    <n v="0.46700000000000003"/>
    <n v="6.5"/>
  </r>
  <r>
    <x v="85"/>
    <x v="34"/>
    <x v="2"/>
    <n v="28035"/>
    <n v="60100.69"/>
    <n v="6.62"/>
    <n v="4273.5"/>
    <n v="0.7"/>
    <n v="7.3"/>
  </r>
  <r>
    <x v="85"/>
    <x v="35"/>
    <x v="13"/>
    <n v="27456"/>
    <n v="57627.26"/>
    <n v="6.39"/>
    <n v="4263.2"/>
    <n v="0.5"/>
    <n v="7.8"/>
  </r>
  <r>
    <x v="86"/>
    <x v="0"/>
    <x v="2"/>
    <n v="25358"/>
    <n v="53501.919999999998"/>
    <n v="6.44"/>
    <n v="3927.8"/>
    <n v="0.7"/>
    <n v="6.3"/>
  </r>
  <r>
    <x v="86"/>
    <x v="1"/>
    <x v="5"/>
    <n v="18515"/>
    <n v="43538.55"/>
    <n v="6.66"/>
    <n v="2769.2"/>
    <n v="0.38500000000000001"/>
    <n v="6.1"/>
  </r>
  <r>
    <x v="86"/>
    <x v="2"/>
    <x v="21"/>
    <n v="14713"/>
    <n v="34797.120000000003"/>
    <n v="6.71"/>
    <n v="2256.6"/>
    <n v="0.45500000000000002"/>
    <n v="6.7"/>
  </r>
  <r>
    <x v="86"/>
    <x v="3"/>
    <x v="9"/>
    <n v="23490"/>
    <n v="49888.5"/>
    <n v="6.54"/>
    <n v="3518.6"/>
    <n v="0.64700000000000002"/>
    <n v="7"/>
  </r>
  <r>
    <x v="86"/>
    <x v="4"/>
    <x v="0"/>
    <n v="34233"/>
    <n v="72751.429999999993"/>
    <n v="6.62"/>
    <n v="5251.7"/>
    <n v="0.42299999999999999"/>
    <n v="7.3"/>
  </r>
  <r>
    <x v="86"/>
    <x v="5"/>
    <x v="12"/>
    <n v="26295"/>
    <n v="60826.87"/>
    <n v="6.78"/>
    <n v="3994"/>
    <n v="0.27800000000000002"/>
    <n v="7.1"/>
  </r>
  <r>
    <x v="86"/>
    <x v="6"/>
    <x v="9"/>
    <n v="28222"/>
    <n v="61689.46"/>
    <n v="6.54"/>
    <n v="4296.8"/>
    <n v="0.58799999999999997"/>
    <n v="6.3"/>
  </r>
  <r>
    <x v="86"/>
    <x v="7"/>
    <x v="3"/>
    <n v="21599"/>
    <n v="47749.36"/>
    <n v="6.33"/>
    <n v="3322.1"/>
    <n v="0.47399999999999998"/>
    <n v="7.9"/>
  </r>
  <r>
    <x v="86"/>
    <x v="8"/>
    <x v="12"/>
    <n v="27790"/>
    <n v="60335.26"/>
    <n v="6.72"/>
    <n v="4142.8999999999996"/>
    <n v="0.16700000000000001"/>
    <n v="7"/>
  </r>
  <r>
    <x v="86"/>
    <x v="9"/>
    <x v="2"/>
    <n v="32215"/>
    <n v="69557.960000000006"/>
    <n v="6.54"/>
    <n v="4904.6000000000004"/>
    <n v="0.35"/>
    <n v="7.7"/>
  </r>
  <r>
    <x v="86"/>
    <x v="10"/>
    <x v="14"/>
    <n v="21829"/>
    <n v="46141.73"/>
    <n v="6.3"/>
    <n v="3536.6"/>
    <n v="0.4"/>
    <n v="6.3"/>
  </r>
  <r>
    <x v="86"/>
    <x v="11"/>
    <x v="2"/>
    <n v="21954"/>
    <n v="51222.98"/>
    <n v="6.74"/>
    <n v="3285.5"/>
    <n v="0.6"/>
    <n v="6"/>
  </r>
  <r>
    <x v="86"/>
    <x v="12"/>
    <x v="6"/>
    <n v="30996"/>
    <n v="68414.31"/>
    <n v="6.65"/>
    <n v="4693.8"/>
    <n v="0.23799999999999999"/>
    <n v="6.4"/>
  </r>
  <r>
    <x v="86"/>
    <x v="13"/>
    <x v="8"/>
    <n v="23458"/>
    <n v="50669.03"/>
    <n v="6.69"/>
    <n v="3518.8"/>
    <n v="0.25"/>
    <n v="6.9"/>
  </r>
  <r>
    <x v="86"/>
    <x v="14"/>
    <x v="0"/>
    <n v="29734"/>
    <n v="66638.039999999994"/>
    <n v="6.76"/>
    <n v="4365.2"/>
    <n v="0.57699999999999996"/>
    <n v="7.7"/>
  </r>
  <r>
    <x v="86"/>
    <x v="15"/>
    <x v="12"/>
    <n v="28657"/>
    <n v="63972.05"/>
    <n v="6.49"/>
    <n v="4457.7"/>
    <n v="0.55600000000000005"/>
    <n v="6.9"/>
  </r>
  <r>
    <x v="86"/>
    <x v="16"/>
    <x v="9"/>
    <n v="19776"/>
    <n v="40992.660000000003"/>
    <n v="6.1"/>
    <n v="3275.9"/>
    <n v="0.41199999999999998"/>
    <n v="7.2"/>
  </r>
  <r>
    <x v="86"/>
    <x v="17"/>
    <x v="0"/>
    <n v="36958"/>
    <n v="80617.73"/>
    <n v="6.34"/>
    <n v="5782.6"/>
    <n v="0.38500000000000001"/>
    <n v="7.8"/>
  </r>
  <r>
    <x v="86"/>
    <x v="18"/>
    <x v="2"/>
    <n v="36678"/>
    <n v="80050.58"/>
    <n v="6.73"/>
    <n v="5435.2"/>
    <n v="0.35"/>
    <n v="7"/>
  </r>
  <r>
    <x v="86"/>
    <x v="19"/>
    <x v="0"/>
    <n v="33049"/>
    <n v="75337.52"/>
    <n v="6.42"/>
    <n v="5230.8"/>
    <n v="0.57699999999999996"/>
    <n v="6.9"/>
  </r>
  <r>
    <x v="86"/>
    <x v="20"/>
    <x v="5"/>
    <n v="15532"/>
    <n v="29336.13"/>
    <n v="6.46"/>
    <n v="2466.6"/>
    <n v="0.69199999999999995"/>
    <n v="6.7"/>
  </r>
  <r>
    <x v="86"/>
    <x v="21"/>
    <x v="13"/>
    <n v="33874"/>
    <n v="68165.08"/>
    <n v="6.51"/>
    <n v="5323.8"/>
    <n v="0.5"/>
    <n v="7"/>
  </r>
  <r>
    <x v="86"/>
    <x v="22"/>
    <x v="29"/>
    <n v="13085"/>
    <n v="24589.46"/>
    <n v="6.52"/>
    <n v="2036.6"/>
    <n v="0.75"/>
    <n v="7.3"/>
  </r>
  <r>
    <x v="86"/>
    <x v="23"/>
    <x v="9"/>
    <n v="29841"/>
    <n v="68212.17"/>
    <n v="6.5"/>
    <n v="4654.5"/>
    <n v="0.52900000000000003"/>
    <n v="7.6"/>
  </r>
  <r>
    <x v="86"/>
    <x v="24"/>
    <x v="7"/>
    <n v="16982"/>
    <n v="37918.239999999998"/>
    <n v="6.55"/>
    <n v="2616.4"/>
    <n v="0.58299999999999996"/>
    <n v="5.8"/>
  </r>
  <r>
    <x v="86"/>
    <x v="25"/>
    <x v="4"/>
    <n v="17346"/>
    <n v="35557.19"/>
    <n v="6.52"/>
    <n v="2675.6"/>
    <n v="0.5"/>
    <n v="7.3"/>
  </r>
  <r>
    <x v="86"/>
    <x v="26"/>
    <x v="13"/>
    <n v="41520"/>
    <n v="90166.89"/>
    <n v="6.41"/>
    <n v="6574.8"/>
    <n v="0.22700000000000001"/>
    <n v="6.1"/>
  </r>
  <r>
    <x v="86"/>
    <x v="27"/>
    <x v="11"/>
    <n v="33512"/>
    <n v="70774.820000000007"/>
    <n v="6.53"/>
    <n v="5295.1"/>
    <n v="0.33300000000000002"/>
    <n v="6.8"/>
  </r>
  <r>
    <x v="86"/>
    <x v="28"/>
    <x v="9"/>
    <n v="25787"/>
    <n v="52080.79"/>
    <n v="6.7"/>
    <n v="3842.2"/>
    <n v="0.47099999999999997"/>
    <n v="7.3"/>
  </r>
  <r>
    <x v="86"/>
    <x v="29"/>
    <x v="12"/>
    <n v="25580"/>
    <n v="52222.31"/>
    <n v="6.59"/>
    <n v="3971.5"/>
    <n v="0.33300000000000002"/>
    <n v="6.5"/>
  </r>
  <r>
    <x v="86"/>
    <x v="30"/>
    <x v="12"/>
    <n v="22769"/>
    <n v="52335.360000000001"/>
    <n v="6.72"/>
    <n v="3489.9"/>
    <n v="0.5"/>
    <n v="6.4"/>
  </r>
  <r>
    <x v="86"/>
    <x v="31"/>
    <x v="2"/>
    <n v="22117"/>
    <n v="50306.99"/>
    <n v="6.47"/>
    <n v="3451.9"/>
    <n v="0.35"/>
    <n v="6.8"/>
  </r>
  <r>
    <x v="86"/>
    <x v="32"/>
    <x v="15"/>
    <n v="40135"/>
    <n v="81300.06"/>
    <n v="6.63"/>
    <n v="6062.6"/>
    <n v="0.26100000000000001"/>
    <n v="7.3"/>
  </r>
  <r>
    <x v="86"/>
    <x v="33"/>
    <x v="13"/>
    <n v="31296"/>
    <n v="64968.45"/>
    <n v="6.84"/>
    <n v="4647.8"/>
    <n v="0.45500000000000002"/>
    <n v="7.2"/>
  </r>
  <r>
    <x v="86"/>
    <x v="34"/>
    <x v="12"/>
    <n v="25404"/>
    <n v="55314.879999999997"/>
    <n v="6.69"/>
    <n v="3788.9"/>
    <n v="0.5"/>
    <n v="6.7"/>
  </r>
  <r>
    <x v="86"/>
    <x v="35"/>
    <x v="10"/>
    <n v="43472"/>
    <n v="94897"/>
    <n v="6.53"/>
    <n v="6684"/>
    <n v="0.51900000000000002"/>
    <n v="6.1"/>
  </r>
  <r>
    <x v="87"/>
    <x v="0"/>
    <x v="17"/>
    <n v="34952"/>
    <n v="75610.720000000001"/>
    <n v="6.46"/>
    <n v="5481.2"/>
    <n v="0.64"/>
    <n v="7.1"/>
  </r>
  <r>
    <x v="87"/>
    <x v="1"/>
    <x v="9"/>
    <n v="18744"/>
    <n v="39533.89"/>
    <n v="6.73"/>
    <n v="2774.2"/>
    <n v="0.58799999999999997"/>
    <n v="5.5"/>
  </r>
  <r>
    <x v="87"/>
    <x v="2"/>
    <x v="4"/>
    <n v="21338"/>
    <n v="45432.82"/>
    <n v="6.59"/>
    <n v="3308.6"/>
    <n v="0.5"/>
    <n v="6.7"/>
  </r>
  <r>
    <x v="87"/>
    <x v="3"/>
    <x v="11"/>
    <n v="38518"/>
    <n v="81236.789999999994"/>
    <n v="6.69"/>
    <n v="5741.4"/>
    <n v="0.375"/>
    <n v="6.5"/>
  </r>
  <r>
    <x v="87"/>
    <x v="4"/>
    <x v="4"/>
    <n v="21293"/>
    <n v="47856.83"/>
    <n v="6.41"/>
    <n v="3372.2"/>
    <n v="0.5"/>
    <n v="6.4"/>
  </r>
  <r>
    <x v="87"/>
    <x v="5"/>
    <x v="7"/>
    <n v="21409"/>
    <n v="47979.040000000001"/>
    <n v="6.72"/>
    <n v="3197.5"/>
    <n v="0.16700000000000001"/>
    <n v="6.3"/>
  </r>
  <r>
    <x v="87"/>
    <x v="6"/>
    <x v="9"/>
    <n v="30220"/>
    <n v="62482.12"/>
    <n v="6.38"/>
    <n v="4773.6000000000004"/>
    <n v="0.35299999999999998"/>
    <n v="5.7"/>
  </r>
  <r>
    <x v="87"/>
    <x v="7"/>
    <x v="6"/>
    <n v="29749"/>
    <n v="61933.58"/>
    <n v="6.62"/>
    <n v="4528.3"/>
    <n v="0.57099999999999995"/>
    <n v="6.5"/>
  </r>
  <r>
    <x v="87"/>
    <x v="8"/>
    <x v="8"/>
    <n v="19453"/>
    <n v="46997.65"/>
    <n v="6.34"/>
    <n v="3097.7"/>
    <n v="0.5"/>
    <n v="6.8"/>
  </r>
  <r>
    <x v="87"/>
    <x v="9"/>
    <x v="11"/>
    <n v="37977"/>
    <n v="81078.080000000002"/>
    <n v="6.51"/>
    <n v="5839.7"/>
    <n v="0.375"/>
    <n v="7.2"/>
  </r>
  <r>
    <x v="87"/>
    <x v="10"/>
    <x v="2"/>
    <n v="33392"/>
    <n v="76065.13"/>
    <n v="6.36"/>
    <n v="5322.5"/>
    <n v="0.25"/>
    <n v="6.9"/>
  </r>
  <r>
    <x v="87"/>
    <x v="11"/>
    <x v="14"/>
    <n v="20927"/>
    <n v="42725.36"/>
    <n v="6.66"/>
    <n v="3090.5"/>
    <n v="0.46700000000000003"/>
    <n v="6.6"/>
  </r>
  <r>
    <x v="87"/>
    <x v="12"/>
    <x v="14"/>
    <n v="18154"/>
    <n v="39174.76"/>
    <n v="6.49"/>
    <n v="2832.9"/>
    <n v="0.53300000000000003"/>
    <n v="7.9"/>
  </r>
  <r>
    <x v="87"/>
    <x v="13"/>
    <x v="6"/>
    <n v="30958"/>
    <n v="67639.45"/>
    <n v="6.57"/>
    <n v="4770.2"/>
    <n v="0.42899999999999999"/>
    <n v="7.5"/>
  </r>
  <r>
    <x v="87"/>
    <x v="14"/>
    <x v="4"/>
    <n v="21784"/>
    <n v="49368.65"/>
    <n v="7.02"/>
    <n v="3079.5"/>
    <n v="0.71399999999999997"/>
    <n v="6.9"/>
  </r>
  <r>
    <x v="87"/>
    <x v="15"/>
    <x v="17"/>
    <n v="27940"/>
    <n v="60768.07"/>
    <n v="6.48"/>
    <n v="4319.8999999999996"/>
    <n v="0.64"/>
    <n v="7.8"/>
  </r>
  <r>
    <x v="87"/>
    <x v="16"/>
    <x v="6"/>
    <n v="32800"/>
    <n v="69838.97"/>
    <n v="6.58"/>
    <n v="5104.2"/>
    <n v="0.28599999999999998"/>
    <n v="7.4"/>
  </r>
  <r>
    <x v="87"/>
    <x v="17"/>
    <x v="14"/>
    <n v="24013"/>
    <n v="50799.55"/>
    <n v="6.4"/>
    <n v="3678.3"/>
    <n v="0.4"/>
    <n v="5.6"/>
  </r>
  <r>
    <x v="87"/>
    <x v="18"/>
    <x v="5"/>
    <n v="18984"/>
    <n v="44262.28"/>
    <n v="6.34"/>
    <n v="3086.1"/>
    <n v="0.69199999999999995"/>
    <n v="8.1999999999999993"/>
  </r>
  <r>
    <x v="87"/>
    <x v="19"/>
    <x v="9"/>
    <n v="27153"/>
    <n v="59683.95"/>
    <n v="6.27"/>
    <n v="4445.7"/>
    <n v="0.35299999999999998"/>
    <n v="6.3"/>
  </r>
  <r>
    <x v="87"/>
    <x v="20"/>
    <x v="19"/>
    <n v="16827"/>
    <n v="33837.82"/>
    <n v="6.57"/>
    <n v="2607.1"/>
    <n v="0.8"/>
    <n v="7.7"/>
  </r>
  <r>
    <x v="87"/>
    <x v="21"/>
    <x v="6"/>
    <n v="29918"/>
    <n v="67096.77"/>
    <n v="6.31"/>
    <n v="4779.2"/>
    <n v="0.38100000000000001"/>
    <n v="7.4"/>
  </r>
  <r>
    <x v="87"/>
    <x v="22"/>
    <x v="11"/>
    <n v="33460"/>
    <n v="66396.81"/>
    <n v="6.51"/>
    <n v="5173.1000000000004"/>
    <n v="0.54200000000000004"/>
    <n v="7.9"/>
  </r>
  <r>
    <x v="87"/>
    <x v="23"/>
    <x v="19"/>
    <n v="11171"/>
    <n v="25076.46"/>
    <n v="6.62"/>
    <n v="1722"/>
    <n v="0.5"/>
    <n v="5.3"/>
  </r>
  <r>
    <x v="87"/>
    <x v="24"/>
    <x v="5"/>
    <n v="14779"/>
    <n v="30197.69"/>
    <n v="6.52"/>
    <n v="2304.6999999999998"/>
    <n v="0.308"/>
    <n v="7.4"/>
  </r>
  <r>
    <x v="87"/>
    <x v="25"/>
    <x v="11"/>
    <n v="29221"/>
    <n v="59983.41"/>
    <n v="6.31"/>
    <n v="4640"/>
    <n v="0.41699999999999998"/>
    <n v="7.4"/>
  </r>
  <r>
    <x v="87"/>
    <x v="26"/>
    <x v="3"/>
    <n v="18212"/>
    <n v="41279.07"/>
    <n v="6.65"/>
    <n v="2722.1"/>
    <n v="0.316"/>
    <n v="7.7"/>
  </r>
  <r>
    <x v="87"/>
    <x v="27"/>
    <x v="11"/>
    <n v="31904"/>
    <n v="66898.12"/>
    <n v="6.68"/>
    <n v="4706.3"/>
    <n v="0.58299999999999996"/>
    <n v="7.6"/>
  </r>
  <r>
    <x v="87"/>
    <x v="28"/>
    <x v="19"/>
    <n v="10361"/>
    <n v="22230.78"/>
    <n v="6.78"/>
    <n v="1533.5"/>
    <n v="0.4"/>
    <n v="7.4"/>
  </r>
  <r>
    <x v="87"/>
    <x v="29"/>
    <x v="2"/>
    <n v="30966"/>
    <n v="66327.19"/>
    <n v="6.44"/>
    <n v="4824.8999999999996"/>
    <n v="0.25"/>
    <n v="7.2"/>
  </r>
  <r>
    <x v="87"/>
    <x v="30"/>
    <x v="9"/>
    <n v="23320"/>
    <n v="48387.81"/>
    <n v="6.59"/>
    <n v="3467.2"/>
    <n v="0.41199999999999998"/>
    <n v="8.6999999999999993"/>
  </r>
  <r>
    <x v="87"/>
    <x v="31"/>
    <x v="3"/>
    <n v="23995"/>
    <n v="50719.35"/>
    <n v="6.6"/>
    <n v="3716.9"/>
    <n v="0.47399999999999998"/>
    <n v="7.1"/>
  </r>
  <r>
    <x v="87"/>
    <x v="32"/>
    <x v="3"/>
    <n v="29419"/>
    <n v="65398.89"/>
    <n v="6.5"/>
    <n v="4486.3999999999996"/>
    <n v="0.316"/>
    <n v="5.8"/>
  </r>
  <r>
    <x v="87"/>
    <x v="33"/>
    <x v="2"/>
    <n v="26280"/>
    <n v="54761.02"/>
    <n v="6.65"/>
    <n v="3965.2"/>
    <n v="0.6"/>
    <n v="7.6"/>
  </r>
  <r>
    <x v="87"/>
    <x v="34"/>
    <x v="4"/>
    <n v="17855"/>
    <n v="37806.58"/>
    <n v="6.33"/>
    <n v="2886.2"/>
    <n v="0.5"/>
    <n v="6.7"/>
  </r>
  <r>
    <x v="87"/>
    <x v="35"/>
    <x v="7"/>
    <n v="20247"/>
    <n v="45940.23"/>
    <n v="6.73"/>
    <n v="3036.8"/>
    <n v="0.41699999999999998"/>
    <n v="8"/>
  </r>
  <r>
    <x v="88"/>
    <x v="0"/>
    <x v="12"/>
    <n v="26245"/>
    <n v="53799.85"/>
    <n v="6.47"/>
    <n v="4032.3"/>
    <n v="0.5"/>
    <n v="7.6"/>
  </r>
  <r>
    <x v="88"/>
    <x v="1"/>
    <x v="3"/>
    <n v="23343"/>
    <n v="46779.54"/>
    <n v="6.37"/>
    <n v="3729.1"/>
    <n v="0.42099999999999999"/>
    <n v="8.1999999999999993"/>
  </r>
  <r>
    <x v="88"/>
    <x v="2"/>
    <x v="2"/>
    <n v="27879"/>
    <n v="59378.02"/>
    <n v="6.52"/>
    <n v="4346.1000000000004"/>
    <n v="0.6"/>
    <n v="7.2"/>
  </r>
  <r>
    <x v="88"/>
    <x v="3"/>
    <x v="2"/>
    <n v="26534"/>
    <n v="56094.82"/>
    <n v="6.34"/>
    <n v="4234.3999999999996"/>
    <n v="0.35"/>
    <n v="7.2"/>
  </r>
  <r>
    <x v="88"/>
    <x v="4"/>
    <x v="10"/>
    <n v="45185"/>
    <n v="97981.49"/>
    <n v="6.43"/>
    <n v="7104.1"/>
    <n v="0.33300000000000002"/>
    <n v="7.9"/>
  </r>
  <r>
    <x v="88"/>
    <x v="5"/>
    <x v="21"/>
    <n v="17009"/>
    <n v="37866.46"/>
    <n v="6.36"/>
    <n v="2684"/>
    <n v="0.36399999999999999"/>
    <n v="6.7"/>
  </r>
  <r>
    <x v="88"/>
    <x v="6"/>
    <x v="15"/>
    <n v="41962"/>
    <n v="94466.34"/>
    <n v="6.89"/>
    <n v="6108.7"/>
    <n v="0.56499999999999995"/>
    <n v="6.9"/>
  </r>
  <r>
    <x v="88"/>
    <x v="7"/>
    <x v="3"/>
    <n v="26850"/>
    <n v="57551.13"/>
    <n v="6.62"/>
    <n v="4061.1"/>
    <n v="0.42099999999999999"/>
    <n v="6.6"/>
  </r>
  <r>
    <x v="88"/>
    <x v="8"/>
    <x v="6"/>
    <n v="28193"/>
    <n v="64557.7"/>
    <n v="6.48"/>
    <n v="4427.8999999999996"/>
    <n v="0.57099999999999995"/>
    <n v="7.4"/>
  </r>
  <r>
    <x v="88"/>
    <x v="9"/>
    <x v="10"/>
    <n v="42640"/>
    <n v="90096.28"/>
    <n v="6.61"/>
    <n v="6520.3"/>
    <n v="0.55600000000000005"/>
    <n v="7.2"/>
  </r>
  <r>
    <x v="88"/>
    <x v="10"/>
    <x v="6"/>
    <n v="22961"/>
    <n v="49596.34"/>
    <n v="6.35"/>
    <n v="3662.5"/>
    <n v="0.38100000000000001"/>
    <n v="7.8"/>
  </r>
  <r>
    <x v="88"/>
    <x v="11"/>
    <x v="8"/>
    <n v="29360"/>
    <n v="64307.54"/>
    <n v="6.37"/>
    <n v="4621.3999999999996"/>
    <n v="0.438"/>
    <n v="6.7"/>
  </r>
  <r>
    <x v="88"/>
    <x v="12"/>
    <x v="0"/>
    <n v="40988"/>
    <n v="81202.91"/>
    <n v="6.35"/>
    <n v="6520.5"/>
    <n v="0.5"/>
    <n v="6"/>
  </r>
  <r>
    <x v="88"/>
    <x v="13"/>
    <x v="9"/>
    <n v="19523"/>
    <n v="42461.85"/>
    <n v="6.49"/>
    <n v="2970.6"/>
    <n v="0.58799999999999997"/>
    <n v="7.3"/>
  </r>
  <r>
    <x v="88"/>
    <x v="14"/>
    <x v="3"/>
    <n v="31731"/>
    <n v="68048.14"/>
    <n v="6.73"/>
    <n v="4779.5"/>
    <n v="0.36799999999999999"/>
    <n v="5.7"/>
  </r>
  <r>
    <x v="88"/>
    <x v="15"/>
    <x v="12"/>
    <n v="25215"/>
    <n v="54372.83"/>
    <n v="6.77"/>
    <n v="3751.9"/>
    <n v="0.5"/>
    <n v="6.5"/>
  </r>
  <r>
    <x v="88"/>
    <x v="16"/>
    <x v="5"/>
    <n v="18451"/>
    <n v="40142.54"/>
    <n v="6.62"/>
    <n v="2771"/>
    <n v="0.53800000000000003"/>
    <n v="8"/>
  </r>
  <r>
    <x v="88"/>
    <x v="17"/>
    <x v="4"/>
    <n v="26817"/>
    <n v="58568.13"/>
    <n v="6.63"/>
    <n v="4043.5"/>
    <n v="0.28599999999999998"/>
    <n v="8.1999999999999993"/>
  </r>
  <r>
    <x v="88"/>
    <x v="18"/>
    <x v="4"/>
    <n v="19612"/>
    <n v="46267.08"/>
    <n v="6.54"/>
    <n v="3000.6"/>
    <n v="0.5"/>
    <n v="8"/>
  </r>
  <r>
    <x v="88"/>
    <x v="19"/>
    <x v="13"/>
    <n v="28346"/>
    <n v="67900.649999999994"/>
    <n v="6.4"/>
    <n v="4403.5"/>
    <n v="0.45500000000000002"/>
    <n v="6.5"/>
  </r>
  <r>
    <x v="88"/>
    <x v="20"/>
    <x v="28"/>
    <n v="42592"/>
    <n v="91368.6"/>
    <n v="6.6"/>
    <n v="6517.5"/>
    <n v="0.51700000000000002"/>
    <n v="6.7"/>
  </r>
  <r>
    <x v="88"/>
    <x v="21"/>
    <x v="15"/>
    <n v="27921"/>
    <n v="60681.7"/>
    <n v="6.45"/>
    <n v="4386.5"/>
    <n v="0.56499999999999995"/>
    <n v="6.9"/>
  </r>
  <r>
    <x v="88"/>
    <x v="22"/>
    <x v="13"/>
    <n v="30976"/>
    <n v="66657.45"/>
    <n v="6.45"/>
    <n v="4915.6000000000004"/>
    <n v="0.54500000000000004"/>
    <n v="7.4"/>
  </r>
  <r>
    <x v="88"/>
    <x v="23"/>
    <x v="15"/>
    <n v="31624"/>
    <n v="64862.54"/>
    <n v="6.67"/>
    <n v="4730.5"/>
    <n v="0.52200000000000002"/>
    <n v="8.1"/>
  </r>
  <r>
    <x v="88"/>
    <x v="24"/>
    <x v="0"/>
    <n v="45466"/>
    <n v="93745.13"/>
    <n v="6.37"/>
    <n v="7301.3"/>
    <n v="0.42299999999999999"/>
    <n v="7.7"/>
  </r>
  <r>
    <x v="88"/>
    <x v="25"/>
    <x v="17"/>
    <n v="34040"/>
    <n v="74195.8"/>
    <n v="6.51"/>
    <n v="5371.8"/>
    <n v="0.52"/>
    <n v="6.4"/>
  </r>
  <r>
    <x v="88"/>
    <x v="26"/>
    <x v="2"/>
    <n v="30466"/>
    <n v="67155.95"/>
    <n v="6.64"/>
    <n v="4655.8999999999996"/>
    <n v="0.35"/>
    <n v="6.6"/>
  </r>
  <r>
    <x v="88"/>
    <x v="27"/>
    <x v="12"/>
    <n v="24123"/>
    <n v="47058.55"/>
    <n v="6.55"/>
    <n v="3731"/>
    <n v="0.72199999999999998"/>
    <n v="5.7"/>
  </r>
  <r>
    <x v="88"/>
    <x v="28"/>
    <x v="11"/>
    <n v="34237"/>
    <n v="73796.94"/>
    <n v="6.52"/>
    <n v="5376.2"/>
    <n v="0.45800000000000002"/>
    <n v="7"/>
  </r>
  <r>
    <x v="88"/>
    <x v="29"/>
    <x v="13"/>
    <n v="31213"/>
    <n v="72303.460000000006"/>
    <n v="6.28"/>
    <n v="5004.8"/>
    <n v="0.36399999999999999"/>
    <n v="7.7"/>
  </r>
  <r>
    <x v="88"/>
    <x v="30"/>
    <x v="7"/>
    <n v="21712"/>
    <n v="54012.37"/>
    <n v="6.62"/>
    <n v="3257.3"/>
    <n v="0.58299999999999996"/>
    <n v="6"/>
  </r>
  <r>
    <x v="88"/>
    <x v="31"/>
    <x v="23"/>
    <n v="37727"/>
    <n v="75188.990000000005"/>
    <n v="6.72"/>
    <n v="5727"/>
    <n v="0.6"/>
    <n v="7.2"/>
  </r>
  <r>
    <x v="88"/>
    <x v="32"/>
    <x v="3"/>
    <n v="28120"/>
    <n v="55639.27"/>
    <n v="6.4"/>
    <n v="4434.3"/>
    <n v="0.316"/>
    <n v="7.5"/>
  </r>
  <r>
    <x v="88"/>
    <x v="33"/>
    <x v="15"/>
    <n v="36463"/>
    <n v="82090.820000000007"/>
    <n v="6.39"/>
    <n v="5700.3"/>
    <n v="0.52200000000000002"/>
    <n v="7.5"/>
  </r>
  <r>
    <x v="88"/>
    <x v="34"/>
    <x v="2"/>
    <n v="29309"/>
    <n v="59657.599999999999"/>
    <n v="6.75"/>
    <n v="4378.8"/>
    <n v="0.65"/>
    <n v="8.1"/>
  </r>
  <r>
    <x v="88"/>
    <x v="35"/>
    <x v="4"/>
    <n v="18612"/>
    <n v="41473.089999999997"/>
    <n v="6.33"/>
    <n v="2976.6"/>
    <n v="0.28599999999999998"/>
    <n v="8.1"/>
  </r>
  <r>
    <x v="89"/>
    <x v="0"/>
    <x v="2"/>
    <n v="26718"/>
    <n v="59841.59"/>
    <n v="6.5"/>
    <n v="4140.6000000000004"/>
    <n v="0.4"/>
    <n v="5.6"/>
  </r>
  <r>
    <x v="89"/>
    <x v="1"/>
    <x v="8"/>
    <n v="24437"/>
    <n v="48318.83"/>
    <n v="6.57"/>
    <n v="3712.1"/>
    <n v="0.375"/>
    <n v="7.4"/>
  </r>
  <r>
    <x v="89"/>
    <x v="2"/>
    <x v="4"/>
    <n v="18107"/>
    <n v="36748.67"/>
    <n v="6.7"/>
    <n v="2637"/>
    <n v="0.42899999999999999"/>
    <n v="6.9"/>
  </r>
  <r>
    <x v="89"/>
    <x v="3"/>
    <x v="8"/>
    <n v="22054"/>
    <n v="45481.88"/>
    <n v="6.54"/>
    <n v="3431.2"/>
    <n v="0.312"/>
    <n v="8.3000000000000007"/>
  </r>
  <r>
    <x v="89"/>
    <x v="4"/>
    <x v="3"/>
    <n v="27628"/>
    <n v="65114.38"/>
    <n v="6.61"/>
    <n v="4138"/>
    <n v="0.47399999999999998"/>
    <n v="8"/>
  </r>
  <r>
    <x v="89"/>
    <x v="5"/>
    <x v="9"/>
    <n v="21301"/>
    <n v="44621.32"/>
    <n v="6.6"/>
    <n v="3260.5"/>
    <n v="0.29399999999999998"/>
    <n v="6.4"/>
  </r>
  <r>
    <x v="89"/>
    <x v="6"/>
    <x v="12"/>
    <n v="30204"/>
    <n v="64865.09"/>
    <n v="6.55"/>
    <n v="4714.5"/>
    <n v="0.61099999999999999"/>
    <n v="6.4"/>
  </r>
  <r>
    <x v="89"/>
    <x v="7"/>
    <x v="13"/>
    <n v="31164"/>
    <n v="65085.29"/>
    <n v="6.44"/>
    <n v="4926.8999999999996"/>
    <n v="0.318"/>
    <n v="7.8"/>
  </r>
  <r>
    <x v="89"/>
    <x v="8"/>
    <x v="12"/>
    <n v="24858"/>
    <n v="56148.23"/>
    <n v="6.6"/>
    <n v="3809.2"/>
    <n v="0.55600000000000005"/>
    <n v="7.2"/>
  </r>
  <r>
    <x v="89"/>
    <x v="9"/>
    <x v="9"/>
    <n v="22080"/>
    <n v="44936.39"/>
    <n v="6.39"/>
    <n v="3375.8"/>
    <n v="0.23499999999999999"/>
    <n v="7.5"/>
  </r>
  <r>
    <x v="89"/>
    <x v="10"/>
    <x v="13"/>
    <n v="31773"/>
    <n v="71228.59"/>
    <n v="6.47"/>
    <n v="4927.6000000000004"/>
    <n v="0.36399999999999999"/>
    <n v="7.6"/>
  </r>
  <r>
    <x v="89"/>
    <x v="11"/>
    <x v="9"/>
    <n v="22643"/>
    <n v="47895.78"/>
    <n v="6.57"/>
    <n v="3483.9"/>
    <n v="0.29399999999999998"/>
    <n v="7"/>
  </r>
  <r>
    <x v="89"/>
    <x v="12"/>
    <x v="0"/>
    <n v="30402"/>
    <n v="64040.56"/>
    <n v="6.48"/>
    <n v="4667.8"/>
    <n v="0.53800000000000003"/>
    <n v="7.6"/>
  </r>
  <r>
    <x v="89"/>
    <x v="13"/>
    <x v="2"/>
    <n v="29385"/>
    <n v="65953.75"/>
    <n v="6.59"/>
    <n v="4387.2"/>
    <n v="0.45"/>
    <n v="7.6"/>
  </r>
  <r>
    <x v="89"/>
    <x v="14"/>
    <x v="8"/>
    <n v="20030"/>
    <n v="42723.31"/>
    <n v="6.7"/>
    <n v="3010.2"/>
    <n v="0.625"/>
    <n v="6.7"/>
  </r>
  <r>
    <x v="89"/>
    <x v="15"/>
    <x v="6"/>
    <n v="32122"/>
    <n v="72537.789999999994"/>
    <n v="6.47"/>
    <n v="5047.1000000000004"/>
    <n v="0.38100000000000001"/>
    <n v="7.4"/>
  </r>
  <r>
    <x v="89"/>
    <x v="16"/>
    <x v="13"/>
    <n v="26855"/>
    <n v="55064.65"/>
    <n v="6.61"/>
    <n v="4064.1"/>
    <n v="0.318"/>
    <n v="6.8"/>
  </r>
  <r>
    <x v="89"/>
    <x v="17"/>
    <x v="14"/>
    <n v="25666"/>
    <n v="57308.1"/>
    <n v="6.74"/>
    <n v="3819.5"/>
    <n v="0.46700000000000003"/>
    <n v="6.7"/>
  </r>
  <r>
    <x v="89"/>
    <x v="18"/>
    <x v="9"/>
    <n v="26368"/>
    <n v="54109.73"/>
    <n v="6.21"/>
    <n v="4179.2"/>
    <n v="0.52900000000000003"/>
    <n v="7.7"/>
  </r>
  <r>
    <x v="89"/>
    <x v="19"/>
    <x v="3"/>
    <n v="29104"/>
    <n v="67564.69"/>
    <n v="6.79"/>
    <n v="4317.1000000000004"/>
    <n v="0.47399999999999998"/>
    <n v="6.4"/>
  </r>
  <r>
    <x v="89"/>
    <x v="20"/>
    <x v="14"/>
    <n v="23776"/>
    <n v="53942.16"/>
    <n v="6.59"/>
    <n v="3634.7"/>
    <n v="0.6"/>
    <n v="7.2"/>
  </r>
  <r>
    <x v="89"/>
    <x v="21"/>
    <x v="9"/>
    <n v="22340"/>
    <n v="50415.7"/>
    <n v="6.4"/>
    <n v="3538.5"/>
    <n v="0.41199999999999998"/>
    <n v="6.5"/>
  </r>
  <r>
    <x v="89"/>
    <x v="22"/>
    <x v="21"/>
    <n v="15454"/>
    <n v="34950.11"/>
    <n v="6.84"/>
    <n v="2281.6"/>
    <n v="0.72699999999999998"/>
    <n v="8.1"/>
  </r>
  <r>
    <x v="89"/>
    <x v="23"/>
    <x v="13"/>
    <n v="31032"/>
    <n v="67889.83"/>
    <n v="6.79"/>
    <n v="4624.2"/>
    <n v="0.68200000000000005"/>
    <n v="6.7"/>
  </r>
  <r>
    <x v="89"/>
    <x v="24"/>
    <x v="14"/>
    <n v="25919"/>
    <n v="60505.77"/>
    <n v="6.84"/>
    <n v="3821.2"/>
    <n v="0.33300000000000002"/>
    <n v="8.1999999999999993"/>
  </r>
  <r>
    <x v="89"/>
    <x v="25"/>
    <x v="19"/>
    <n v="15917"/>
    <n v="32059.41"/>
    <n v="6.23"/>
    <n v="2476.1999999999998"/>
    <n v="0.4"/>
    <n v="8.5"/>
  </r>
  <r>
    <x v="89"/>
    <x v="26"/>
    <x v="6"/>
    <n v="23206"/>
    <n v="52875.41"/>
    <n v="6.41"/>
    <n v="3657.1"/>
    <n v="0.42899999999999999"/>
    <n v="6.5"/>
  </r>
  <r>
    <x v="89"/>
    <x v="27"/>
    <x v="2"/>
    <n v="29890"/>
    <n v="63344.03"/>
    <n v="6.43"/>
    <n v="4692.6000000000004"/>
    <n v="0.5"/>
    <n v="7.1"/>
  </r>
  <r>
    <x v="89"/>
    <x v="28"/>
    <x v="11"/>
    <n v="37689"/>
    <n v="77750.41"/>
    <n v="6.43"/>
    <n v="5884.5"/>
    <n v="0.375"/>
    <n v="6.3"/>
  </r>
  <r>
    <x v="89"/>
    <x v="29"/>
    <x v="14"/>
    <n v="25130"/>
    <n v="53646.99"/>
    <n v="6.45"/>
    <n v="3950.2"/>
    <n v="0.33300000000000002"/>
    <n v="7.1"/>
  </r>
  <r>
    <x v="89"/>
    <x v="30"/>
    <x v="9"/>
    <n v="28394"/>
    <n v="56695.27"/>
    <n v="6.55"/>
    <n v="4305.8"/>
    <n v="0.35299999999999998"/>
    <n v="7.1"/>
  </r>
  <r>
    <x v="89"/>
    <x v="31"/>
    <x v="6"/>
    <n v="35293"/>
    <n v="75833.570000000007"/>
    <n v="6.8"/>
    <n v="5205.3999999999996"/>
    <n v="0.42899999999999999"/>
    <n v="5.9"/>
  </r>
  <r>
    <x v="89"/>
    <x v="32"/>
    <x v="9"/>
    <n v="23962"/>
    <n v="54444.35"/>
    <n v="6.47"/>
    <n v="3732.1"/>
    <n v="0.47099999999999997"/>
    <n v="7.6"/>
  </r>
  <r>
    <x v="89"/>
    <x v="33"/>
    <x v="6"/>
    <n v="36954"/>
    <n v="75545.84"/>
    <n v="6.55"/>
    <n v="5647.8"/>
    <n v="0.52400000000000002"/>
    <n v="6.7"/>
  </r>
  <r>
    <x v="89"/>
    <x v="34"/>
    <x v="9"/>
    <n v="26187"/>
    <n v="60433.01"/>
    <n v="6.56"/>
    <n v="4005.8"/>
    <n v="0.58799999999999997"/>
    <n v="7.6"/>
  </r>
  <r>
    <x v="89"/>
    <x v="35"/>
    <x v="13"/>
    <n v="29136"/>
    <n v="62519.45"/>
    <n v="6.75"/>
    <n v="4338.1000000000004"/>
    <n v="0.36399999999999999"/>
    <n v="7.6"/>
  </r>
  <r>
    <x v="90"/>
    <x v="0"/>
    <x v="9"/>
    <n v="22206"/>
    <n v="43283.03"/>
    <n v="6.58"/>
    <n v="3394.5"/>
    <n v="0.47099999999999997"/>
    <n v="6.2"/>
  </r>
  <r>
    <x v="90"/>
    <x v="1"/>
    <x v="13"/>
    <n v="40330"/>
    <n v="87812.17"/>
    <n v="6.69"/>
    <n v="5994.9"/>
    <n v="0.63600000000000001"/>
    <n v="7.1"/>
  </r>
  <r>
    <x v="90"/>
    <x v="2"/>
    <x v="3"/>
    <n v="29595"/>
    <n v="64299.89"/>
    <n v="6.46"/>
    <n v="4573"/>
    <n v="0.42099999999999999"/>
    <n v="6.9"/>
  </r>
  <r>
    <x v="90"/>
    <x v="3"/>
    <x v="3"/>
    <n v="29696"/>
    <n v="64779.11"/>
    <n v="6.33"/>
    <n v="4744"/>
    <n v="0.73699999999999999"/>
    <n v="7.5"/>
  </r>
  <r>
    <x v="90"/>
    <x v="4"/>
    <x v="2"/>
    <n v="31549"/>
    <n v="72752.06"/>
    <n v="6.37"/>
    <n v="5075"/>
    <n v="0.3"/>
    <n v="7.1"/>
  </r>
  <r>
    <x v="90"/>
    <x v="5"/>
    <x v="3"/>
    <n v="28728"/>
    <n v="59145.77"/>
    <n v="6.4"/>
    <n v="4560.7"/>
    <n v="0.52600000000000002"/>
    <n v="7.4"/>
  </r>
  <r>
    <x v="90"/>
    <x v="6"/>
    <x v="0"/>
    <n v="34085"/>
    <n v="70868.3"/>
    <n v="6.6"/>
    <n v="5179.2"/>
    <n v="0.308"/>
    <n v="7.5"/>
  </r>
  <r>
    <x v="90"/>
    <x v="7"/>
    <x v="11"/>
    <n v="34864"/>
    <n v="75143.460000000006"/>
    <n v="6.38"/>
    <n v="5514.7"/>
    <n v="0.41699999999999998"/>
    <n v="8.4"/>
  </r>
  <r>
    <x v="90"/>
    <x v="8"/>
    <x v="19"/>
    <n v="18667"/>
    <n v="40623.620000000003"/>
    <n v="6.4"/>
    <n v="2994.9"/>
    <n v="0.4"/>
    <n v="8.1"/>
  </r>
  <r>
    <x v="90"/>
    <x v="9"/>
    <x v="17"/>
    <n v="38905"/>
    <n v="83542.179999999993"/>
    <n v="6.35"/>
    <n v="6188.3"/>
    <n v="0.44"/>
    <n v="6.5"/>
  </r>
  <r>
    <x v="90"/>
    <x v="10"/>
    <x v="11"/>
    <n v="34953"/>
    <n v="70460.39"/>
    <n v="6.45"/>
    <n v="5401"/>
    <n v="0.45800000000000002"/>
    <n v="6.2"/>
  </r>
  <r>
    <x v="90"/>
    <x v="11"/>
    <x v="6"/>
    <n v="28757"/>
    <n v="59538.64"/>
    <n v="6.51"/>
    <n v="4447.3"/>
    <n v="0.38100000000000001"/>
    <n v="6.7"/>
  </r>
  <r>
    <x v="90"/>
    <x v="12"/>
    <x v="6"/>
    <n v="29457"/>
    <n v="64689.48"/>
    <n v="6.51"/>
    <n v="4500.8999999999996"/>
    <n v="0.57099999999999995"/>
    <n v="5.7"/>
  </r>
  <r>
    <x v="90"/>
    <x v="13"/>
    <x v="19"/>
    <n v="14246"/>
    <n v="32805.31"/>
    <n v="6.51"/>
    <n v="2209.6"/>
    <n v="0.4"/>
    <n v="7.5"/>
  </r>
  <r>
    <x v="90"/>
    <x v="14"/>
    <x v="12"/>
    <n v="28804"/>
    <n v="59147.59"/>
    <n v="6.37"/>
    <n v="4636.1000000000004"/>
    <n v="0.44400000000000001"/>
    <n v="6.3"/>
  </r>
  <r>
    <x v="90"/>
    <x v="15"/>
    <x v="4"/>
    <n v="19659"/>
    <n v="37156.82"/>
    <n v="6.3"/>
    <n v="3086.3"/>
    <n v="0.71399999999999997"/>
    <n v="6.6"/>
  </r>
  <r>
    <x v="90"/>
    <x v="16"/>
    <x v="13"/>
    <n v="34883"/>
    <n v="76265.95"/>
    <n v="6.38"/>
    <n v="5450.8"/>
    <n v="0.5"/>
    <n v="7.5"/>
  </r>
  <r>
    <x v="90"/>
    <x v="17"/>
    <x v="4"/>
    <n v="13942"/>
    <n v="27210.3"/>
    <n v="6.26"/>
    <n v="2205.6999999999998"/>
    <n v="0.35699999999999998"/>
    <n v="6.4"/>
  </r>
  <r>
    <x v="90"/>
    <x v="18"/>
    <x v="15"/>
    <n v="36365"/>
    <n v="74662.27"/>
    <n v="6.49"/>
    <n v="5618.5"/>
    <n v="0.52200000000000002"/>
    <n v="6.5"/>
  </r>
  <r>
    <x v="90"/>
    <x v="19"/>
    <x v="12"/>
    <n v="21171"/>
    <n v="45591.72"/>
    <n v="6.55"/>
    <n v="3196.8"/>
    <n v="0.222"/>
    <n v="6.9"/>
  </r>
  <r>
    <x v="90"/>
    <x v="20"/>
    <x v="9"/>
    <n v="20877"/>
    <n v="41867.21"/>
    <n v="6.6"/>
    <n v="3170"/>
    <n v="0.52900000000000003"/>
    <n v="7.7"/>
  </r>
  <r>
    <x v="90"/>
    <x v="21"/>
    <x v="2"/>
    <n v="34676"/>
    <n v="75881.070000000007"/>
    <n v="6.4"/>
    <n v="5490.3"/>
    <n v="0.5"/>
    <n v="6.9"/>
  </r>
  <r>
    <x v="90"/>
    <x v="22"/>
    <x v="15"/>
    <n v="33163"/>
    <n v="69891.070000000007"/>
    <n v="6.63"/>
    <n v="5076.8"/>
    <n v="0.47799999999999998"/>
    <n v="6.2"/>
  </r>
  <r>
    <x v="90"/>
    <x v="23"/>
    <x v="11"/>
    <n v="39793"/>
    <n v="85679.76"/>
    <n v="6.47"/>
    <n v="6142.2"/>
    <n v="0.625"/>
    <n v="7"/>
  </r>
  <r>
    <x v="90"/>
    <x v="24"/>
    <x v="5"/>
    <n v="18073"/>
    <n v="43741.04"/>
    <n v="6.65"/>
    <n v="2676.5"/>
    <n v="0.53800000000000003"/>
    <n v="5.9"/>
  </r>
  <r>
    <x v="90"/>
    <x v="25"/>
    <x v="7"/>
    <n v="21167"/>
    <n v="46062.06"/>
    <n v="6.6"/>
    <n v="3213.7"/>
    <n v="0.41699999999999998"/>
    <n v="5.3"/>
  </r>
  <r>
    <x v="90"/>
    <x v="26"/>
    <x v="13"/>
    <n v="29558"/>
    <n v="61588.44"/>
    <n v="6.66"/>
    <n v="4570.5"/>
    <n v="0.318"/>
    <n v="7"/>
  </r>
  <r>
    <x v="90"/>
    <x v="27"/>
    <x v="1"/>
    <n v="7776"/>
    <n v="15099.39"/>
    <n v="6.36"/>
    <n v="1261.9000000000001"/>
    <n v="0.33300000000000002"/>
    <n v="6.4"/>
  </r>
  <r>
    <x v="90"/>
    <x v="28"/>
    <x v="3"/>
    <n v="28880"/>
    <n v="63421.36"/>
    <n v="6.4"/>
    <n v="4531.2"/>
    <n v="0.52600000000000002"/>
    <n v="8.3000000000000007"/>
  </r>
  <r>
    <x v="90"/>
    <x v="29"/>
    <x v="5"/>
    <n v="16204"/>
    <n v="28213.88"/>
    <n v="6.46"/>
    <n v="2549.3000000000002"/>
    <n v="0.53800000000000003"/>
    <n v="8.1999999999999993"/>
  </r>
  <r>
    <x v="90"/>
    <x v="30"/>
    <x v="4"/>
    <n v="23769"/>
    <n v="54210.34"/>
    <n v="6.68"/>
    <n v="3557.3"/>
    <n v="7.0999999999999994E-2"/>
    <n v="6.7"/>
  </r>
  <r>
    <x v="90"/>
    <x v="31"/>
    <x v="12"/>
    <n v="22365"/>
    <n v="47044.04"/>
    <n v="6.89"/>
    <n v="3246.3"/>
    <n v="0.38900000000000001"/>
    <n v="8"/>
  </r>
  <r>
    <x v="90"/>
    <x v="32"/>
    <x v="3"/>
    <n v="22727"/>
    <n v="44481.85"/>
    <n v="6.47"/>
    <n v="3535.7"/>
    <n v="0.36799999999999999"/>
    <n v="7.4"/>
  </r>
  <r>
    <x v="90"/>
    <x v="33"/>
    <x v="6"/>
    <n v="23676"/>
    <n v="48714.47"/>
    <n v="6.36"/>
    <n v="3844"/>
    <n v="0.52400000000000002"/>
    <n v="6.3"/>
  </r>
  <r>
    <x v="90"/>
    <x v="34"/>
    <x v="19"/>
    <n v="12919"/>
    <n v="26198.54"/>
    <n v="6.32"/>
    <n v="2106.5"/>
    <n v="0.6"/>
    <n v="5.8"/>
  </r>
  <r>
    <x v="90"/>
    <x v="35"/>
    <x v="4"/>
    <n v="19008"/>
    <n v="42030.29"/>
    <n v="6.43"/>
    <n v="3007.6"/>
    <n v="0.57099999999999995"/>
    <n v="8.1999999999999993"/>
  </r>
  <r>
    <x v="91"/>
    <x v="0"/>
    <x v="2"/>
    <n v="28248"/>
    <n v="63357.120000000003"/>
    <n v="6.51"/>
    <n v="4442.2"/>
    <n v="0.5"/>
    <n v="6.4"/>
  </r>
  <r>
    <x v="91"/>
    <x v="1"/>
    <x v="2"/>
    <n v="34654"/>
    <n v="78509.240000000005"/>
    <n v="6.4"/>
    <n v="5433.8"/>
    <n v="0.45"/>
    <n v="6.8"/>
  </r>
  <r>
    <x v="91"/>
    <x v="2"/>
    <x v="4"/>
    <n v="15276"/>
    <n v="35155.019999999997"/>
    <n v="6.37"/>
    <n v="2415.6"/>
    <n v="0.42899999999999999"/>
    <n v="6.7"/>
  </r>
  <r>
    <x v="91"/>
    <x v="3"/>
    <x v="6"/>
    <n v="27945"/>
    <n v="59509.47"/>
    <n v="6.47"/>
    <n v="4322.8999999999996"/>
    <n v="0.42899999999999999"/>
    <n v="6.9"/>
  </r>
  <r>
    <x v="91"/>
    <x v="4"/>
    <x v="9"/>
    <n v="20743"/>
    <n v="43829.71"/>
    <n v="6.23"/>
    <n v="3411.5"/>
    <n v="0.64700000000000002"/>
    <n v="7.3"/>
  </r>
  <r>
    <x v="91"/>
    <x v="5"/>
    <x v="4"/>
    <n v="21673"/>
    <n v="47479.59"/>
    <n v="6.76"/>
    <n v="3185.8"/>
    <n v="0.35699999999999998"/>
    <n v="7.5"/>
  </r>
  <r>
    <x v="91"/>
    <x v="6"/>
    <x v="6"/>
    <n v="28981"/>
    <n v="62082.83"/>
    <n v="6.46"/>
    <n v="4592.5"/>
    <n v="0.47599999999999998"/>
    <n v="6.5"/>
  </r>
  <r>
    <x v="91"/>
    <x v="7"/>
    <x v="22"/>
    <n v="37893"/>
    <n v="88125.87"/>
    <n v="6.33"/>
    <n v="6072.7"/>
    <n v="0.42899999999999999"/>
    <n v="7.4"/>
  </r>
  <r>
    <x v="91"/>
    <x v="8"/>
    <x v="11"/>
    <n v="30023"/>
    <n v="64655.040000000001"/>
    <n v="6.59"/>
    <n v="4618.1000000000004"/>
    <n v="0.375"/>
    <n v="6.5"/>
  </r>
  <r>
    <x v="91"/>
    <x v="9"/>
    <x v="2"/>
    <n v="28457"/>
    <n v="60192.14"/>
    <n v="6.55"/>
    <n v="4416.2"/>
    <n v="0.45"/>
    <n v="7.5"/>
  </r>
  <r>
    <x v="91"/>
    <x v="10"/>
    <x v="7"/>
    <n v="17530"/>
    <n v="37126.93"/>
    <n v="6.43"/>
    <n v="2723.7"/>
    <n v="0.41699999999999998"/>
    <n v="8.1"/>
  </r>
  <r>
    <x v="91"/>
    <x v="11"/>
    <x v="14"/>
    <n v="18180"/>
    <n v="39458.54"/>
    <n v="6.65"/>
    <n v="2718.9"/>
    <n v="0.2"/>
    <n v="6.7"/>
  </r>
  <r>
    <x v="91"/>
    <x v="12"/>
    <x v="12"/>
    <n v="25611"/>
    <n v="50835.65"/>
    <n v="6.44"/>
    <n v="4153.7"/>
    <n v="0.5"/>
    <n v="8.1999999999999993"/>
  </r>
  <r>
    <x v="91"/>
    <x v="13"/>
    <x v="7"/>
    <n v="21883"/>
    <n v="51167.39"/>
    <n v="6.39"/>
    <n v="3431.5"/>
    <n v="0.41699999999999998"/>
    <n v="7.1"/>
  </r>
  <r>
    <x v="91"/>
    <x v="14"/>
    <x v="12"/>
    <n v="25245"/>
    <n v="50899.66"/>
    <n v="6.53"/>
    <n v="3944.9"/>
    <n v="0.38900000000000001"/>
    <n v="7.3"/>
  </r>
  <r>
    <x v="91"/>
    <x v="15"/>
    <x v="13"/>
    <n v="33731"/>
    <n v="68032.34"/>
    <n v="6.36"/>
    <n v="5335.1"/>
    <n v="0.63600000000000001"/>
    <n v="6.5"/>
  </r>
  <r>
    <x v="91"/>
    <x v="16"/>
    <x v="6"/>
    <n v="25643"/>
    <n v="53266.11"/>
    <n v="6.44"/>
    <n v="4035.5"/>
    <n v="0.47599999999999998"/>
    <n v="6.9"/>
  </r>
  <r>
    <x v="91"/>
    <x v="17"/>
    <x v="3"/>
    <n v="26552"/>
    <n v="54221.75"/>
    <n v="6.6"/>
    <n v="4083.4"/>
    <n v="0.42099999999999999"/>
    <n v="6.2"/>
  </r>
  <r>
    <x v="91"/>
    <x v="18"/>
    <x v="21"/>
    <n v="19743"/>
    <n v="39558.58"/>
    <n v="6.38"/>
    <n v="3114.8"/>
    <n v="0.36399999999999999"/>
    <n v="7"/>
  </r>
  <r>
    <x v="91"/>
    <x v="19"/>
    <x v="28"/>
    <n v="40237"/>
    <n v="93313.25"/>
    <n v="6.64"/>
    <n v="6185.8"/>
    <n v="0.48299999999999998"/>
    <n v="7.2"/>
  </r>
  <r>
    <x v="91"/>
    <x v="20"/>
    <x v="12"/>
    <n v="27072"/>
    <n v="57991.77"/>
    <n v="6.64"/>
    <n v="4052.9"/>
    <n v="0.5"/>
    <n v="7.5"/>
  </r>
  <r>
    <x v="91"/>
    <x v="21"/>
    <x v="9"/>
    <n v="24418"/>
    <n v="43575.97"/>
    <n v="6.54"/>
    <n v="3777.4"/>
    <n v="0.52900000000000003"/>
    <n v="7.3"/>
  </r>
  <r>
    <x v="91"/>
    <x v="22"/>
    <x v="8"/>
    <n v="18648"/>
    <n v="43077.43"/>
    <n v="6.65"/>
    <n v="2839.2"/>
    <n v="0.5"/>
    <n v="7.4"/>
  </r>
  <r>
    <x v="91"/>
    <x v="23"/>
    <x v="12"/>
    <n v="21918"/>
    <n v="47081.99"/>
    <n v="6.64"/>
    <n v="3362.6"/>
    <n v="0.5"/>
    <n v="7.6"/>
  </r>
  <r>
    <x v="91"/>
    <x v="24"/>
    <x v="3"/>
    <n v="26612"/>
    <n v="56151.77"/>
    <n v="6.5"/>
    <n v="4136.6000000000004"/>
    <n v="0.42099999999999999"/>
    <n v="7.7"/>
  </r>
  <r>
    <x v="91"/>
    <x v="25"/>
    <x v="14"/>
    <n v="14489"/>
    <n v="28807.07"/>
    <n v="6.34"/>
    <n v="2307.5"/>
    <n v="0.33300000000000002"/>
    <n v="8.4"/>
  </r>
  <r>
    <x v="91"/>
    <x v="26"/>
    <x v="8"/>
    <n v="18596"/>
    <n v="38715.43"/>
    <n v="6.4"/>
    <n v="2910.2"/>
    <n v="0.375"/>
    <n v="6.8"/>
  </r>
  <r>
    <x v="91"/>
    <x v="27"/>
    <x v="9"/>
    <n v="25482"/>
    <n v="57965.55"/>
    <n v="6.46"/>
    <n v="3960.3"/>
    <n v="0.35299999999999998"/>
    <n v="6.8"/>
  </r>
  <r>
    <x v="91"/>
    <x v="28"/>
    <x v="13"/>
    <n v="31014"/>
    <n v="68239.740000000005"/>
    <n v="6.53"/>
    <n v="4786.6000000000004"/>
    <n v="0.54500000000000004"/>
    <n v="7"/>
  </r>
  <r>
    <x v="91"/>
    <x v="29"/>
    <x v="8"/>
    <n v="25784"/>
    <n v="56229.41"/>
    <n v="6.41"/>
    <n v="4027.8"/>
    <n v="0.375"/>
    <n v="5.8"/>
  </r>
  <r>
    <x v="91"/>
    <x v="30"/>
    <x v="13"/>
    <n v="33607"/>
    <n v="70469.990000000005"/>
    <n v="6.59"/>
    <n v="5170.6000000000004"/>
    <n v="0.59099999999999997"/>
    <n v="7.6"/>
  </r>
  <r>
    <x v="91"/>
    <x v="31"/>
    <x v="9"/>
    <n v="19309"/>
    <n v="43352.56"/>
    <n v="6.54"/>
    <n v="2934.4"/>
    <n v="0.41199999999999998"/>
    <n v="6.9"/>
  </r>
  <r>
    <x v="91"/>
    <x v="32"/>
    <x v="2"/>
    <n v="31938"/>
    <n v="70069.02"/>
    <n v="6.34"/>
    <n v="5083.3"/>
    <n v="0.55000000000000004"/>
    <n v="6.4"/>
  </r>
  <r>
    <x v="91"/>
    <x v="33"/>
    <x v="3"/>
    <n v="24243"/>
    <n v="48795.29"/>
    <n v="6.69"/>
    <n v="3628.3"/>
    <n v="0.316"/>
    <n v="6.1"/>
  </r>
  <r>
    <x v="91"/>
    <x v="34"/>
    <x v="2"/>
    <n v="33989"/>
    <n v="73420.08"/>
    <n v="6.54"/>
    <n v="5239.8"/>
    <n v="0.45"/>
    <n v="7.7"/>
  </r>
  <r>
    <x v="91"/>
    <x v="35"/>
    <x v="7"/>
    <n v="12812"/>
    <n v="26012.58"/>
    <n v="6.64"/>
    <n v="1927.7"/>
    <n v="0.66700000000000004"/>
    <n v="5.9"/>
  </r>
  <r>
    <x v="92"/>
    <x v="0"/>
    <x v="7"/>
    <n v="15916"/>
    <n v="33595.660000000003"/>
    <n v="6.53"/>
    <n v="2523.6999999999998"/>
    <n v="0.5"/>
    <n v="6.4"/>
  </r>
  <r>
    <x v="92"/>
    <x v="1"/>
    <x v="14"/>
    <n v="24648"/>
    <n v="60089.78"/>
    <n v="6.21"/>
    <n v="3943.5"/>
    <n v="0.33300000000000002"/>
    <n v="7.5"/>
  </r>
  <r>
    <x v="92"/>
    <x v="2"/>
    <x v="12"/>
    <n v="24183"/>
    <n v="54957.95"/>
    <n v="6.7"/>
    <n v="3597.8"/>
    <n v="0.38900000000000001"/>
    <n v="7.7"/>
  </r>
  <r>
    <x v="92"/>
    <x v="3"/>
    <x v="8"/>
    <n v="23527"/>
    <n v="49745.66"/>
    <n v="6.54"/>
    <n v="3552.4"/>
    <n v="0.5"/>
    <n v="6.4"/>
  </r>
  <r>
    <x v="92"/>
    <x v="4"/>
    <x v="5"/>
    <n v="21865"/>
    <n v="48112.73"/>
    <n v="6.56"/>
    <n v="3353.5"/>
    <n v="0.61499999999999999"/>
    <n v="7.2"/>
  </r>
  <r>
    <x v="92"/>
    <x v="5"/>
    <x v="11"/>
    <n v="38256"/>
    <n v="87415.7"/>
    <n v="6.58"/>
    <n v="5800.4"/>
    <n v="0.41699999999999998"/>
    <n v="6.9"/>
  </r>
  <r>
    <x v="92"/>
    <x v="6"/>
    <x v="13"/>
    <n v="33874"/>
    <n v="71322.240000000005"/>
    <n v="6.49"/>
    <n v="5181.1000000000004"/>
    <n v="0.45500000000000002"/>
    <n v="6.1"/>
  </r>
  <r>
    <x v="92"/>
    <x v="7"/>
    <x v="2"/>
    <n v="33800"/>
    <n v="72311.41"/>
    <n v="6.58"/>
    <n v="5194"/>
    <n v="0.55000000000000004"/>
    <n v="8.5"/>
  </r>
  <r>
    <x v="92"/>
    <x v="8"/>
    <x v="8"/>
    <n v="22334"/>
    <n v="45455.06"/>
    <n v="6.67"/>
    <n v="3346.2"/>
    <n v="0.375"/>
    <n v="7.1"/>
  </r>
  <r>
    <x v="92"/>
    <x v="9"/>
    <x v="12"/>
    <n v="21394"/>
    <n v="50738.93"/>
    <n v="6.51"/>
    <n v="3324"/>
    <n v="0.5"/>
    <n v="6.9"/>
  </r>
  <r>
    <x v="92"/>
    <x v="10"/>
    <x v="14"/>
    <n v="25767"/>
    <n v="55863.11"/>
    <n v="6.72"/>
    <n v="3809.8"/>
    <n v="0.53300000000000003"/>
    <n v="7.8"/>
  </r>
  <r>
    <x v="92"/>
    <x v="11"/>
    <x v="5"/>
    <n v="19458"/>
    <n v="36370.699999999997"/>
    <n v="6.5"/>
    <n v="2947.8"/>
    <n v="0.308"/>
    <n v="7.7"/>
  </r>
  <r>
    <x v="92"/>
    <x v="12"/>
    <x v="6"/>
    <n v="26844"/>
    <n v="59243.09"/>
    <n v="6.48"/>
    <n v="4087.9"/>
    <n v="0.52400000000000002"/>
    <n v="6.7"/>
  </r>
  <r>
    <x v="92"/>
    <x v="13"/>
    <x v="12"/>
    <n v="20501"/>
    <n v="45296.04"/>
    <n v="6.45"/>
    <n v="3291.9"/>
    <n v="0.38900000000000001"/>
    <n v="7"/>
  </r>
  <r>
    <x v="92"/>
    <x v="14"/>
    <x v="21"/>
    <n v="16551"/>
    <n v="38659.81"/>
    <n v="6.2"/>
    <n v="2692.5"/>
    <n v="0.36399999999999999"/>
    <n v="7.8"/>
  </r>
  <r>
    <x v="92"/>
    <x v="15"/>
    <x v="6"/>
    <n v="31175"/>
    <n v="64311.040000000001"/>
    <n v="6.55"/>
    <n v="4785.3"/>
    <n v="0.57099999999999995"/>
    <n v="7.1"/>
  </r>
  <r>
    <x v="92"/>
    <x v="16"/>
    <x v="14"/>
    <n v="17081"/>
    <n v="33530.959999999999"/>
    <n v="6.47"/>
    <n v="2684.7"/>
    <n v="0.66700000000000004"/>
    <n v="6.8"/>
  </r>
  <r>
    <x v="92"/>
    <x v="17"/>
    <x v="7"/>
    <n v="16494"/>
    <n v="38453.279999999999"/>
    <n v="6.54"/>
    <n v="2502.1"/>
    <n v="0.66700000000000004"/>
    <n v="8"/>
  </r>
  <r>
    <x v="92"/>
    <x v="18"/>
    <x v="8"/>
    <n v="21412"/>
    <n v="45138.62"/>
    <n v="6.59"/>
    <n v="3311.4"/>
    <n v="0.5"/>
    <n v="6.3"/>
  </r>
  <r>
    <x v="92"/>
    <x v="19"/>
    <x v="7"/>
    <n v="12712"/>
    <n v="25715.52"/>
    <n v="6.35"/>
    <n v="2003.3"/>
    <n v="0.5"/>
    <n v="7"/>
  </r>
  <r>
    <x v="92"/>
    <x v="20"/>
    <x v="8"/>
    <n v="21721"/>
    <n v="46938.6"/>
    <n v="6.44"/>
    <n v="3424.5"/>
    <n v="0.5"/>
    <n v="5.6"/>
  </r>
  <r>
    <x v="92"/>
    <x v="21"/>
    <x v="9"/>
    <n v="25444"/>
    <n v="51264.88"/>
    <n v="6.43"/>
    <n v="3936.4"/>
    <n v="0.29399999999999998"/>
    <n v="6.9"/>
  </r>
  <r>
    <x v="92"/>
    <x v="22"/>
    <x v="12"/>
    <n v="27718"/>
    <n v="60343.14"/>
    <n v="6.54"/>
    <n v="4308.8999999999996"/>
    <n v="0.5"/>
    <n v="8.1999999999999993"/>
  </r>
  <r>
    <x v="92"/>
    <x v="23"/>
    <x v="4"/>
    <n v="17067"/>
    <n v="39247.760000000002"/>
    <n v="6.95"/>
    <n v="2409"/>
    <n v="0.42899999999999999"/>
    <n v="6.1"/>
  </r>
  <r>
    <x v="92"/>
    <x v="24"/>
    <x v="7"/>
    <n v="17514"/>
    <n v="37711.86"/>
    <n v="6.53"/>
    <n v="2724.5"/>
    <n v="0.41699999999999998"/>
    <n v="7.1"/>
  </r>
  <r>
    <x v="92"/>
    <x v="25"/>
    <x v="10"/>
    <n v="31961"/>
    <n v="68526.179999999993"/>
    <n v="6.29"/>
    <n v="5114.1000000000004"/>
    <n v="0.37"/>
    <n v="6.6"/>
  </r>
  <r>
    <x v="92"/>
    <x v="26"/>
    <x v="4"/>
    <n v="20029"/>
    <n v="44947.64"/>
    <n v="6.68"/>
    <n v="3017.3"/>
    <n v="0.5"/>
    <n v="7.7"/>
  </r>
  <r>
    <x v="92"/>
    <x v="27"/>
    <x v="3"/>
    <n v="29781"/>
    <n v="67963.11"/>
    <n v="6.46"/>
    <n v="4649.3999999999996"/>
    <n v="0.57899999999999996"/>
    <n v="6.5"/>
  </r>
  <r>
    <x v="92"/>
    <x v="28"/>
    <x v="14"/>
    <n v="23706"/>
    <n v="47801.79"/>
    <n v="6.49"/>
    <n v="3710.4"/>
    <n v="0.46700000000000003"/>
    <n v="7.2"/>
  </r>
  <r>
    <x v="92"/>
    <x v="29"/>
    <x v="25"/>
    <n v="34899"/>
    <n v="75814.42"/>
    <n v="6.37"/>
    <n v="5527.8"/>
    <n v="0.51600000000000001"/>
    <n v="7.5"/>
  </r>
  <r>
    <x v="92"/>
    <x v="30"/>
    <x v="12"/>
    <n v="26148"/>
    <n v="54505.34"/>
    <n v="6.51"/>
    <n v="4009.2"/>
    <n v="0.55600000000000005"/>
    <n v="6.9"/>
  </r>
  <r>
    <x v="92"/>
    <x v="31"/>
    <x v="10"/>
    <n v="35007"/>
    <n v="73199.58"/>
    <n v="6.45"/>
    <n v="5504.6"/>
    <n v="0.40699999999999997"/>
    <n v="7.3"/>
  </r>
  <r>
    <x v="92"/>
    <x v="32"/>
    <x v="21"/>
    <n v="14319"/>
    <n v="30186.080000000002"/>
    <n v="6.8"/>
    <n v="2123.8000000000002"/>
    <n v="0.54500000000000004"/>
    <n v="7.6"/>
  </r>
  <r>
    <x v="92"/>
    <x v="33"/>
    <x v="6"/>
    <n v="30148"/>
    <n v="61886.8"/>
    <n v="6.47"/>
    <n v="4622.1000000000004"/>
    <n v="0.57099999999999995"/>
    <n v="6.8"/>
  </r>
  <r>
    <x v="92"/>
    <x v="34"/>
    <x v="17"/>
    <n v="39370"/>
    <n v="79036.08"/>
    <n v="6.71"/>
    <n v="5939.6"/>
    <n v="0.6"/>
    <n v="7.6"/>
  </r>
  <r>
    <x v="92"/>
    <x v="35"/>
    <x v="12"/>
    <n v="32201"/>
    <n v="73679.429999999993"/>
    <n v="6.32"/>
    <n v="5114.8"/>
    <n v="0.33300000000000002"/>
    <n v="6"/>
  </r>
  <r>
    <x v="93"/>
    <x v="0"/>
    <x v="17"/>
    <n v="28636"/>
    <n v="55893.24"/>
    <n v="6.64"/>
    <n v="4366.7"/>
    <n v="0.24"/>
    <n v="7.3"/>
  </r>
  <r>
    <x v="93"/>
    <x v="1"/>
    <x v="15"/>
    <n v="38176"/>
    <n v="80185.31"/>
    <n v="6.63"/>
    <n v="5678.1"/>
    <n v="0.435"/>
    <n v="6.8"/>
  </r>
  <r>
    <x v="93"/>
    <x v="2"/>
    <x v="12"/>
    <n v="22198"/>
    <n v="48313.24"/>
    <n v="6.51"/>
    <n v="3423.2"/>
    <n v="0.5"/>
    <n v="6.4"/>
  </r>
  <r>
    <x v="93"/>
    <x v="3"/>
    <x v="9"/>
    <n v="24548"/>
    <n v="56692.75"/>
    <n v="6.57"/>
    <n v="3769.1"/>
    <n v="0.47099999999999997"/>
    <n v="7.6"/>
  </r>
  <r>
    <x v="93"/>
    <x v="4"/>
    <x v="17"/>
    <n v="38573"/>
    <n v="82361.19"/>
    <n v="6.37"/>
    <n v="6051.2"/>
    <n v="0.48"/>
    <n v="7.4"/>
  </r>
  <r>
    <x v="93"/>
    <x v="5"/>
    <x v="13"/>
    <n v="32251"/>
    <n v="71214.960000000006"/>
    <n v="6.35"/>
    <n v="5125"/>
    <n v="0.27300000000000002"/>
    <n v="6.7"/>
  </r>
  <r>
    <x v="93"/>
    <x v="6"/>
    <x v="9"/>
    <n v="21515"/>
    <n v="46642.91"/>
    <n v="6.38"/>
    <n v="3438.2"/>
    <n v="0.41199999999999998"/>
    <n v="6.6"/>
  </r>
  <r>
    <x v="93"/>
    <x v="7"/>
    <x v="2"/>
    <n v="27942"/>
    <n v="57577.52"/>
    <n v="6.36"/>
    <n v="4451.7"/>
    <n v="0.5"/>
    <n v="8.1"/>
  </r>
  <r>
    <x v="93"/>
    <x v="8"/>
    <x v="6"/>
    <n v="32927"/>
    <n v="69950.39"/>
    <n v="6.32"/>
    <n v="5279"/>
    <n v="0.38100000000000001"/>
    <n v="6.4"/>
  </r>
  <r>
    <x v="93"/>
    <x v="9"/>
    <x v="12"/>
    <n v="22705"/>
    <n v="53011.94"/>
    <n v="6.43"/>
    <n v="3589.4"/>
    <n v="0.33300000000000002"/>
    <n v="6.4"/>
  </r>
  <r>
    <x v="93"/>
    <x v="10"/>
    <x v="9"/>
    <n v="17917"/>
    <n v="36378.83"/>
    <n v="6.33"/>
    <n v="2866.6"/>
    <n v="0.47099999999999997"/>
    <n v="5.9"/>
  </r>
  <r>
    <x v="93"/>
    <x v="11"/>
    <x v="4"/>
    <n v="24014"/>
    <n v="48442.65"/>
    <n v="6.54"/>
    <n v="3663.9"/>
    <n v="0.64300000000000002"/>
    <n v="6.5"/>
  </r>
  <r>
    <x v="93"/>
    <x v="12"/>
    <x v="15"/>
    <n v="20916"/>
    <n v="43586.47"/>
    <n v="6.45"/>
    <n v="3243.3"/>
    <n v="0.435"/>
    <n v="5.8"/>
  </r>
  <r>
    <x v="93"/>
    <x v="13"/>
    <x v="4"/>
    <n v="24641"/>
    <n v="51744.41"/>
    <n v="6.26"/>
    <n v="4008.2"/>
    <n v="0.42899999999999999"/>
    <n v="7.8"/>
  </r>
  <r>
    <x v="93"/>
    <x v="14"/>
    <x v="6"/>
    <n v="32662"/>
    <n v="70904.350000000006"/>
    <n v="6.5"/>
    <n v="5091.5"/>
    <n v="0.42899999999999999"/>
    <n v="7.8"/>
  </r>
  <r>
    <x v="93"/>
    <x v="15"/>
    <x v="2"/>
    <n v="30022"/>
    <n v="59679.75"/>
    <n v="6.44"/>
    <n v="4736.8"/>
    <n v="0.65"/>
    <n v="5.7"/>
  </r>
  <r>
    <x v="93"/>
    <x v="16"/>
    <x v="12"/>
    <n v="29695"/>
    <n v="59663.29"/>
    <n v="6.39"/>
    <n v="4726.8"/>
    <n v="0.66700000000000004"/>
    <n v="8.1"/>
  </r>
  <r>
    <x v="93"/>
    <x v="17"/>
    <x v="9"/>
    <n v="30384"/>
    <n v="59372.75"/>
    <n v="6.49"/>
    <n v="4761.5"/>
    <n v="0.52900000000000003"/>
    <n v="6.4"/>
  </r>
  <r>
    <x v="93"/>
    <x v="18"/>
    <x v="17"/>
    <n v="31342"/>
    <n v="61136.63"/>
    <n v="6.55"/>
    <n v="4893.8999999999996"/>
    <n v="0.52"/>
    <n v="7.4"/>
  </r>
  <r>
    <x v="93"/>
    <x v="19"/>
    <x v="5"/>
    <n v="23492"/>
    <n v="45893.74"/>
    <n v="6.44"/>
    <n v="3736"/>
    <n v="0.61499999999999999"/>
    <n v="7.5"/>
  </r>
  <r>
    <x v="93"/>
    <x v="20"/>
    <x v="17"/>
    <n v="35587"/>
    <n v="76465.289999999994"/>
    <n v="6.24"/>
    <n v="5781.1"/>
    <n v="0.44"/>
    <n v="5.4"/>
  </r>
  <r>
    <x v="93"/>
    <x v="21"/>
    <x v="9"/>
    <n v="25777"/>
    <n v="49419.58"/>
    <n v="6.33"/>
    <n v="4125.7"/>
    <n v="0.35299999999999998"/>
    <n v="7"/>
  </r>
  <r>
    <x v="93"/>
    <x v="22"/>
    <x v="9"/>
    <n v="23191"/>
    <n v="54765.95"/>
    <n v="6.68"/>
    <n v="3515.3"/>
    <n v="0.64700000000000002"/>
    <n v="7.9"/>
  </r>
  <r>
    <x v="93"/>
    <x v="23"/>
    <x v="5"/>
    <n v="22447"/>
    <n v="46608.51"/>
    <n v="6.47"/>
    <n v="3464"/>
    <n v="0.76900000000000002"/>
    <n v="7"/>
  </r>
  <r>
    <x v="93"/>
    <x v="24"/>
    <x v="2"/>
    <n v="25942"/>
    <n v="55438.22"/>
    <n v="6.58"/>
    <n v="3984.2"/>
    <n v="0.55000000000000004"/>
    <n v="7.2"/>
  </r>
  <r>
    <x v="93"/>
    <x v="25"/>
    <x v="8"/>
    <n v="24296"/>
    <n v="52813.7"/>
    <n v="6.19"/>
    <n v="3974.3"/>
    <n v="0.5"/>
    <n v="7.3"/>
  </r>
  <r>
    <x v="93"/>
    <x v="26"/>
    <x v="12"/>
    <n v="27945"/>
    <n v="58064.02"/>
    <n v="6.57"/>
    <n v="4223"/>
    <n v="0.27800000000000002"/>
    <n v="8"/>
  </r>
  <r>
    <x v="93"/>
    <x v="27"/>
    <x v="8"/>
    <n v="24694"/>
    <n v="53331.8"/>
    <n v="6.32"/>
    <n v="4008.8"/>
    <n v="0.438"/>
    <n v="7.7"/>
  </r>
  <r>
    <x v="93"/>
    <x v="28"/>
    <x v="4"/>
    <n v="15501"/>
    <n v="36438.120000000003"/>
    <n v="6.4"/>
    <n v="2418"/>
    <n v="0.214"/>
    <n v="7.6"/>
  </r>
  <r>
    <x v="93"/>
    <x v="29"/>
    <x v="4"/>
    <n v="16523"/>
    <n v="35141.26"/>
    <n v="6.33"/>
    <n v="2561.6"/>
    <n v="0.5"/>
    <n v="6.6"/>
  </r>
  <r>
    <x v="93"/>
    <x v="30"/>
    <x v="6"/>
    <n v="30610"/>
    <n v="63944.43"/>
    <n v="6.33"/>
    <n v="4901"/>
    <n v="0.47599999999999998"/>
    <n v="6.4"/>
  </r>
  <r>
    <x v="93"/>
    <x v="31"/>
    <x v="3"/>
    <n v="30796"/>
    <n v="70786.44"/>
    <n v="6.8"/>
    <n v="4590.7"/>
    <n v="0.63200000000000001"/>
    <n v="7.2"/>
  </r>
  <r>
    <x v="93"/>
    <x v="32"/>
    <x v="13"/>
    <n v="34227"/>
    <n v="82662.740000000005"/>
    <n v="6.45"/>
    <n v="5352.4"/>
    <n v="0.54500000000000004"/>
    <n v="6.4"/>
  </r>
  <r>
    <x v="93"/>
    <x v="33"/>
    <x v="4"/>
    <n v="23710"/>
    <n v="50312.04"/>
    <n v="6.28"/>
    <n v="3859.4"/>
    <n v="0.78600000000000003"/>
    <n v="7.4"/>
  </r>
  <r>
    <x v="93"/>
    <x v="34"/>
    <x v="8"/>
    <n v="17565"/>
    <n v="35582.19"/>
    <n v="6.49"/>
    <n v="2756"/>
    <n v="0.56200000000000006"/>
    <n v="7.9"/>
  </r>
  <r>
    <x v="93"/>
    <x v="35"/>
    <x v="14"/>
    <n v="18615"/>
    <n v="39750.58"/>
    <n v="6.51"/>
    <n v="2846.7"/>
    <n v="0.46700000000000003"/>
    <n v="6.2"/>
  </r>
  <r>
    <x v="94"/>
    <x v="0"/>
    <x v="0"/>
    <n v="42855"/>
    <n v="96489.2"/>
    <n v="6.41"/>
    <n v="6705"/>
    <n v="0.46200000000000002"/>
    <n v="7.5"/>
  </r>
  <r>
    <x v="94"/>
    <x v="1"/>
    <x v="12"/>
    <n v="28546"/>
    <n v="65919.27"/>
    <n v="6.31"/>
    <n v="4553.5"/>
    <n v="0.5"/>
    <n v="7.1"/>
  </r>
  <r>
    <x v="94"/>
    <x v="2"/>
    <x v="5"/>
    <n v="25751"/>
    <n v="50085.85"/>
    <n v="6.45"/>
    <n v="3994"/>
    <n v="0.53800000000000003"/>
    <n v="6"/>
  </r>
  <r>
    <x v="94"/>
    <x v="3"/>
    <x v="14"/>
    <n v="21938"/>
    <n v="49934.47"/>
    <n v="6.53"/>
    <n v="3393"/>
    <n v="0.33300000000000002"/>
    <n v="6.8"/>
  </r>
  <r>
    <x v="94"/>
    <x v="4"/>
    <x v="14"/>
    <n v="20938"/>
    <n v="46343.82"/>
    <n v="6.3"/>
    <n v="3344.6"/>
    <n v="0.53300000000000003"/>
    <n v="7.2"/>
  </r>
  <r>
    <x v="94"/>
    <x v="5"/>
    <x v="7"/>
    <n v="21275"/>
    <n v="40447.620000000003"/>
    <n v="6.48"/>
    <n v="3343.8"/>
    <n v="0.41699999999999998"/>
    <n v="7.4"/>
  </r>
  <r>
    <x v="94"/>
    <x v="6"/>
    <x v="0"/>
    <n v="38691"/>
    <n v="81028.679999999993"/>
    <n v="6.36"/>
    <n v="6137.8"/>
    <n v="0.34599999999999997"/>
    <n v="7"/>
  </r>
  <r>
    <x v="94"/>
    <x v="7"/>
    <x v="4"/>
    <n v="17874"/>
    <n v="36326.6"/>
    <n v="6.58"/>
    <n v="2729.9"/>
    <n v="0.71399999999999997"/>
    <n v="7.9"/>
  </r>
  <r>
    <x v="94"/>
    <x v="8"/>
    <x v="9"/>
    <n v="24373"/>
    <n v="52076.54"/>
    <n v="6.57"/>
    <n v="3773.1"/>
    <n v="0.29399999999999998"/>
    <n v="6.7"/>
  </r>
  <r>
    <x v="94"/>
    <x v="9"/>
    <x v="15"/>
    <n v="27079"/>
    <n v="57369.48"/>
    <n v="6.28"/>
    <n v="4274.1000000000004"/>
    <n v="0.435"/>
    <n v="6.4"/>
  </r>
  <r>
    <x v="94"/>
    <x v="10"/>
    <x v="2"/>
    <n v="27159"/>
    <n v="67462.2"/>
    <n v="6.45"/>
    <n v="4235.8"/>
    <n v="0.4"/>
    <n v="8"/>
  </r>
  <r>
    <x v="94"/>
    <x v="11"/>
    <x v="0"/>
    <n v="33360"/>
    <n v="70420.58"/>
    <n v="6.36"/>
    <n v="5310.6"/>
    <n v="0.42299999999999999"/>
    <n v="6.6"/>
  </r>
  <r>
    <x v="94"/>
    <x v="12"/>
    <x v="17"/>
    <n v="38340"/>
    <n v="82150.83"/>
    <n v="6.36"/>
    <n v="5975"/>
    <n v="0.32"/>
    <n v="7.1"/>
  </r>
  <r>
    <x v="94"/>
    <x v="13"/>
    <x v="15"/>
    <n v="37237"/>
    <n v="85629.8"/>
    <n v="6.75"/>
    <n v="5607.8"/>
    <n v="0.39100000000000001"/>
    <n v="6.5"/>
  </r>
  <r>
    <x v="94"/>
    <x v="14"/>
    <x v="8"/>
    <n v="35205"/>
    <n v="72457.38"/>
    <n v="6.45"/>
    <n v="5504"/>
    <n v="0.56200000000000006"/>
    <n v="7"/>
  </r>
  <r>
    <x v="94"/>
    <x v="15"/>
    <x v="12"/>
    <n v="23488"/>
    <n v="47535.14"/>
    <n v="6.73"/>
    <n v="3583.7"/>
    <n v="0.38900000000000001"/>
    <n v="6.4"/>
  </r>
  <r>
    <x v="94"/>
    <x v="16"/>
    <x v="6"/>
    <n v="35473"/>
    <n v="79758.69"/>
    <n v="6.33"/>
    <n v="5644.2"/>
    <n v="0.47599999999999998"/>
    <n v="8.4"/>
  </r>
  <r>
    <x v="94"/>
    <x v="17"/>
    <x v="17"/>
    <n v="38266"/>
    <n v="88472.31"/>
    <n v="6.5"/>
    <n v="5908.6"/>
    <n v="0.6"/>
    <n v="6.7"/>
  </r>
  <r>
    <x v="94"/>
    <x v="18"/>
    <x v="14"/>
    <n v="18274"/>
    <n v="39558.79"/>
    <n v="6.51"/>
    <n v="2832.5"/>
    <n v="0.13300000000000001"/>
    <n v="6.7"/>
  </r>
  <r>
    <x v="94"/>
    <x v="19"/>
    <x v="2"/>
    <n v="27562"/>
    <n v="52105.13"/>
    <n v="6.66"/>
    <n v="4154.8"/>
    <n v="0.2"/>
    <n v="6.5"/>
  </r>
  <r>
    <x v="94"/>
    <x v="20"/>
    <x v="12"/>
    <n v="31280"/>
    <n v="65026.66"/>
    <n v="6.58"/>
    <n v="4735.8999999999996"/>
    <n v="0.44400000000000001"/>
    <n v="6"/>
  </r>
  <r>
    <x v="94"/>
    <x v="21"/>
    <x v="8"/>
    <n v="24822"/>
    <n v="51186.79"/>
    <n v="6.48"/>
    <n v="3793"/>
    <n v="0.438"/>
    <n v="7.2"/>
  </r>
  <r>
    <x v="94"/>
    <x v="22"/>
    <x v="10"/>
    <n v="42126"/>
    <n v="88278.36"/>
    <n v="6.51"/>
    <n v="6646.9"/>
    <n v="0.55600000000000005"/>
    <n v="7.1"/>
  </r>
  <r>
    <x v="94"/>
    <x v="23"/>
    <x v="4"/>
    <n v="19382"/>
    <n v="39399.15"/>
    <n v="6.57"/>
    <n v="3028.6"/>
    <n v="0.57099999999999995"/>
    <n v="7.6"/>
  </r>
  <r>
    <x v="94"/>
    <x v="24"/>
    <x v="6"/>
    <n v="37584"/>
    <n v="83590.44"/>
    <n v="6.35"/>
    <n v="5998.4"/>
    <n v="0.66700000000000004"/>
    <n v="6.5"/>
  </r>
  <r>
    <x v="94"/>
    <x v="25"/>
    <x v="15"/>
    <n v="33393"/>
    <n v="70986.48"/>
    <n v="6.43"/>
    <n v="5274.6"/>
    <n v="0.60899999999999999"/>
    <n v="7.8"/>
  </r>
  <r>
    <x v="94"/>
    <x v="26"/>
    <x v="12"/>
    <n v="25635"/>
    <n v="55838.86"/>
    <n v="6.44"/>
    <n v="4084.9"/>
    <n v="0.33300000000000002"/>
    <n v="8.1"/>
  </r>
  <r>
    <x v="94"/>
    <x v="27"/>
    <x v="11"/>
    <n v="40450"/>
    <n v="80187.83"/>
    <n v="6.62"/>
    <n v="6178.6"/>
    <n v="0.45800000000000002"/>
    <n v="7.2"/>
  </r>
  <r>
    <x v="94"/>
    <x v="28"/>
    <x v="0"/>
    <n v="30688"/>
    <n v="72660.740000000005"/>
    <n v="6.4"/>
    <n v="4813.8999999999996"/>
    <n v="0.5"/>
    <n v="7.6"/>
  </r>
  <r>
    <x v="94"/>
    <x v="29"/>
    <x v="5"/>
    <n v="12747"/>
    <n v="25168.240000000002"/>
    <n v="6.33"/>
    <n v="1991"/>
    <n v="0.69199999999999995"/>
    <n v="6.7"/>
  </r>
  <r>
    <x v="94"/>
    <x v="30"/>
    <x v="9"/>
    <n v="21168"/>
    <n v="43630.48"/>
    <n v="6.4"/>
    <n v="3326.7"/>
    <n v="0.52900000000000003"/>
    <n v="5.9"/>
  </r>
  <r>
    <x v="94"/>
    <x v="31"/>
    <x v="13"/>
    <n v="25295"/>
    <n v="51448.58"/>
    <n v="6.39"/>
    <n v="3924.4"/>
    <n v="0.40899999999999997"/>
    <n v="7.2"/>
  </r>
  <r>
    <x v="94"/>
    <x v="32"/>
    <x v="8"/>
    <n v="24037"/>
    <n v="54937.66"/>
    <n v="6.54"/>
    <n v="3791.2"/>
    <n v="0.56200000000000006"/>
    <n v="7.7"/>
  </r>
  <r>
    <x v="94"/>
    <x v="33"/>
    <x v="6"/>
    <n v="21954"/>
    <n v="45562.82"/>
    <n v="6.51"/>
    <n v="3440.8"/>
    <n v="0.14299999999999999"/>
    <n v="7.2"/>
  </r>
  <r>
    <x v="94"/>
    <x v="34"/>
    <x v="14"/>
    <n v="19690"/>
    <n v="37283.03"/>
    <n v="6.41"/>
    <n v="3099.8"/>
    <n v="0.66700000000000004"/>
    <n v="8.1"/>
  </r>
  <r>
    <x v="94"/>
    <x v="35"/>
    <x v="3"/>
    <n v="29343"/>
    <n v="64729.87"/>
    <n v="6.43"/>
    <n v="4684.5"/>
    <n v="0.63200000000000001"/>
    <n v="7.3"/>
  </r>
  <r>
    <x v="95"/>
    <x v="0"/>
    <x v="3"/>
    <n v="22427"/>
    <n v="47429.74"/>
    <n v="6.8"/>
    <n v="3333.8"/>
    <n v="0.42099999999999999"/>
    <n v="7.2"/>
  </r>
  <r>
    <x v="95"/>
    <x v="1"/>
    <x v="9"/>
    <n v="19452"/>
    <n v="38519.47"/>
    <n v="6.41"/>
    <n v="3026.4"/>
    <n v="0.52900000000000003"/>
    <n v="6.1"/>
  </r>
  <r>
    <x v="95"/>
    <x v="2"/>
    <x v="11"/>
    <n v="33477"/>
    <n v="72076.740000000005"/>
    <n v="6.48"/>
    <n v="5209.3"/>
    <n v="0.41699999999999998"/>
    <n v="7.8"/>
  </r>
  <r>
    <x v="95"/>
    <x v="3"/>
    <x v="3"/>
    <n v="26742"/>
    <n v="58252.76"/>
    <n v="6.52"/>
    <n v="4146.3"/>
    <n v="0.47399999999999998"/>
    <n v="7.2"/>
  </r>
  <r>
    <x v="95"/>
    <x v="4"/>
    <x v="12"/>
    <n v="30844"/>
    <n v="59356.97"/>
    <n v="6.63"/>
    <n v="4598.6000000000004"/>
    <n v="0.61099999999999999"/>
    <n v="8.4"/>
  </r>
  <r>
    <x v="95"/>
    <x v="5"/>
    <x v="6"/>
    <n v="24453"/>
    <n v="50991.22"/>
    <n v="6.45"/>
    <n v="3827.8"/>
    <n v="0.23799999999999999"/>
    <n v="7.7"/>
  </r>
  <r>
    <x v="95"/>
    <x v="6"/>
    <x v="2"/>
    <n v="28365"/>
    <n v="60445.06"/>
    <n v="6.59"/>
    <n v="4307.1000000000004"/>
    <n v="0.4"/>
    <n v="7.3"/>
  </r>
  <r>
    <x v="95"/>
    <x v="7"/>
    <x v="5"/>
    <n v="14624"/>
    <n v="30816.09"/>
    <n v="6.42"/>
    <n v="2319.1999999999998"/>
    <n v="0.308"/>
    <n v="6.2"/>
  </r>
  <r>
    <x v="95"/>
    <x v="8"/>
    <x v="14"/>
    <n v="18045"/>
    <n v="40394.370000000003"/>
    <n v="6.47"/>
    <n v="2849.2"/>
    <n v="0.46700000000000003"/>
    <n v="8"/>
  </r>
  <r>
    <x v="95"/>
    <x v="9"/>
    <x v="2"/>
    <n v="31212"/>
    <n v="69182.039999999994"/>
    <n v="6.57"/>
    <n v="4692"/>
    <n v="0.35"/>
    <n v="6.7"/>
  </r>
  <r>
    <x v="95"/>
    <x v="10"/>
    <x v="17"/>
    <n v="31994"/>
    <n v="69364.98"/>
    <n v="6.57"/>
    <n v="4876.2"/>
    <n v="0.44"/>
    <n v="7.3"/>
  </r>
  <r>
    <x v="95"/>
    <x v="11"/>
    <x v="6"/>
    <n v="33484"/>
    <n v="74809.77"/>
    <n v="6.58"/>
    <n v="5169"/>
    <n v="0.28599999999999998"/>
    <n v="6.8"/>
  </r>
  <r>
    <x v="95"/>
    <x v="12"/>
    <x v="2"/>
    <n v="26941"/>
    <n v="57679.41"/>
    <n v="6.56"/>
    <n v="4105.1000000000004"/>
    <n v="0.55000000000000004"/>
    <n v="6.8"/>
  </r>
  <r>
    <x v="95"/>
    <x v="13"/>
    <x v="14"/>
    <n v="16151"/>
    <n v="33866.82"/>
    <n v="6.86"/>
    <n v="2380.6"/>
    <n v="0.26700000000000002"/>
    <n v="7.1"/>
  </r>
  <r>
    <x v="95"/>
    <x v="14"/>
    <x v="13"/>
    <n v="28731"/>
    <n v="68254.39"/>
    <n v="6.5"/>
    <n v="4443.3999999999996"/>
    <n v="0.36399999999999999"/>
    <n v="7"/>
  </r>
  <r>
    <x v="95"/>
    <x v="15"/>
    <x v="8"/>
    <n v="26560"/>
    <n v="59267.3"/>
    <n v="6.82"/>
    <n v="3965.2"/>
    <n v="0.56200000000000006"/>
    <n v="6.1"/>
  </r>
  <r>
    <x v="95"/>
    <x v="16"/>
    <x v="5"/>
    <n v="19329"/>
    <n v="37218.07"/>
    <n v="6.49"/>
    <n v="2966"/>
    <n v="0.61499999999999999"/>
    <n v="7.4"/>
  </r>
  <r>
    <x v="95"/>
    <x v="17"/>
    <x v="4"/>
    <n v="21848"/>
    <n v="45425.69"/>
    <n v="6.66"/>
    <n v="3274.7"/>
    <n v="0.42899999999999999"/>
    <n v="9.1999999999999993"/>
  </r>
  <r>
    <x v="95"/>
    <x v="18"/>
    <x v="9"/>
    <n v="26695"/>
    <n v="61636"/>
    <n v="6.46"/>
    <n v="4207.5"/>
    <n v="0.58799999999999997"/>
    <n v="6.7"/>
  </r>
  <r>
    <x v="95"/>
    <x v="19"/>
    <x v="9"/>
    <n v="20680"/>
    <n v="41863.760000000002"/>
    <n v="6.42"/>
    <n v="3277.2"/>
    <n v="0.58799999999999997"/>
    <n v="6.3"/>
  </r>
  <r>
    <x v="95"/>
    <x v="20"/>
    <x v="8"/>
    <n v="23891"/>
    <n v="50659.79"/>
    <n v="6.48"/>
    <n v="3652.2"/>
    <n v="0.438"/>
    <n v="6.6"/>
  </r>
  <r>
    <x v="95"/>
    <x v="21"/>
    <x v="3"/>
    <n v="21063"/>
    <n v="44991.58"/>
    <n v="6.45"/>
    <n v="3300"/>
    <n v="0.36799999999999999"/>
    <n v="6"/>
  </r>
  <r>
    <x v="95"/>
    <x v="22"/>
    <x v="12"/>
    <n v="28058"/>
    <n v="60870.9"/>
    <n v="6.44"/>
    <n v="4427.7"/>
    <n v="0.111"/>
    <n v="7.5"/>
  </r>
  <r>
    <x v="95"/>
    <x v="23"/>
    <x v="13"/>
    <n v="36871"/>
    <n v="84122.84"/>
    <n v="6.37"/>
    <n v="5839.1"/>
    <n v="0.54500000000000004"/>
    <n v="6.6"/>
  </r>
  <r>
    <x v="95"/>
    <x v="24"/>
    <x v="6"/>
    <n v="25686"/>
    <n v="51887.96"/>
    <n v="6.43"/>
    <n v="3982.3"/>
    <n v="0.38100000000000001"/>
    <n v="6.1"/>
  </r>
  <r>
    <x v="95"/>
    <x v="25"/>
    <x v="2"/>
    <n v="31055"/>
    <n v="63971.78"/>
    <n v="6.59"/>
    <n v="4735.8"/>
    <n v="0.45"/>
    <n v="6.8"/>
  </r>
  <r>
    <x v="95"/>
    <x v="26"/>
    <x v="15"/>
    <n v="32939"/>
    <n v="75777"/>
    <n v="6.46"/>
    <n v="5061.5"/>
    <n v="0.39100000000000001"/>
    <n v="7"/>
  </r>
  <r>
    <x v="95"/>
    <x v="27"/>
    <x v="11"/>
    <n v="36173"/>
    <n v="72318.37"/>
    <n v="6.56"/>
    <n v="5616.8"/>
    <n v="0.54200000000000004"/>
    <n v="6.6"/>
  </r>
  <r>
    <x v="95"/>
    <x v="28"/>
    <x v="15"/>
    <n v="33397"/>
    <n v="75276.179999999993"/>
    <n v="6.5"/>
    <n v="5134.7"/>
    <n v="0.39100000000000001"/>
    <n v="6.6"/>
  </r>
  <r>
    <x v="95"/>
    <x v="29"/>
    <x v="2"/>
    <n v="25834"/>
    <n v="58068.84"/>
    <n v="6.4"/>
    <n v="4073.2"/>
    <n v="0.4"/>
    <n v="7.2"/>
  </r>
  <r>
    <x v="95"/>
    <x v="30"/>
    <x v="10"/>
    <n v="35086"/>
    <n v="67470.720000000001"/>
    <n v="6.24"/>
    <n v="5615.6"/>
    <n v="0.51900000000000002"/>
    <n v="7.3"/>
  </r>
  <r>
    <x v="95"/>
    <x v="31"/>
    <x v="4"/>
    <n v="21075"/>
    <n v="43014.23"/>
    <n v="6.46"/>
    <n v="3305.7"/>
    <n v="0.57099999999999995"/>
    <n v="7.1"/>
  </r>
  <r>
    <x v="95"/>
    <x v="32"/>
    <x v="9"/>
    <n v="20626"/>
    <n v="44593.58"/>
    <n v="6.52"/>
    <n v="3224.6"/>
    <n v="0.52900000000000003"/>
    <n v="5.2"/>
  </r>
  <r>
    <x v="95"/>
    <x v="33"/>
    <x v="13"/>
    <n v="28196"/>
    <n v="61778.05"/>
    <n v="6.35"/>
    <n v="4460.8"/>
    <n v="0.45500000000000002"/>
    <n v="7.8"/>
  </r>
  <r>
    <x v="95"/>
    <x v="34"/>
    <x v="4"/>
    <n v="24865"/>
    <n v="49814.03"/>
    <n v="6.71"/>
    <n v="3719.6"/>
    <n v="0.35699999999999998"/>
    <n v="6.5"/>
  </r>
  <r>
    <x v="95"/>
    <x v="35"/>
    <x v="3"/>
    <n v="23685"/>
    <n v="52471.72"/>
    <n v="6.44"/>
    <n v="3733.3"/>
    <n v="0.316"/>
    <n v="6.9"/>
  </r>
  <r>
    <x v="96"/>
    <x v="0"/>
    <x v="21"/>
    <n v="12463"/>
    <n v="25785.01"/>
    <n v="6.61"/>
    <n v="1900.5"/>
    <n v="0.27300000000000002"/>
    <n v="5"/>
  </r>
  <r>
    <x v="96"/>
    <x v="1"/>
    <x v="5"/>
    <n v="22025"/>
    <n v="42864.56"/>
    <n v="6.81"/>
    <n v="3265.3"/>
    <n v="0.23100000000000001"/>
    <n v="8.5"/>
  </r>
  <r>
    <x v="96"/>
    <x v="2"/>
    <x v="0"/>
    <n v="36687"/>
    <n v="72847.360000000001"/>
    <n v="6.56"/>
    <n v="5666.9"/>
    <n v="0.308"/>
    <n v="7.5"/>
  </r>
  <r>
    <x v="96"/>
    <x v="3"/>
    <x v="21"/>
    <n v="14786"/>
    <n v="33347.379999999997"/>
    <n v="6.64"/>
    <n v="2281.3000000000002"/>
    <n v="0.27300000000000002"/>
    <n v="7.2"/>
  </r>
  <r>
    <x v="96"/>
    <x v="4"/>
    <x v="3"/>
    <n v="27293"/>
    <n v="54455.49"/>
    <n v="6.32"/>
    <n v="4326.3"/>
    <n v="0.316"/>
    <n v="7.1"/>
  </r>
  <r>
    <x v="96"/>
    <x v="5"/>
    <x v="14"/>
    <n v="21997"/>
    <n v="44947.8"/>
    <n v="6.55"/>
    <n v="3337.1"/>
    <n v="0.53300000000000003"/>
    <n v="6.3"/>
  </r>
  <r>
    <x v="96"/>
    <x v="6"/>
    <x v="11"/>
    <n v="42574"/>
    <n v="94617.1"/>
    <n v="6.45"/>
    <n v="6730.1"/>
    <n v="0.5"/>
    <n v="7"/>
  </r>
  <r>
    <x v="96"/>
    <x v="7"/>
    <x v="15"/>
    <n v="29781"/>
    <n v="65105.98"/>
    <n v="6.53"/>
    <n v="4576.7"/>
    <n v="0.60899999999999999"/>
    <n v="6.9"/>
  </r>
  <r>
    <x v="96"/>
    <x v="8"/>
    <x v="5"/>
    <n v="22204"/>
    <n v="48476.14"/>
    <n v="6.31"/>
    <n v="3610.3"/>
    <n v="0.308"/>
    <n v="7.3"/>
  </r>
  <r>
    <x v="96"/>
    <x v="9"/>
    <x v="3"/>
    <n v="26323"/>
    <n v="60306.64"/>
    <n v="6.41"/>
    <n v="4127.6000000000004"/>
    <n v="0.42099999999999999"/>
    <n v="7.6"/>
  </r>
  <r>
    <x v="96"/>
    <x v="10"/>
    <x v="28"/>
    <n v="43201"/>
    <n v="94873.14"/>
    <n v="6.47"/>
    <n v="6710.8"/>
    <n v="0.379"/>
    <n v="7.1"/>
  </r>
  <r>
    <x v="96"/>
    <x v="11"/>
    <x v="9"/>
    <n v="24293"/>
    <n v="45602.23"/>
    <n v="6.45"/>
    <n v="3820.2"/>
    <n v="0.41199999999999998"/>
    <n v="6.6"/>
  </r>
  <r>
    <x v="96"/>
    <x v="12"/>
    <x v="8"/>
    <n v="23498"/>
    <n v="47346.76"/>
    <n v="6.45"/>
    <n v="3716.3"/>
    <n v="0.375"/>
    <n v="5.2"/>
  </r>
  <r>
    <x v="96"/>
    <x v="13"/>
    <x v="14"/>
    <n v="17393"/>
    <n v="34063.769999999997"/>
    <n v="6.47"/>
    <n v="2661.5"/>
    <n v="0.33300000000000002"/>
    <n v="6.6"/>
  </r>
  <r>
    <x v="96"/>
    <x v="14"/>
    <x v="6"/>
    <n v="31262"/>
    <n v="65664.97"/>
    <n v="6.5"/>
    <n v="4811.7"/>
    <n v="0.33300000000000002"/>
    <n v="6.1"/>
  </r>
  <r>
    <x v="96"/>
    <x v="15"/>
    <x v="13"/>
    <n v="26749"/>
    <n v="59625.74"/>
    <n v="6.6"/>
    <n v="4053.8"/>
    <n v="0.45500000000000002"/>
    <n v="6.3"/>
  </r>
  <r>
    <x v="96"/>
    <x v="16"/>
    <x v="9"/>
    <n v="24769"/>
    <n v="58673.62"/>
    <n v="6.65"/>
    <n v="3689.3"/>
    <n v="0.17599999999999999"/>
    <n v="7.6"/>
  </r>
  <r>
    <x v="96"/>
    <x v="17"/>
    <x v="9"/>
    <n v="25349"/>
    <n v="57682.74"/>
    <n v="6.6"/>
    <n v="3784.7"/>
    <n v="0.41199999999999998"/>
    <n v="6.6"/>
  </r>
  <r>
    <x v="96"/>
    <x v="18"/>
    <x v="4"/>
    <n v="15122"/>
    <n v="31009.35"/>
    <n v="6.71"/>
    <n v="2216.6"/>
    <n v="0.5"/>
    <n v="6.6"/>
  </r>
  <r>
    <x v="96"/>
    <x v="19"/>
    <x v="2"/>
    <n v="23492"/>
    <n v="50883.44"/>
    <n v="6.53"/>
    <n v="3656.5"/>
    <n v="0.4"/>
    <n v="6.4"/>
  </r>
  <r>
    <x v="96"/>
    <x v="20"/>
    <x v="13"/>
    <n v="25365"/>
    <n v="51708.160000000003"/>
    <n v="6.43"/>
    <n v="4019.4"/>
    <n v="0.45500000000000002"/>
    <n v="6.6"/>
  </r>
  <r>
    <x v="96"/>
    <x v="21"/>
    <x v="12"/>
    <n v="24767"/>
    <n v="55394.58"/>
    <n v="6.42"/>
    <n v="3873.2"/>
    <n v="0.38900000000000001"/>
    <n v="7.5"/>
  </r>
  <r>
    <x v="96"/>
    <x v="22"/>
    <x v="12"/>
    <n v="22993"/>
    <n v="51115.97"/>
    <n v="6.7"/>
    <n v="3497.2"/>
    <n v="0.55600000000000005"/>
    <n v="7.4"/>
  </r>
  <r>
    <x v="96"/>
    <x v="23"/>
    <x v="8"/>
    <n v="18477"/>
    <n v="36954.44"/>
    <n v="6.4"/>
    <n v="2916.3"/>
    <n v="6.2E-2"/>
    <n v="9.1"/>
  </r>
  <r>
    <x v="96"/>
    <x v="24"/>
    <x v="13"/>
    <n v="36262"/>
    <n v="77457.36"/>
    <n v="6.54"/>
    <n v="5639.5"/>
    <n v="0.45500000000000002"/>
    <n v="7.2"/>
  </r>
  <r>
    <x v="96"/>
    <x v="25"/>
    <x v="2"/>
    <n v="29757"/>
    <n v="67319.460000000006"/>
    <n v="6.61"/>
    <n v="4606"/>
    <n v="0.55000000000000004"/>
    <n v="6.4"/>
  </r>
  <r>
    <x v="96"/>
    <x v="26"/>
    <x v="14"/>
    <n v="25886"/>
    <n v="54512.39"/>
    <n v="6.36"/>
    <n v="4099.8999999999996"/>
    <n v="0.46700000000000003"/>
    <n v="7.9"/>
  </r>
  <r>
    <x v="96"/>
    <x v="27"/>
    <x v="15"/>
    <n v="37744"/>
    <n v="88995.07"/>
    <n v="6.42"/>
    <n v="5883.5"/>
    <n v="0.435"/>
    <n v="7.1"/>
  </r>
  <r>
    <x v="96"/>
    <x v="28"/>
    <x v="27"/>
    <n v="7641"/>
    <n v="15794.37"/>
    <n v="6.32"/>
    <n v="1251"/>
    <n v="0.42899999999999999"/>
    <n v="7.4"/>
  </r>
  <r>
    <x v="96"/>
    <x v="29"/>
    <x v="3"/>
    <n v="23212"/>
    <n v="47435.57"/>
    <n v="6.57"/>
    <n v="3504.6"/>
    <n v="0.26300000000000001"/>
    <n v="6.7"/>
  </r>
  <r>
    <x v="96"/>
    <x v="30"/>
    <x v="14"/>
    <n v="24478"/>
    <n v="49990.84"/>
    <n v="6.45"/>
    <n v="3779"/>
    <n v="0.26700000000000002"/>
    <n v="6.2"/>
  </r>
  <r>
    <x v="96"/>
    <x v="31"/>
    <x v="0"/>
    <n v="39219"/>
    <n v="83737.960000000006"/>
    <n v="6.63"/>
    <n v="6034"/>
    <n v="0.46200000000000002"/>
    <n v="8.4"/>
  </r>
  <r>
    <x v="96"/>
    <x v="32"/>
    <x v="7"/>
    <n v="20304"/>
    <n v="45327.88"/>
    <n v="6.62"/>
    <n v="3086.4"/>
    <n v="0.66700000000000004"/>
    <n v="7.6"/>
  </r>
  <r>
    <x v="96"/>
    <x v="33"/>
    <x v="12"/>
    <n v="28608"/>
    <n v="63540.86"/>
    <n v="6.52"/>
    <n v="4396.3999999999996"/>
    <n v="0.38900000000000001"/>
    <n v="7.4"/>
  </r>
  <r>
    <x v="96"/>
    <x v="34"/>
    <x v="13"/>
    <n v="35669"/>
    <n v="77886.23"/>
    <n v="6.57"/>
    <n v="5500.9"/>
    <n v="0.5"/>
    <n v="7.5"/>
  </r>
  <r>
    <x v="96"/>
    <x v="35"/>
    <x v="9"/>
    <n v="24412"/>
    <n v="53202.85"/>
    <n v="6.63"/>
    <n v="3740"/>
    <n v="0.41199999999999998"/>
    <n v="8.3000000000000007"/>
  </r>
  <r>
    <x v="97"/>
    <x v="0"/>
    <x v="17"/>
    <n v="35809"/>
    <n v="77037.850000000006"/>
    <n v="6.55"/>
    <n v="5571.2"/>
    <n v="0.52"/>
    <n v="7.3"/>
  </r>
  <r>
    <x v="97"/>
    <x v="1"/>
    <x v="8"/>
    <n v="18526"/>
    <n v="40056.5"/>
    <n v="6.64"/>
    <n v="2823.3"/>
    <n v="0.75"/>
    <n v="7.1"/>
  </r>
  <r>
    <x v="97"/>
    <x v="2"/>
    <x v="14"/>
    <n v="23731"/>
    <n v="50160.19"/>
    <n v="6.41"/>
    <n v="3666.1"/>
    <n v="0.53300000000000003"/>
    <n v="7.9"/>
  </r>
  <r>
    <x v="97"/>
    <x v="3"/>
    <x v="8"/>
    <n v="26530"/>
    <n v="58652.38"/>
    <n v="6.46"/>
    <n v="4127.1000000000004"/>
    <n v="0.5"/>
    <n v="7.1"/>
  </r>
  <r>
    <x v="97"/>
    <x v="4"/>
    <x v="9"/>
    <n v="21431"/>
    <n v="46473.97"/>
    <n v="6.64"/>
    <n v="3220.2"/>
    <n v="0.58799999999999997"/>
    <n v="6"/>
  </r>
  <r>
    <x v="97"/>
    <x v="5"/>
    <x v="21"/>
    <n v="14262"/>
    <n v="32837.9"/>
    <n v="6.47"/>
    <n v="2213.8000000000002"/>
    <n v="0.63600000000000001"/>
    <n v="5.5"/>
  </r>
  <r>
    <x v="97"/>
    <x v="6"/>
    <x v="4"/>
    <n v="17784"/>
    <n v="39092.36"/>
    <n v="6.66"/>
    <n v="2706.2"/>
    <n v="0.42899999999999999"/>
    <n v="6.8"/>
  </r>
  <r>
    <x v="97"/>
    <x v="7"/>
    <x v="8"/>
    <n v="19832"/>
    <n v="41133.4"/>
    <n v="6.53"/>
    <n v="3085.4"/>
    <n v="0.25"/>
    <n v="6.3"/>
  </r>
  <r>
    <x v="97"/>
    <x v="8"/>
    <x v="3"/>
    <n v="30127"/>
    <n v="63527.93"/>
    <n v="6.57"/>
    <n v="4673.6000000000004"/>
    <n v="0.47399999999999998"/>
    <n v="8.1"/>
  </r>
  <r>
    <x v="97"/>
    <x v="9"/>
    <x v="7"/>
    <n v="17267"/>
    <n v="36635.1"/>
    <n v="6.76"/>
    <n v="2534.6999999999998"/>
    <n v="0.58299999999999996"/>
    <n v="8"/>
  </r>
  <r>
    <x v="97"/>
    <x v="10"/>
    <x v="8"/>
    <n v="22749"/>
    <n v="50775.24"/>
    <n v="6.34"/>
    <n v="3570.2"/>
    <n v="0.5"/>
    <n v="6.6"/>
  </r>
  <r>
    <x v="97"/>
    <x v="11"/>
    <x v="3"/>
    <n v="29340"/>
    <n v="62569.66"/>
    <n v="6.61"/>
    <n v="4517.6000000000004"/>
    <n v="0.36799999999999999"/>
    <n v="7.9"/>
  </r>
  <r>
    <x v="97"/>
    <x v="12"/>
    <x v="2"/>
    <n v="28310"/>
    <n v="60580.73"/>
    <n v="6.34"/>
    <n v="4554.3"/>
    <n v="0.45"/>
    <n v="6.1"/>
  </r>
  <r>
    <x v="97"/>
    <x v="13"/>
    <x v="3"/>
    <n v="29800"/>
    <n v="61440.23"/>
    <n v="6.33"/>
    <n v="4639.3"/>
    <n v="0.316"/>
    <n v="6.9"/>
  </r>
  <r>
    <x v="97"/>
    <x v="14"/>
    <x v="21"/>
    <n v="14366"/>
    <n v="31389.8"/>
    <n v="6.4"/>
    <n v="2247.1"/>
    <n v="0.45500000000000002"/>
    <n v="8"/>
  </r>
  <r>
    <x v="97"/>
    <x v="15"/>
    <x v="4"/>
    <n v="20480"/>
    <n v="48257.63"/>
    <n v="6.65"/>
    <n v="3108.1"/>
    <n v="0.35699999999999998"/>
    <n v="7.1"/>
  </r>
  <r>
    <x v="97"/>
    <x v="16"/>
    <x v="8"/>
    <n v="20100"/>
    <n v="45368.2"/>
    <n v="6.67"/>
    <n v="3068.1"/>
    <n v="0.375"/>
    <n v="8.1"/>
  </r>
  <r>
    <x v="97"/>
    <x v="17"/>
    <x v="6"/>
    <n v="33891"/>
    <n v="72538.259999999995"/>
    <n v="6.53"/>
    <n v="5135.8"/>
    <n v="0.47599999999999998"/>
    <n v="7.2"/>
  </r>
  <r>
    <x v="97"/>
    <x v="18"/>
    <x v="13"/>
    <n v="23782"/>
    <n v="48473.05"/>
    <n v="6.45"/>
    <n v="3748.6"/>
    <n v="0.36399999999999999"/>
    <n v="8.1999999999999993"/>
  </r>
  <r>
    <x v="97"/>
    <x v="19"/>
    <x v="4"/>
    <n v="23226"/>
    <n v="53627.64"/>
    <n v="6.37"/>
    <n v="3638.9"/>
    <n v="0.35699999999999998"/>
    <n v="7.4"/>
  </r>
  <r>
    <x v="97"/>
    <x v="20"/>
    <x v="6"/>
    <n v="34268"/>
    <n v="70536.039999999994"/>
    <n v="6.6"/>
    <n v="5230.8"/>
    <n v="0.52400000000000002"/>
    <n v="7.3"/>
  </r>
  <r>
    <x v="97"/>
    <x v="21"/>
    <x v="0"/>
    <n v="33158"/>
    <n v="74447.179999999993"/>
    <n v="6.52"/>
    <n v="5079.5"/>
    <n v="0.38500000000000001"/>
    <n v="6"/>
  </r>
  <r>
    <x v="97"/>
    <x v="22"/>
    <x v="3"/>
    <n v="20650"/>
    <n v="43632.71"/>
    <n v="6.56"/>
    <n v="3146.4"/>
    <n v="0.21099999999999999"/>
    <n v="6.7"/>
  </r>
  <r>
    <x v="97"/>
    <x v="23"/>
    <x v="8"/>
    <n v="23947"/>
    <n v="50338.81"/>
    <n v="6.51"/>
    <n v="3653.8"/>
    <n v="0.125"/>
    <n v="8.5"/>
  </r>
  <r>
    <x v="97"/>
    <x v="24"/>
    <x v="3"/>
    <n v="24928"/>
    <n v="55582.83"/>
    <n v="6.44"/>
    <n v="3909.6"/>
    <n v="0.47399999999999998"/>
    <n v="7"/>
  </r>
  <r>
    <x v="97"/>
    <x v="25"/>
    <x v="9"/>
    <n v="28006"/>
    <n v="62058.06"/>
    <n v="6.42"/>
    <n v="4420.1000000000004"/>
    <n v="0.41199999999999998"/>
    <n v="7"/>
  </r>
  <r>
    <x v="97"/>
    <x v="26"/>
    <x v="5"/>
    <n v="20338"/>
    <n v="43933.11"/>
    <n v="6.27"/>
    <n v="3375.8"/>
    <n v="0.23100000000000001"/>
    <n v="6.8"/>
  </r>
  <r>
    <x v="97"/>
    <x v="27"/>
    <x v="15"/>
    <n v="28118"/>
    <n v="61172.46"/>
    <n v="6.5"/>
    <n v="4355"/>
    <n v="0.435"/>
    <n v="6.8"/>
  </r>
  <r>
    <x v="97"/>
    <x v="28"/>
    <x v="14"/>
    <n v="21236"/>
    <n v="46100.38"/>
    <n v="6.76"/>
    <n v="3163.7"/>
    <n v="0.6"/>
    <n v="6.9"/>
  </r>
  <r>
    <x v="97"/>
    <x v="29"/>
    <x v="14"/>
    <n v="20408"/>
    <n v="48291.67"/>
    <n v="6.16"/>
    <n v="3363.2"/>
    <n v="0.4"/>
    <n v="8.4"/>
  </r>
  <r>
    <x v="97"/>
    <x v="30"/>
    <x v="13"/>
    <n v="38338"/>
    <n v="78996.800000000003"/>
    <n v="6.49"/>
    <n v="5953.2"/>
    <n v="0.36399999999999999"/>
    <n v="7"/>
  </r>
  <r>
    <x v="97"/>
    <x v="31"/>
    <x v="2"/>
    <n v="28172"/>
    <n v="61283.85"/>
    <n v="6.74"/>
    <n v="4212.7"/>
    <n v="0.45"/>
    <n v="5.8"/>
  </r>
  <r>
    <x v="97"/>
    <x v="32"/>
    <x v="2"/>
    <n v="28688"/>
    <n v="57419.7"/>
    <n v="6.38"/>
    <n v="4556.8999999999996"/>
    <n v="0.4"/>
    <n v="6.8"/>
  </r>
  <r>
    <x v="97"/>
    <x v="33"/>
    <x v="11"/>
    <n v="26973"/>
    <n v="57951.25"/>
    <n v="6.54"/>
    <n v="4096.3999999999996"/>
    <n v="0.66700000000000004"/>
    <n v="8.3000000000000007"/>
  </r>
  <r>
    <x v="97"/>
    <x v="34"/>
    <x v="13"/>
    <n v="30347"/>
    <n v="69010.89"/>
    <n v="6.67"/>
    <n v="4592.3"/>
    <n v="0.318"/>
    <n v="6.4"/>
  </r>
  <r>
    <x v="97"/>
    <x v="35"/>
    <x v="15"/>
    <n v="30785"/>
    <n v="64227.94"/>
    <n v="6.49"/>
    <n v="4848.1000000000004"/>
    <n v="0.435"/>
    <n v="5.8"/>
  </r>
  <r>
    <x v="98"/>
    <x v="0"/>
    <x v="7"/>
    <n v="20722"/>
    <n v="45449.760000000002"/>
    <n v="6.47"/>
    <n v="3265.5"/>
    <n v="0.58299999999999996"/>
    <n v="7.1"/>
  </r>
  <r>
    <x v="98"/>
    <x v="1"/>
    <x v="14"/>
    <n v="20298"/>
    <n v="44829.8"/>
    <n v="6.52"/>
    <n v="3117.2"/>
    <n v="0.46700000000000003"/>
    <n v="5.9"/>
  </r>
  <r>
    <x v="98"/>
    <x v="2"/>
    <x v="3"/>
    <n v="28279"/>
    <n v="61847.22"/>
    <n v="6.56"/>
    <n v="4380.6000000000004"/>
    <n v="0.52600000000000002"/>
    <n v="7.8"/>
  </r>
  <r>
    <x v="98"/>
    <x v="3"/>
    <x v="23"/>
    <n v="35708"/>
    <n v="74356.320000000007"/>
    <n v="6.4"/>
    <n v="5612.4"/>
    <n v="0.36699999999999999"/>
    <n v="7.7"/>
  </r>
  <r>
    <x v="98"/>
    <x v="4"/>
    <x v="3"/>
    <n v="22746"/>
    <n v="42387.44"/>
    <n v="6.51"/>
    <n v="3495.4"/>
    <n v="0.52600000000000002"/>
    <n v="8.1999999999999993"/>
  </r>
  <r>
    <x v="98"/>
    <x v="5"/>
    <x v="2"/>
    <n v="23065"/>
    <n v="47505.62"/>
    <n v="6.72"/>
    <n v="3527.2"/>
    <n v="0.5"/>
    <n v="8.1999999999999993"/>
  </r>
  <r>
    <x v="98"/>
    <x v="6"/>
    <x v="15"/>
    <n v="37046"/>
    <n v="74778.460000000006"/>
    <n v="6.48"/>
    <n v="5800"/>
    <n v="0.52200000000000002"/>
    <n v="7.3"/>
  </r>
  <r>
    <x v="98"/>
    <x v="7"/>
    <x v="0"/>
    <n v="33273"/>
    <n v="67571.13"/>
    <n v="6.41"/>
    <n v="5137.7"/>
    <n v="0.5"/>
    <n v="6.9"/>
  </r>
  <r>
    <x v="98"/>
    <x v="8"/>
    <x v="15"/>
    <n v="33881"/>
    <n v="74896.61"/>
    <n v="6.44"/>
    <n v="5354.1"/>
    <n v="0.56499999999999995"/>
    <n v="6.7"/>
  </r>
  <r>
    <x v="98"/>
    <x v="9"/>
    <x v="9"/>
    <n v="20842"/>
    <n v="41063.29"/>
    <n v="6.58"/>
    <n v="3182.2"/>
    <n v="0.52900000000000003"/>
    <n v="6.6"/>
  </r>
  <r>
    <x v="98"/>
    <x v="10"/>
    <x v="3"/>
    <n v="26546"/>
    <n v="57161.48"/>
    <n v="6.29"/>
    <n v="4204.5"/>
    <n v="0.47399999999999998"/>
    <n v="7.4"/>
  </r>
  <r>
    <x v="98"/>
    <x v="11"/>
    <x v="14"/>
    <n v="15107"/>
    <n v="31606.95"/>
    <n v="6.35"/>
    <n v="2386.5"/>
    <n v="0.6"/>
    <n v="6.5"/>
  </r>
  <r>
    <x v="98"/>
    <x v="12"/>
    <x v="14"/>
    <n v="22925"/>
    <n v="46465.97"/>
    <n v="6.5"/>
    <n v="3552.2"/>
    <n v="0.53300000000000003"/>
    <n v="6.6"/>
  </r>
  <r>
    <x v="98"/>
    <x v="13"/>
    <x v="17"/>
    <n v="36331"/>
    <n v="78288.78"/>
    <n v="6.4"/>
    <n v="5802.8"/>
    <n v="0.44"/>
    <n v="7.8"/>
  </r>
  <r>
    <x v="98"/>
    <x v="14"/>
    <x v="2"/>
    <n v="23737"/>
    <n v="53454.7"/>
    <n v="6.48"/>
    <n v="3664"/>
    <n v="0.55000000000000004"/>
    <n v="6.5"/>
  </r>
  <r>
    <x v="98"/>
    <x v="15"/>
    <x v="8"/>
    <n v="27279"/>
    <n v="54279.31"/>
    <n v="6.76"/>
    <n v="4029"/>
    <n v="0.56200000000000006"/>
    <n v="6.8"/>
  </r>
  <r>
    <x v="98"/>
    <x v="16"/>
    <x v="12"/>
    <n v="26271"/>
    <n v="52748.01"/>
    <n v="6.64"/>
    <n v="3950.1"/>
    <n v="0.44400000000000001"/>
    <n v="6.5"/>
  </r>
  <r>
    <x v="98"/>
    <x v="17"/>
    <x v="8"/>
    <n v="24563"/>
    <n v="55293.75"/>
    <n v="6.51"/>
    <n v="3837.6"/>
    <n v="0.312"/>
    <n v="6.7"/>
  </r>
  <r>
    <x v="98"/>
    <x v="18"/>
    <x v="12"/>
    <n v="31422"/>
    <n v="71938.320000000007"/>
    <n v="6.42"/>
    <n v="4928.3"/>
    <n v="0.5"/>
    <n v="6.3"/>
  </r>
  <r>
    <x v="98"/>
    <x v="19"/>
    <x v="2"/>
    <n v="30189"/>
    <n v="63585.05"/>
    <n v="6.61"/>
    <n v="4510.1000000000004"/>
    <n v="0.75"/>
    <n v="7.4"/>
  </r>
  <r>
    <x v="98"/>
    <x v="20"/>
    <x v="7"/>
    <n v="13815"/>
    <n v="33320.339999999997"/>
    <n v="6.52"/>
    <n v="2144.1"/>
    <n v="0.25"/>
    <n v="7.1"/>
  </r>
  <r>
    <x v="98"/>
    <x v="21"/>
    <x v="7"/>
    <n v="18043"/>
    <n v="39266.5"/>
    <n v="6.52"/>
    <n v="2790"/>
    <n v="0.66700000000000004"/>
    <n v="7.7"/>
  </r>
  <r>
    <x v="98"/>
    <x v="22"/>
    <x v="8"/>
    <n v="20389"/>
    <n v="45166.81"/>
    <n v="6.46"/>
    <n v="3166.4"/>
    <n v="0.312"/>
    <n v="7.4"/>
  </r>
  <r>
    <x v="98"/>
    <x v="23"/>
    <x v="14"/>
    <n v="16906"/>
    <n v="36225.14"/>
    <n v="6.5"/>
    <n v="2631.1"/>
    <n v="0.6"/>
    <n v="7"/>
  </r>
  <r>
    <x v="98"/>
    <x v="24"/>
    <x v="2"/>
    <n v="26435"/>
    <n v="55381.52"/>
    <n v="6.53"/>
    <n v="3973.4"/>
    <n v="0.45"/>
    <n v="6.2"/>
  </r>
  <r>
    <x v="98"/>
    <x v="25"/>
    <x v="15"/>
    <n v="35579"/>
    <n v="73391.259999999995"/>
    <n v="6.53"/>
    <n v="5503"/>
    <n v="0.56499999999999995"/>
    <n v="5.8"/>
  </r>
  <r>
    <x v="98"/>
    <x v="26"/>
    <x v="17"/>
    <n v="33157"/>
    <n v="70866.78"/>
    <n v="6.54"/>
    <n v="5088.7"/>
    <n v="0.48"/>
    <n v="7.1"/>
  </r>
  <r>
    <x v="98"/>
    <x v="27"/>
    <x v="7"/>
    <n v="16140"/>
    <n v="34159.72"/>
    <n v="6.58"/>
    <n v="2496.6"/>
    <n v="0.83299999999999996"/>
    <n v="5.8"/>
  </r>
  <r>
    <x v="98"/>
    <x v="28"/>
    <x v="7"/>
    <n v="17404"/>
    <n v="39807.129999999997"/>
    <n v="6.33"/>
    <n v="2799.1"/>
    <n v="0.41699999999999998"/>
    <n v="5.8"/>
  </r>
  <r>
    <x v="98"/>
    <x v="29"/>
    <x v="14"/>
    <n v="22414"/>
    <n v="55777.14"/>
    <n v="6.75"/>
    <n v="3322.4"/>
    <n v="0.33300000000000002"/>
    <n v="7.8"/>
  </r>
  <r>
    <x v="98"/>
    <x v="30"/>
    <x v="8"/>
    <n v="29083"/>
    <n v="62571.46"/>
    <n v="6.69"/>
    <n v="4318.8999999999996"/>
    <n v="0.438"/>
    <n v="7.1"/>
  </r>
  <r>
    <x v="98"/>
    <x v="31"/>
    <x v="7"/>
    <n v="14205"/>
    <n v="31253.58"/>
    <n v="6.61"/>
    <n v="2181.1"/>
    <n v="0.75"/>
    <n v="5.7"/>
  </r>
  <r>
    <x v="98"/>
    <x v="32"/>
    <x v="6"/>
    <n v="31506"/>
    <n v="73270.350000000006"/>
    <n v="6.71"/>
    <n v="4723.5"/>
    <n v="0.38100000000000001"/>
    <n v="6.8"/>
  </r>
  <r>
    <x v="98"/>
    <x v="33"/>
    <x v="14"/>
    <n v="19646"/>
    <n v="46162.06"/>
    <n v="6.43"/>
    <n v="3091.4"/>
    <n v="0.6"/>
    <n v="6"/>
  </r>
  <r>
    <x v="98"/>
    <x v="34"/>
    <x v="2"/>
    <n v="28423"/>
    <n v="61163.97"/>
    <n v="6.41"/>
    <n v="4420.3999999999996"/>
    <n v="0.45"/>
    <n v="6.9"/>
  </r>
  <r>
    <x v="98"/>
    <x v="35"/>
    <x v="4"/>
    <n v="26614"/>
    <n v="58498.98"/>
    <n v="6.36"/>
    <n v="4224"/>
    <n v="0.5"/>
    <n v="5.8"/>
  </r>
  <r>
    <x v="99"/>
    <x v="0"/>
    <x v="21"/>
    <n v="13564"/>
    <n v="32355.62"/>
    <n v="6.53"/>
    <n v="2104"/>
    <n v="0.36399999999999999"/>
    <n v="7.1"/>
  </r>
  <r>
    <x v="99"/>
    <x v="1"/>
    <x v="12"/>
    <n v="20406"/>
    <n v="46958.63"/>
    <n v="6.46"/>
    <n v="3164.8"/>
    <n v="0.55600000000000005"/>
    <n v="6.6"/>
  </r>
  <r>
    <x v="99"/>
    <x v="2"/>
    <x v="8"/>
    <n v="28017"/>
    <n v="60626.69"/>
    <n v="6.53"/>
    <n v="4325.5"/>
    <n v="0.312"/>
    <n v="6.8"/>
  </r>
  <r>
    <x v="99"/>
    <x v="3"/>
    <x v="17"/>
    <n v="30466"/>
    <n v="63931.92"/>
    <n v="6.76"/>
    <n v="4521.6000000000004"/>
    <n v="0.6"/>
    <n v="6.9"/>
  </r>
  <r>
    <x v="99"/>
    <x v="4"/>
    <x v="13"/>
    <n v="39184"/>
    <n v="94027.61"/>
    <n v="6.43"/>
    <n v="6140.7"/>
    <n v="0.54500000000000004"/>
    <n v="7.6"/>
  </r>
  <r>
    <x v="99"/>
    <x v="5"/>
    <x v="3"/>
    <n v="25170"/>
    <n v="50885.29"/>
    <n v="6.61"/>
    <n v="3918.4"/>
    <n v="0.57899999999999996"/>
    <n v="6.9"/>
  </r>
  <r>
    <x v="99"/>
    <x v="6"/>
    <x v="8"/>
    <n v="24186"/>
    <n v="52033.11"/>
    <n v="6.26"/>
    <n v="3853.3"/>
    <n v="0.312"/>
    <n v="7.4"/>
  </r>
  <r>
    <x v="99"/>
    <x v="7"/>
    <x v="2"/>
    <n v="29704"/>
    <n v="64170.05"/>
    <n v="6.65"/>
    <n v="4543.5"/>
    <n v="0.15"/>
    <n v="7.5"/>
  </r>
  <r>
    <x v="99"/>
    <x v="8"/>
    <x v="21"/>
    <n v="15159"/>
    <n v="32745.95"/>
    <n v="6.56"/>
    <n v="2374.8000000000002"/>
    <n v="0.45500000000000002"/>
    <n v="7.5"/>
  </r>
  <r>
    <x v="99"/>
    <x v="9"/>
    <x v="0"/>
    <n v="33257"/>
    <n v="70018.83"/>
    <n v="6.56"/>
    <n v="5086.1000000000004"/>
    <n v="0.46200000000000002"/>
    <n v="7.7"/>
  </r>
  <r>
    <x v="99"/>
    <x v="10"/>
    <x v="15"/>
    <n v="36810"/>
    <n v="75163.509999999995"/>
    <n v="6.37"/>
    <n v="5937.1"/>
    <n v="0.435"/>
    <n v="7.2"/>
  </r>
  <r>
    <x v="99"/>
    <x v="11"/>
    <x v="14"/>
    <n v="22848"/>
    <n v="52343.48"/>
    <n v="6.53"/>
    <n v="3445.2"/>
    <n v="0.33300000000000002"/>
    <n v="6.2"/>
  </r>
  <r>
    <x v="99"/>
    <x v="12"/>
    <x v="5"/>
    <n v="23909"/>
    <n v="51891.1"/>
    <n v="6.54"/>
    <n v="3608.9"/>
    <n v="0.46200000000000002"/>
    <n v="7.6"/>
  </r>
  <r>
    <x v="99"/>
    <x v="13"/>
    <x v="9"/>
    <n v="26831"/>
    <n v="60462.74"/>
    <n v="6.72"/>
    <n v="4079.7"/>
    <n v="0.41199999999999998"/>
    <n v="6"/>
  </r>
  <r>
    <x v="99"/>
    <x v="14"/>
    <x v="9"/>
    <n v="22091"/>
    <n v="45793.440000000002"/>
    <n v="6.5"/>
    <n v="3412.6"/>
    <n v="0.23499999999999999"/>
    <n v="6.5"/>
  </r>
  <r>
    <x v="99"/>
    <x v="15"/>
    <x v="6"/>
    <n v="28862"/>
    <n v="65950.69"/>
    <n v="6.44"/>
    <n v="4484.5"/>
    <n v="0.52400000000000002"/>
    <n v="5.9"/>
  </r>
  <r>
    <x v="99"/>
    <x v="16"/>
    <x v="12"/>
    <n v="28338"/>
    <n v="66225.05"/>
    <n v="6.49"/>
    <n v="4359.8"/>
    <n v="0.33300000000000002"/>
    <n v="6.9"/>
  </r>
  <r>
    <x v="99"/>
    <x v="17"/>
    <x v="14"/>
    <n v="21726"/>
    <n v="44984.82"/>
    <n v="6.2"/>
    <n v="3601.8"/>
    <n v="0.46700000000000003"/>
    <n v="6.4"/>
  </r>
  <r>
    <x v="99"/>
    <x v="18"/>
    <x v="14"/>
    <n v="25191"/>
    <n v="55029.24"/>
    <n v="6.42"/>
    <n v="3975.5"/>
    <n v="0.4"/>
    <n v="7.2"/>
  </r>
  <r>
    <x v="99"/>
    <x v="19"/>
    <x v="12"/>
    <n v="28378"/>
    <n v="61033.72"/>
    <n v="6.33"/>
    <n v="4482.8"/>
    <n v="0.222"/>
    <n v="7.4"/>
  </r>
  <r>
    <x v="99"/>
    <x v="20"/>
    <x v="3"/>
    <n v="19605"/>
    <n v="42163.12"/>
    <n v="6.37"/>
    <n v="3130.6"/>
    <n v="0.47399999999999998"/>
    <n v="6.7"/>
  </r>
  <r>
    <x v="99"/>
    <x v="21"/>
    <x v="11"/>
    <n v="37033"/>
    <n v="73206.759999999995"/>
    <n v="6.49"/>
    <n v="5688"/>
    <n v="0.58299999999999996"/>
    <n v="6.9"/>
  </r>
  <r>
    <x v="99"/>
    <x v="22"/>
    <x v="14"/>
    <n v="21990"/>
    <n v="48208.05"/>
    <n v="6.27"/>
    <n v="3481.4"/>
    <n v="0.46700000000000003"/>
    <n v="7.1"/>
  </r>
  <r>
    <x v="99"/>
    <x v="23"/>
    <x v="9"/>
    <n v="27377"/>
    <n v="59081.38"/>
    <n v="6.28"/>
    <n v="4308.1000000000004"/>
    <n v="0.41199999999999998"/>
    <n v="7.8"/>
  </r>
  <r>
    <x v="99"/>
    <x v="24"/>
    <x v="17"/>
    <n v="42755"/>
    <n v="88946.32"/>
    <n v="6.31"/>
    <n v="6781.6"/>
    <n v="0.32"/>
    <n v="6.8"/>
  </r>
  <r>
    <x v="99"/>
    <x v="25"/>
    <x v="8"/>
    <n v="17323"/>
    <n v="39549.339999999997"/>
    <n v="6.52"/>
    <n v="2597.3000000000002"/>
    <n v="0.5"/>
    <n v="6.9"/>
  </r>
  <r>
    <x v="99"/>
    <x v="26"/>
    <x v="3"/>
    <n v="24495"/>
    <n v="48885.9"/>
    <n v="6.45"/>
    <n v="3734.8"/>
    <n v="0.57899999999999996"/>
    <n v="7.3"/>
  </r>
  <r>
    <x v="99"/>
    <x v="27"/>
    <x v="8"/>
    <n v="26012"/>
    <n v="54935.54"/>
    <n v="6.49"/>
    <n v="4125.8999999999996"/>
    <n v="0.438"/>
    <n v="7.2"/>
  </r>
  <r>
    <x v="99"/>
    <x v="28"/>
    <x v="3"/>
    <n v="25749"/>
    <n v="52168.63"/>
    <n v="6.36"/>
    <n v="4042.1"/>
    <n v="0.47399999999999998"/>
    <n v="8.1999999999999993"/>
  </r>
  <r>
    <x v="99"/>
    <x v="29"/>
    <x v="12"/>
    <n v="25776"/>
    <n v="56835.11"/>
    <n v="6.42"/>
    <n v="4023.1"/>
    <n v="0.5"/>
    <n v="7"/>
  </r>
  <r>
    <x v="99"/>
    <x v="30"/>
    <x v="14"/>
    <n v="25091"/>
    <n v="52435.18"/>
    <n v="6.53"/>
    <n v="3844.8"/>
    <n v="0.6"/>
    <n v="7.9"/>
  </r>
  <r>
    <x v="99"/>
    <x v="31"/>
    <x v="14"/>
    <n v="23232"/>
    <n v="50394.91"/>
    <n v="6.56"/>
    <n v="3521.4"/>
    <n v="0.33300000000000002"/>
    <n v="7.7"/>
  </r>
  <r>
    <x v="99"/>
    <x v="32"/>
    <x v="11"/>
    <n v="25777"/>
    <n v="57296.67"/>
    <n v="6.67"/>
    <n v="3864.2"/>
    <n v="0.5"/>
    <n v="6.7"/>
  </r>
  <r>
    <x v="99"/>
    <x v="33"/>
    <x v="0"/>
    <n v="39122"/>
    <n v="79804"/>
    <n v="6.55"/>
    <n v="6105.6"/>
    <n v="0.46200000000000002"/>
    <n v="6.5"/>
  </r>
  <r>
    <x v="99"/>
    <x v="34"/>
    <x v="17"/>
    <n v="38745"/>
    <n v="80290.34"/>
    <n v="6.64"/>
    <n v="5844.9"/>
    <n v="0.52"/>
    <n v="6.1"/>
  </r>
  <r>
    <x v="99"/>
    <x v="35"/>
    <x v="3"/>
    <n v="30564"/>
    <n v="72254.570000000007"/>
    <n v="6.41"/>
    <n v="4826"/>
    <n v="0.52600000000000002"/>
    <n v="6.1"/>
  </r>
  <r>
    <x v="100"/>
    <x v="0"/>
    <x v="11"/>
    <n v="37522"/>
    <n v="83518.320000000007"/>
    <n v="6.66"/>
    <n v="5635.3"/>
    <n v="0.29199999999999998"/>
    <n v="7.1"/>
  </r>
  <r>
    <x v="100"/>
    <x v="1"/>
    <x v="16"/>
    <n v="3310"/>
    <n v="7096.56"/>
    <n v="6.06"/>
    <n v="521.9"/>
    <n v="0.4"/>
    <n v="6.3"/>
  </r>
  <r>
    <x v="100"/>
    <x v="2"/>
    <x v="21"/>
    <n v="15011"/>
    <n v="34609.24"/>
    <n v="6.56"/>
    <n v="2316.8000000000002"/>
    <n v="0.27300000000000002"/>
    <n v="8.8000000000000007"/>
  </r>
  <r>
    <x v="100"/>
    <x v="3"/>
    <x v="14"/>
    <n v="21259"/>
    <n v="43122.27"/>
    <n v="6.56"/>
    <n v="3230.7"/>
    <n v="0.46700000000000003"/>
    <n v="6.8"/>
  </r>
  <r>
    <x v="100"/>
    <x v="4"/>
    <x v="14"/>
    <n v="21971"/>
    <n v="43005.55"/>
    <n v="6.67"/>
    <n v="3235.6"/>
    <n v="0.4"/>
    <n v="6.4"/>
  </r>
  <r>
    <x v="100"/>
    <x v="5"/>
    <x v="15"/>
    <n v="32868"/>
    <n v="68103.179999999993"/>
    <n v="6.47"/>
    <n v="5071.8999999999996"/>
    <n v="0.60899999999999999"/>
    <n v="6.3"/>
  </r>
  <r>
    <x v="100"/>
    <x v="6"/>
    <x v="10"/>
    <n v="39157"/>
    <n v="83200.41"/>
    <n v="6.31"/>
    <n v="6321.7"/>
    <n v="0.37"/>
    <n v="6.9"/>
  </r>
  <r>
    <x v="100"/>
    <x v="7"/>
    <x v="6"/>
    <n v="27850"/>
    <n v="60817.45"/>
    <n v="6.54"/>
    <n v="4344.8999999999996"/>
    <n v="0.33300000000000002"/>
    <n v="6.7"/>
  </r>
  <r>
    <x v="100"/>
    <x v="8"/>
    <x v="5"/>
    <n v="13975"/>
    <n v="30393.51"/>
    <n v="6.15"/>
    <n v="2259.8000000000002"/>
    <n v="0.46200000000000002"/>
    <n v="6.9"/>
  </r>
  <r>
    <x v="100"/>
    <x v="9"/>
    <x v="6"/>
    <n v="30039"/>
    <n v="61499.03"/>
    <n v="6.52"/>
    <n v="4727.8"/>
    <n v="0.42899999999999999"/>
    <n v="7.3"/>
  </r>
  <r>
    <x v="100"/>
    <x v="10"/>
    <x v="3"/>
    <n v="30784"/>
    <n v="65195.56"/>
    <n v="6.21"/>
    <n v="4970.7"/>
    <n v="0.47399999999999998"/>
    <n v="6.8"/>
  </r>
  <r>
    <x v="100"/>
    <x v="11"/>
    <x v="9"/>
    <n v="23950"/>
    <n v="48406.66"/>
    <n v="6.61"/>
    <n v="3605.2"/>
    <n v="0.41199999999999998"/>
    <n v="6.5"/>
  </r>
  <r>
    <x v="100"/>
    <x v="12"/>
    <x v="21"/>
    <n v="18251"/>
    <n v="37429.82"/>
    <n v="6.74"/>
    <n v="2667.7"/>
    <n v="0.45500000000000002"/>
    <n v="6.8"/>
  </r>
  <r>
    <x v="100"/>
    <x v="13"/>
    <x v="8"/>
    <n v="22107"/>
    <n v="46033.23"/>
    <n v="6.58"/>
    <n v="3430"/>
    <n v="0.375"/>
    <n v="6.2"/>
  </r>
  <r>
    <x v="100"/>
    <x v="14"/>
    <x v="8"/>
    <n v="23947"/>
    <n v="53465.52"/>
    <n v="6.42"/>
    <n v="3737.9"/>
    <n v="0.312"/>
    <n v="5.6"/>
  </r>
  <r>
    <x v="100"/>
    <x v="15"/>
    <x v="14"/>
    <n v="18531"/>
    <n v="37557.910000000003"/>
    <n v="6.55"/>
    <n v="2881.8"/>
    <n v="0.53300000000000003"/>
    <n v="7.2"/>
  </r>
  <r>
    <x v="100"/>
    <x v="16"/>
    <x v="2"/>
    <n v="37783"/>
    <n v="82282.289999999994"/>
    <n v="6.53"/>
    <n v="5816"/>
    <n v="0.35"/>
    <n v="7.1"/>
  </r>
  <r>
    <x v="100"/>
    <x v="17"/>
    <x v="7"/>
    <n v="15559"/>
    <n v="31946.44"/>
    <n v="6.64"/>
    <n v="2349.3000000000002"/>
    <n v="0.5"/>
    <n v="6.5"/>
  </r>
  <r>
    <x v="100"/>
    <x v="18"/>
    <x v="14"/>
    <n v="19393"/>
    <n v="40552.26"/>
    <n v="6.55"/>
    <n v="2922.9"/>
    <n v="0.8"/>
    <n v="6.6"/>
  </r>
  <r>
    <x v="100"/>
    <x v="19"/>
    <x v="9"/>
    <n v="18025"/>
    <n v="33725.620000000003"/>
    <n v="6.3"/>
    <n v="2934.6"/>
    <n v="0.41199999999999998"/>
    <n v="6.8"/>
  </r>
  <r>
    <x v="100"/>
    <x v="20"/>
    <x v="12"/>
    <n v="28097"/>
    <n v="62923.41"/>
    <n v="6.45"/>
    <n v="4502.7"/>
    <n v="0.222"/>
    <n v="7.9"/>
  </r>
  <r>
    <x v="100"/>
    <x v="21"/>
    <x v="8"/>
    <n v="21327"/>
    <n v="45288.74"/>
    <n v="6.48"/>
    <n v="3340"/>
    <n v="0.56200000000000006"/>
    <n v="6.1"/>
  </r>
  <r>
    <x v="100"/>
    <x v="22"/>
    <x v="14"/>
    <n v="21343"/>
    <n v="39517.980000000003"/>
    <n v="6.31"/>
    <n v="3413.6"/>
    <n v="0.6"/>
    <n v="7.2"/>
  </r>
  <r>
    <x v="100"/>
    <x v="23"/>
    <x v="3"/>
    <n v="31182"/>
    <n v="67922.880000000005"/>
    <n v="6.36"/>
    <n v="4924.6000000000004"/>
    <n v="0.42099999999999999"/>
    <n v="7.5"/>
  </r>
  <r>
    <x v="100"/>
    <x v="24"/>
    <x v="21"/>
    <n v="15552"/>
    <n v="33747.519999999997"/>
    <n v="6.64"/>
    <n v="2426.1999999999998"/>
    <n v="0.45500000000000002"/>
    <n v="4.4000000000000004"/>
  </r>
  <r>
    <x v="100"/>
    <x v="25"/>
    <x v="4"/>
    <n v="16779"/>
    <n v="30817.27"/>
    <n v="6.44"/>
    <n v="2618.8000000000002"/>
    <n v="0.57099999999999995"/>
    <n v="7.2"/>
  </r>
  <r>
    <x v="100"/>
    <x v="26"/>
    <x v="19"/>
    <n v="15087"/>
    <n v="30562.34"/>
    <n v="7"/>
    <n v="2165.1999999999998"/>
    <n v="0.1"/>
    <n v="6.9"/>
  </r>
  <r>
    <x v="100"/>
    <x v="27"/>
    <x v="4"/>
    <n v="29564"/>
    <n v="67115.37"/>
    <n v="6.46"/>
    <n v="4597.1000000000004"/>
    <n v="0.28599999999999998"/>
    <n v="6.7"/>
  </r>
  <r>
    <x v="100"/>
    <x v="28"/>
    <x v="0"/>
    <n v="33836"/>
    <n v="73211.240000000005"/>
    <n v="6.3"/>
    <n v="5390.6"/>
    <n v="0.42299999999999999"/>
    <n v="7.3"/>
  </r>
  <r>
    <x v="100"/>
    <x v="29"/>
    <x v="8"/>
    <n v="26411"/>
    <n v="58414.97"/>
    <n v="6.39"/>
    <n v="4210.8"/>
    <n v="0.5"/>
    <n v="6.2"/>
  </r>
  <r>
    <x v="100"/>
    <x v="30"/>
    <x v="6"/>
    <n v="33505"/>
    <n v="73114.23"/>
    <n v="6.49"/>
    <n v="5224.8"/>
    <n v="0.33300000000000002"/>
    <n v="6.7"/>
  </r>
  <r>
    <x v="100"/>
    <x v="31"/>
    <x v="9"/>
    <n v="27892"/>
    <n v="63381.88"/>
    <n v="6.46"/>
    <n v="4411.1000000000004"/>
    <n v="0.47099999999999997"/>
    <n v="6.7"/>
  </r>
  <r>
    <x v="100"/>
    <x v="32"/>
    <x v="6"/>
    <n v="31849"/>
    <n v="71872.759999999995"/>
    <n v="6.39"/>
    <n v="5032.8999999999996"/>
    <n v="0.38100000000000001"/>
    <n v="6.9"/>
  </r>
  <r>
    <x v="100"/>
    <x v="33"/>
    <x v="8"/>
    <n v="20415"/>
    <n v="44254.78"/>
    <n v="6.61"/>
    <n v="3132.6"/>
    <n v="0.438"/>
    <n v="7.8"/>
  </r>
  <r>
    <x v="100"/>
    <x v="34"/>
    <x v="2"/>
    <n v="22112"/>
    <n v="46236.68"/>
    <n v="6.43"/>
    <n v="3502.3"/>
    <n v="0.55000000000000004"/>
    <n v="5.8"/>
  </r>
  <r>
    <x v="100"/>
    <x v="35"/>
    <x v="9"/>
    <n v="27952"/>
    <n v="63481.16"/>
    <n v="6.52"/>
    <n v="4264"/>
    <n v="0.47099999999999997"/>
    <n v="6"/>
  </r>
  <r>
    <x v="101"/>
    <x v="0"/>
    <x v="8"/>
    <n v="26327"/>
    <n v="54588.44"/>
    <n v="6.62"/>
    <n v="4026.9"/>
    <n v="0.5"/>
    <n v="7.5"/>
  </r>
  <r>
    <x v="101"/>
    <x v="1"/>
    <x v="8"/>
    <n v="24162"/>
    <n v="49067.93"/>
    <n v="6.43"/>
    <n v="3882.6"/>
    <n v="0.5"/>
    <n v="7.5"/>
  </r>
  <r>
    <x v="101"/>
    <x v="2"/>
    <x v="15"/>
    <n v="30027"/>
    <n v="63938.32"/>
    <n v="6.58"/>
    <n v="4609"/>
    <n v="0.34799999999999998"/>
    <n v="6.9"/>
  </r>
  <r>
    <x v="101"/>
    <x v="3"/>
    <x v="4"/>
    <n v="18942"/>
    <n v="44822.54"/>
    <n v="6.33"/>
    <n v="3034.3"/>
    <n v="0.5"/>
    <n v="8.1999999999999993"/>
  </r>
  <r>
    <x v="101"/>
    <x v="4"/>
    <x v="8"/>
    <n v="23611"/>
    <n v="51334.65"/>
    <n v="6.6"/>
    <n v="3583.2"/>
    <n v="0.188"/>
    <n v="7.8"/>
  </r>
  <r>
    <x v="101"/>
    <x v="5"/>
    <x v="9"/>
    <n v="26135"/>
    <n v="53254.82"/>
    <n v="6.35"/>
    <n v="4202.6000000000004"/>
    <n v="0.35299999999999998"/>
    <n v="7.8"/>
  </r>
  <r>
    <x v="101"/>
    <x v="6"/>
    <x v="9"/>
    <n v="19084"/>
    <n v="39633.49"/>
    <n v="6.51"/>
    <n v="2942.6"/>
    <n v="0.11799999999999999"/>
    <n v="6.7"/>
  </r>
  <r>
    <x v="101"/>
    <x v="7"/>
    <x v="2"/>
    <n v="28988"/>
    <n v="63083.66"/>
    <n v="6.62"/>
    <n v="4454.8999999999996"/>
    <n v="0.25"/>
    <n v="6.5"/>
  </r>
  <r>
    <x v="101"/>
    <x v="8"/>
    <x v="9"/>
    <n v="25197"/>
    <n v="54487.56"/>
    <n v="6.34"/>
    <n v="4020.9"/>
    <n v="0.29399999999999998"/>
    <n v="7"/>
  </r>
  <r>
    <x v="101"/>
    <x v="9"/>
    <x v="8"/>
    <n v="19026"/>
    <n v="41605.99"/>
    <n v="6.65"/>
    <n v="2852.2"/>
    <n v="0.375"/>
    <n v="7"/>
  </r>
  <r>
    <x v="101"/>
    <x v="10"/>
    <x v="8"/>
    <n v="23531"/>
    <n v="54839.61"/>
    <n v="6.46"/>
    <n v="3701.4"/>
    <n v="0.5"/>
    <n v="5.5"/>
  </r>
  <r>
    <x v="101"/>
    <x v="11"/>
    <x v="6"/>
    <n v="30076"/>
    <n v="56650.49"/>
    <n v="6.67"/>
    <n v="4529.3999999999996"/>
    <n v="0.28599999999999998"/>
    <n v="7.8"/>
  </r>
  <r>
    <x v="101"/>
    <x v="12"/>
    <x v="8"/>
    <n v="22698"/>
    <n v="47037.11"/>
    <n v="6.19"/>
    <n v="3678.8"/>
    <n v="0.81200000000000006"/>
    <n v="7.3"/>
  </r>
  <r>
    <x v="101"/>
    <x v="13"/>
    <x v="14"/>
    <n v="27094"/>
    <n v="53675.39"/>
    <n v="6.55"/>
    <n v="4193.5"/>
    <n v="0.66700000000000004"/>
    <n v="6.3"/>
  </r>
  <r>
    <x v="101"/>
    <x v="14"/>
    <x v="8"/>
    <n v="22078"/>
    <n v="51203.4"/>
    <n v="6.51"/>
    <n v="3422.9"/>
    <n v="0.5"/>
    <n v="8.6"/>
  </r>
  <r>
    <x v="101"/>
    <x v="15"/>
    <x v="9"/>
    <n v="27635"/>
    <n v="61176.14"/>
    <n v="6.46"/>
    <n v="4350.8"/>
    <n v="0.41199999999999998"/>
    <n v="7.3"/>
  </r>
  <r>
    <x v="101"/>
    <x v="16"/>
    <x v="9"/>
    <n v="29094"/>
    <n v="55540.31"/>
    <n v="6.67"/>
    <n v="4448.3"/>
    <n v="0.41199999999999998"/>
    <n v="7.4"/>
  </r>
  <r>
    <x v="101"/>
    <x v="17"/>
    <x v="6"/>
    <n v="32707"/>
    <n v="73900.800000000003"/>
    <n v="6.36"/>
    <n v="5100.8"/>
    <n v="0.57099999999999995"/>
    <n v="7.3"/>
  </r>
  <r>
    <x v="101"/>
    <x v="18"/>
    <x v="12"/>
    <n v="26065"/>
    <n v="60463"/>
    <n v="6.52"/>
    <n v="3999.6"/>
    <n v="0.5"/>
    <n v="7.1"/>
  </r>
  <r>
    <x v="101"/>
    <x v="19"/>
    <x v="2"/>
    <n v="34497"/>
    <n v="75498.47"/>
    <n v="6.48"/>
    <n v="5309.4"/>
    <n v="0.35"/>
    <n v="6.9"/>
  </r>
  <r>
    <x v="101"/>
    <x v="20"/>
    <x v="6"/>
    <n v="29399"/>
    <n v="65636.66"/>
    <n v="6.5"/>
    <n v="4600.6000000000004"/>
    <n v="0.52400000000000002"/>
    <n v="6.7"/>
  </r>
  <r>
    <x v="101"/>
    <x v="21"/>
    <x v="12"/>
    <n v="26151"/>
    <n v="56598.11"/>
    <n v="6.43"/>
    <n v="4078"/>
    <n v="0.5"/>
    <n v="7.4"/>
  </r>
  <r>
    <x v="101"/>
    <x v="22"/>
    <x v="10"/>
    <n v="40694"/>
    <n v="85686.399999999994"/>
    <n v="6.36"/>
    <n v="6423"/>
    <n v="0.51900000000000002"/>
    <n v="6.8"/>
  </r>
  <r>
    <x v="101"/>
    <x v="23"/>
    <x v="12"/>
    <n v="26054"/>
    <n v="58045.68"/>
    <n v="6.55"/>
    <n v="4025.2"/>
    <n v="0.38900000000000001"/>
    <n v="6.7"/>
  </r>
  <r>
    <x v="101"/>
    <x v="24"/>
    <x v="0"/>
    <n v="36107"/>
    <n v="79157.100000000006"/>
    <n v="6.61"/>
    <n v="5403"/>
    <n v="0.23100000000000001"/>
    <n v="5.8"/>
  </r>
  <r>
    <x v="101"/>
    <x v="25"/>
    <x v="2"/>
    <n v="24684"/>
    <n v="53953.91"/>
    <n v="6.6"/>
    <n v="3727.9"/>
    <n v="0.45"/>
    <n v="6.5"/>
  </r>
  <r>
    <x v="101"/>
    <x v="26"/>
    <x v="14"/>
    <n v="21062"/>
    <n v="42930.1"/>
    <n v="6.44"/>
    <n v="3264.2"/>
    <n v="0.53300000000000003"/>
    <n v="8.3000000000000007"/>
  </r>
  <r>
    <x v="101"/>
    <x v="27"/>
    <x v="12"/>
    <n v="25211"/>
    <n v="53087.86"/>
    <n v="6.56"/>
    <n v="3805"/>
    <n v="0.66700000000000004"/>
    <n v="6.3"/>
  </r>
  <r>
    <x v="101"/>
    <x v="28"/>
    <x v="12"/>
    <n v="26952"/>
    <n v="60005.54"/>
    <n v="6.48"/>
    <n v="4212.7"/>
    <n v="0.44400000000000001"/>
    <n v="7.4"/>
  </r>
  <r>
    <x v="101"/>
    <x v="29"/>
    <x v="14"/>
    <n v="20377"/>
    <n v="40269.99"/>
    <n v="6.49"/>
    <n v="3197.4"/>
    <n v="0.46700000000000003"/>
    <n v="6.7"/>
  </r>
  <r>
    <x v="101"/>
    <x v="30"/>
    <x v="4"/>
    <n v="18096"/>
    <n v="41506.58"/>
    <n v="6.63"/>
    <n v="2715.1"/>
    <n v="0.35699999999999998"/>
    <n v="7.5"/>
  </r>
  <r>
    <x v="101"/>
    <x v="31"/>
    <x v="8"/>
    <n v="23171"/>
    <n v="53691.51"/>
    <n v="6.09"/>
    <n v="3837.3"/>
    <n v="0.312"/>
    <n v="7.4"/>
  </r>
  <r>
    <x v="101"/>
    <x v="32"/>
    <x v="0"/>
    <n v="37842"/>
    <n v="83645.41"/>
    <n v="6.55"/>
    <n v="5735.6"/>
    <n v="0.53800000000000003"/>
    <n v="7.2"/>
  </r>
  <r>
    <x v="101"/>
    <x v="33"/>
    <x v="6"/>
    <n v="23698"/>
    <n v="54654.74"/>
    <n v="6.27"/>
    <n v="3748.8"/>
    <n v="0.33300000000000002"/>
    <n v="7.5"/>
  </r>
  <r>
    <x v="101"/>
    <x v="34"/>
    <x v="4"/>
    <n v="18984"/>
    <n v="43503.62"/>
    <n v="6.52"/>
    <n v="2967.7"/>
    <n v="0.42899999999999999"/>
    <n v="6"/>
  </r>
  <r>
    <x v="101"/>
    <x v="35"/>
    <x v="6"/>
    <n v="32031"/>
    <n v="69017.39"/>
    <n v="6.47"/>
    <n v="4974.1000000000004"/>
    <n v="0.47599999999999998"/>
    <n v="6.5"/>
  </r>
  <r>
    <x v="102"/>
    <x v="0"/>
    <x v="15"/>
    <n v="34689"/>
    <n v="75339.83"/>
    <n v="6.38"/>
    <n v="5472"/>
    <n v="0.435"/>
    <n v="7.5"/>
  </r>
  <r>
    <x v="102"/>
    <x v="1"/>
    <x v="12"/>
    <n v="22043"/>
    <n v="46592.32"/>
    <n v="6.64"/>
    <n v="3429.3"/>
    <n v="0.16700000000000001"/>
    <n v="5.9"/>
  </r>
  <r>
    <x v="102"/>
    <x v="2"/>
    <x v="11"/>
    <n v="40945"/>
    <n v="87889.3"/>
    <n v="6.48"/>
    <n v="6351.1"/>
    <n v="0.625"/>
    <n v="7.9"/>
  </r>
  <r>
    <x v="102"/>
    <x v="3"/>
    <x v="8"/>
    <n v="15261"/>
    <n v="33207.21"/>
    <n v="6.5"/>
    <n v="2331.8000000000002"/>
    <n v="0.375"/>
    <n v="6.8"/>
  </r>
  <r>
    <x v="102"/>
    <x v="4"/>
    <x v="15"/>
    <n v="27215"/>
    <n v="57267.61"/>
    <n v="6.28"/>
    <n v="4338.3"/>
    <n v="0.56499999999999995"/>
    <n v="6.7"/>
  </r>
  <r>
    <x v="102"/>
    <x v="5"/>
    <x v="15"/>
    <n v="35605"/>
    <n v="71832.83"/>
    <n v="6.62"/>
    <n v="5542.1"/>
    <n v="0.34799999999999998"/>
    <n v="7.1"/>
  </r>
  <r>
    <x v="102"/>
    <x v="6"/>
    <x v="5"/>
    <n v="22821"/>
    <n v="48930.44"/>
    <n v="6.41"/>
    <n v="3611"/>
    <n v="0.38500000000000001"/>
    <n v="7.9"/>
  </r>
  <r>
    <x v="102"/>
    <x v="7"/>
    <x v="9"/>
    <n v="25122"/>
    <n v="52350.91"/>
    <n v="6.64"/>
    <n v="3785.9"/>
    <n v="0.23499999999999999"/>
    <n v="7.5"/>
  </r>
  <r>
    <x v="102"/>
    <x v="8"/>
    <x v="12"/>
    <n v="29793"/>
    <n v="55213.58"/>
    <n v="6.74"/>
    <n v="4418.8"/>
    <n v="0.222"/>
    <n v="6.7"/>
  </r>
  <r>
    <x v="102"/>
    <x v="9"/>
    <x v="9"/>
    <n v="20690"/>
    <n v="42963.7"/>
    <n v="6.65"/>
    <n v="3112.6"/>
    <n v="0.58799999999999997"/>
    <n v="5.6"/>
  </r>
  <r>
    <x v="102"/>
    <x v="10"/>
    <x v="2"/>
    <n v="27486"/>
    <n v="59682.42"/>
    <n v="6.48"/>
    <n v="4326.8"/>
    <n v="0.4"/>
    <n v="6.2"/>
  </r>
  <r>
    <x v="102"/>
    <x v="11"/>
    <x v="8"/>
    <n v="25679"/>
    <n v="52975.14"/>
    <n v="6.53"/>
    <n v="4018.5"/>
    <n v="0.25"/>
    <n v="6"/>
  </r>
  <r>
    <x v="102"/>
    <x v="12"/>
    <x v="17"/>
    <n v="32912"/>
    <n v="67899.149999999994"/>
    <n v="6.49"/>
    <n v="4967.8999999999996"/>
    <n v="0.68"/>
    <n v="7.3"/>
  </r>
  <r>
    <x v="102"/>
    <x v="13"/>
    <x v="3"/>
    <n v="28251"/>
    <n v="54812.160000000003"/>
    <n v="6.25"/>
    <n v="4540.1000000000004"/>
    <n v="0.42099999999999999"/>
    <n v="7.2"/>
  </r>
  <r>
    <x v="102"/>
    <x v="14"/>
    <x v="11"/>
    <n v="33431"/>
    <n v="77767.649999999994"/>
    <n v="6.51"/>
    <n v="5175.7"/>
    <n v="0.375"/>
    <n v="6.7"/>
  </r>
  <r>
    <x v="102"/>
    <x v="15"/>
    <x v="6"/>
    <n v="23696"/>
    <n v="51440.04"/>
    <n v="6.51"/>
    <n v="3724.5"/>
    <n v="0.57099999999999995"/>
    <n v="6.5"/>
  </r>
  <r>
    <x v="102"/>
    <x v="16"/>
    <x v="12"/>
    <n v="24524"/>
    <n v="52129.68"/>
    <n v="6.57"/>
    <n v="3762.8"/>
    <n v="0.33300000000000002"/>
    <n v="6.2"/>
  </r>
  <r>
    <x v="102"/>
    <x v="17"/>
    <x v="25"/>
    <n v="46748"/>
    <n v="106768.71"/>
    <n v="6.57"/>
    <n v="7095.9"/>
    <n v="0.51600000000000001"/>
    <n v="6.8"/>
  </r>
  <r>
    <x v="102"/>
    <x v="18"/>
    <x v="0"/>
    <n v="34945"/>
    <n v="76002.25"/>
    <n v="6.52"/>
    <n v="5317.3"/>
    <n v="0.192"/>
    <n v="7.3"/>
  </r>
  <r>
    <x v="102"/>
    <x v="19"/>
    <x v="2"/>
    <n v="31544"/>
    <n v="66534.59"/>
    <n v="6.35"/>
    <n v="5044.7"/>
    <n v="0.5"/>
    <n v="7.1"/>
  </r>
  <r>
    <x v="102"/>
    <x v="20"/>
    <x v="7"/>
    <n v="13694"/>
    <n v="27191.39"/>
    <n v="6.3"/>
    <n v="2188.1999999999998"/>
    <n v="0.5"/>
    <n v="7.8"/>
  </r>
  <r>
    <x v="102"/>
    <x v="21"/>
    <x v="2"/>
    <n v="27289"/>
    <n v="57604.28"/>
    <n v="6.57"/>
    <n v="4298.8999999999996"/>
    <n v="0.5"/>
    <n v="7"/>
  </r>
  <r>
    <x v="102"/>
    <x v="22"/>
    <x v="3"/>
    <n v="23980"/>
    <n v="53205.36"/>
    <n v="6.5"/>
    <n v="3753.3"/>
    <n v="0.78900000000000003"/>
    <n v="7.3"/>
  </r>
  <r>
    <x v="102"/>
    <x v="23"/>
    <x v="2"/>
    <n v="29309"/>
    <n v="66274.34"/>
    <n v="6.27"/>
    <n v="4755"/>
    <n v="0.45"/>
    <n v="7"/>
  </r>
  <r>
    <x v="102"/>
    <x v="24"/>
    <x v="12"/>
    <n v="19432"/>
    <n v="43070.17"/>
    <n v="6.76"/>
    <n v="2896.8"/>
    <n v="0.27800000000000002"/>
    <n v="7.6"/>
  </r>
  <r>
    <x v="102"/>
    <x v="25"/>
    <x v="9"/>
    <n v="21712"/>
    <n v="46887.07"/>
    <n v="6.57"/>
    <n v="3347.3"/>
    <n v="0.41199999999999998"/>
    <n v="8.1"/>
  </r>
  <r>
    <x v="102"/>
    <x v="26"/>
    <x v="13"/>
    <n v="25630"/>
    <n v="54604.25"/>
    <n v="6.68"/>
    <n v="3897.5"/>
    <n v="0.36399999999999999"/>
    <n v="7.1"/>
  </r>
  <r>
    <x v="102"/>
    <x v="27"/>
    <x v="12"/>
    <n v="21771"/>
    <n v="47339.97"/>
    <n v="6.36"/>
    <n v="3493.5"/>
    <n v="0.33300000000000002"/>
    <n v="5.9"/>
  </r>
  <r>
    <x v="102"/>
    <x v="28"/>
    <x v="3"/>
    <n v="30326"/>
    <n v="73172.97"/>
    <n v="6.5"/>
    <n v="4712.8999999999996"/>
    <n v="0.42099999999999999"/>
    <n v="6.4"/>
  </r>
  <r>
    <x v="102"/>
    <x v="29"/>
    <x v="6"/>
    <n v="32487"/>
    <n v="70595.06"/>
    <n v="6.86"/>
    <n v="4769.3999999999996"/>
    <n v="0.42899999999999999"/>
    <n v="6.8"/>
  </r>
  <r>
    <x v="102"/>
    <x v="30"/>
    <x v="9"/>
    <n v="25404"/>
    <n v="57104.89"/>
    <n v="6.62"/>
    <n v="3871.5"/>
    <n v="0.41199999999999998"/>
    <n v="6.7"/>
  </r>
  <r>
    <x v="102"/>
    <x v="31"/>
    <x v="12"/>
    <n v="28267"/>
    <n v="62054.53"/>
    <n v="6.32"/>
    <n v="4501.3"/>
    <n v="0.33300000000000002"/>
    <n v="6.8"/>
  </r>
  <r>
    <x v="102"/>
    <x v="32"/>
    <x v="1"/>
    <n v="8400"/>
    <n v="16996.91"/>
    <n v="6.65"/>
    <n v="1254.4000000000001"/>
    <n v="0.33300000000000002"/>
    <n v="9.5"/>
  </r>
  <r>
    <x v="102"/>
    <x v="33"/>
    <x v="2"/>
    <n v="31805"/>
    <n v="69427.28"/>
    <n v="6.78"/>
    <n v="4708.7"/>
    <n v="0.4"/>
    <n v="7.4"/>
  </r>
  <r>
    <x v="102"/>
    <x v="34"/>
    <x v="13"/>
    <n v="21699"/>
    <n v="46222.89"/>
    <n v="6.67"/>
    <n v="3271.5"/>
    <n v="0.54500000000000004"/>
    <n v="6.5"/>
  </r>
  <r>
    <x v="102"/>
    <x v="35"/>
    <x v="12"/>
    <n v="26234"/>
    <n v="55578.96"/>
    <n v="6.29"/>
    <n v="4227.3999999999996"/>
    <n v="0.5"/>
    <n v="6.5"/>
  </r>
  <r>
    <x v="103"/>
    <x v="0"/>
    <x v="2"/>
    <n v="23284"/>
    <n v="52925.17"/>
    <n v="6.49"/>
    <n v="3644.7"/>
    <n v="0.6"/>
    <n v="6.4"/>
  </r>
  <r>
    <x v="103"/>
    <x v="1"/>
    <x v="6"/>
    <n v="27156"/>
    <n v="62295.5"/>
    <n v="6.54"/>
    <n v="4228.8"/>
    <n v="0.52400000000000002"/>
    <n v="7.2"/>
  </r>
  <r>
    <x v="103"/>
    <x v="2"/>
    <x v="3"/>
    <n v="23249"/>
    <n v="51905.5"/>
    <n v="6.68"/>
    <n v="3473.1"/>
    <n v="0.63200000000000001"/>
    <n v="5.9"/>
  </r>
  <r>
    <x v="103"/>
    <x v="3"/>
    <x v="13"/>
    <n v="28501"/>
    <n v="60988.34"/>
    <n v="6.66"/>
    <n v="4327.5"/>
    <n v="0.40899999999999997"/>
    <n v="6.6"/>
  </r>
  <r>
    <x v="103"/>
    <x v="4"/>
    <x v="4"/>
    <n v="24499"/>
    <n v="49732.56"/>
    <n v="6.43"/>
    <n v="3723.4"/>
    <n v="0.64300000000000002"/>
    <n v="5.7"/>
  </r>
  <r>
    <x v="103"/>
    <x v="5"/>
    <x v="22"/>
    <n v="44549"/>
    <n v="91563.83"/>
    <n v="6.6"/>
    <n v="6815.9"/>
    <n v="0.53600000000000003"/>
    <n v="7.6"/>
  </r>
  <r>
    <x v="103"/>
    <x v="6"/>
    <x v="13"/>
    <n v="35476"/>
    <n v="82715.600000000006"/>
    <n v="6.49"/>
    <n v="5623.9"/>
    <n v="0.40899999999999997"/>
    <n v="8.1"/>
  </r>
  <r>
    <x v="103"/>
    <x v="7"/>
    <x v="3"/>
    <n v="27312"/>
    <n v="58214.38"/>
    <n v="6.37"/>
    <n v="4316.2"/>
    <n v="0.52600000000000002"/>
    <n v="5.8"/>
  </r>
  <r>
    <x v="103"/>
    <x v="8"/>
    <x v="2"/>
    <n v="28953"/>
    <n v="64633.81"/>
    <n v="6.51"/>
    <n v="4408.2"/>
    <n v="0.35"/>
    <n v="6.9"/>
  </r>
  <r>
    <x v="103"/>
    <x v="9"/>
    <x v="2"/>
    <n v="19245"/>
    <n v="41268.51"/>
    <n v="6.54"/>
    <n v="2998.8"/>
    <n v="0.2"/>
    <n v="6.8"/>
  </r>
  <r>
    <x v="103"/>
    <x v="10"/>
    <x v="2"/>
    <n v="29745"/>
    <n v="59719.6"/>
    <n v="6.43"/>
    <n v="4648.6000000000004"/>
    <n v="0.45"/>
    <n v="6.4"/>
  </r>
  <r>
    <x v="103"/>
    <x v="11"/>
    <x v="2"/>
    <n v="23133"/>
    <n v="49642.17"/>
    <n v="6.42"/>
    <n v="3600.9"/>
    <n v="0.35"/>
    <n v="7.9"/>
  </r>
  <r>
    <x v="103"/>
    <x v="12"/>
    <x v="5"/>
    <n v="20859"/>
    <n v="42620.480000000003"/>
    <n v="6.26"/>
    <n v="3345.6"/>
    <n v="0.46200000000000002"/>
    <n v="6.2"/>
  </r>
  <r>
    <x v="103"/>
    <x v="13"/>
    <x v="6"/>
    <n v="33010"/>
    <n v="71762.09"/>
    <n v="6.17"/>
    <n v="5460.2"/>
    <n v="0.42899999999999999"/>
    <n v="8.8000000000000007"/>
  </r>
  <r>
    <x v="103"/>
    <x v="14"/>
    <x v="15"/>
    <n v="41211"/>
    <n v="83174.080000000002"/>
    <n v="6.55"/>
    <n v="6410"/>
    <n v="0.39100000000000001"/>
    <n v="7"/>
  </r>
  <r>
    <x v="103"/>
    <x v="15"/>
    <x v="12"/>
    <n v="33241"/>
    <n v="70384.759999999995"/>
    <n v="6.61"/>
    <n v="5116"/>
    <n v="0.55600000000000005"/>
    <n v="7"/>
  </r>
  <r>
    <x v="103"/>
    <x v="16"/>
    <x v="21"/>
    <n v="12940"/>
    <n v="28890.84"/>
    <n v="6.28"/>
    <n v="2046.5"/>
    <n v="0.27300000000000002"/>
    <n v="6.9"/>
  </r>
  <r>
    <x v="103"/>
    <x v="17"/>
    <x v="13"/>
    <n v="33323"/>
    <n v="69300.509999999995"/>
    <n v="6.47"/>
    <n v="5214"/>
    <n v="0.27300000000000002"/>
    <n v="7.4"/>
  </r>
  <r>
    <x v="103"/>
    <x v="18"/>
    <x v="10"/>
    <n v="45622"/>
    <n v="96886.91"/>
    <n v="6.65"/>
    <n v="6915.4"/>
    <n v="0.59299999999999997"/>
    <n v="7.2"/>
  </r>
  <r>
    <x v="103"/>
    <x v="19"/>
    <x v="15"/>
    <n v="32145"/>
    <n v="68500.08"/>
    <n v="6.65"/>
    <n v="4774.3999999999996"/>
    <n v="0.39100000000000001"/>
    <n v="7"/>
  </r>
  <r>
    <x v="103"/>
    <x v="20"/>
    <x v="3"/>
    <n v="26947"/>
    <n v="55808.800000000003"/>
    <n v="6.52"/>
    <n v="4074.4"/>
    <n v="0.42099999999999999"/>
    <n v="6.4"/>
  </r>
  <r>
    <x v="103"/>
    <x v="21"/>
    <x v="7"/>
    <n v="12068"/>
    <n v="22544.04"/>
    <n v="6.54"/>
    <n v="1861.2"/>
    <n v="0.5"/>
    <n v="5.6"/>
  </r>
  <r>
    <x v="103"/>
    <x v="22"/>
    <x v="3"/>
    <n v="27383"/>
    <n v="66570.25"/>
    <n v="6.68"/>
    <n v="4046.8"/>
    <n v="0.52600000000000002"/>
    <n v="7.6"/>
  </r>
  <r>
    <x v="103"/>
    <x v="23"/>
    <x v="0"/>
    <n v="38066"/>
    <n v="87183.8"/>
    <n v="6.61"/>
    <n v="5742.2"/>
    <n v="0.5"/>
    <n v="6.8"/>
  </r>
  <r>
    <x v="103"/>
    <x v="24"/>
    <x v="2"/>
    <n v="25088"/>
    <n v="56444.18"/>
    <n v="6.46"/>
    <n v="3973.9"/>
    <n v="0.6"/>
    <n v="8.3000000000000007"/>
  </r>
  <r>
    <x v="103"/>
    <x v="25"/>
    <x v="14"/>
    <n v="20971"/>
    <n v="43658.79"/>
    <n v="6.44"/>
    <n v="3343.3"/>
    <n v="0.26700000000000002"/>
    <n v="7"/>
  </r>
  <r>
    <x v="103"/>
    <x v="26"/>
    <x v="9"/>
    <n v="23809"/>
    <n v="52354.21"/>
    <n v="6.46"/>
    <n v="3629.3"/>
    <n v="0.35299999999999998"/>
    <n v="6.6"/>
  </r>
  <r>
    <x v="103"/>
    <x v="27"/>
    <x v="5"/>
    <n v="17637"/>
    <n v="36951.279999999999"/>
    <n v="6.42"/>
    <n v="2788.1"/>
    <n v="0.308"/>
    <n v="7"/>
  </r>
  <r>
    <x v="103"/>
    <x v="28"/>
    <x v="14"/>
    <n v="20983"/>
    <n v="37513.1"/>
    <n v="6.51"/>
    <n v="3312.4"/>
    <n v="0.33300000000000002"/>
    <n v="7.5"/>
  </r>
  <r>
    <x v="103"/>
    <x v="29"/>
    <x v="6"/>
    <n v="25344"/>
    <n v="51436.35"/>
    <n v="6.37"/>
    <n v="3893.2"/>
    <n v="0.42899999999999999"/>
    <n v="6.4"/>
  </r>
  <r>
    <x v="103"/>
    <x v="30"/>
    <x v="12"/>
    <n v="26893"/>
    <n v="60355.96"/>
    <n v="6.19"/>
    <n v="4433.6000000000004"/>
    <n v="0.44400000000000001"/>
    <n v="7.5"/>
  </r>
  <r>
    <x v="103"/>
    <x v="31"/>
    <x v="9"/>
    <n v="25926"/>
    <n v="57449.94"/>
    <n v="6.56"/>
    <n v="3963.7"/>
    <n v="0.35299999999999998"/>
    <n v="8.3000000000000007"/>
  </r>
  <r>
    <x v="103"/>
    <x v="32"/>
    <x v="2"/>
    <n v="25603"/>
    <n v="55729"/>
    <n v="6.73"/>
    <n v="3767.2"/>
    <n v="0.45"/>
    <n v="7.9"/>
  </r>
  <r>
    <x v="103"/>
    <x v="33"/>
    <x v="12"/>
    <n v="30463"/>
    <n v="71129.100000000006"/>
    <n v="6.52"/>
    <n v="4714.3999999999996"/>
    <n v="0.55600000000000005"/>
    <n v="6.6"/>
  </r>
  <r>
    <x v="103"/>
    <x v="34"/>
    <x v="15"/>
    <n v="27002"/>
    <n v="53253.47"/>
    <n v="6.42"/>
    <n v="4307.7"/>
    <n v="0.435"/>
    <n v="6.6"/>
  </r>
  <r>
    <x v="103"/>
    <x v="35"/>
    <x v="5"/>
    <n v="14494"/>
    <n v="29093.87"/>
    <n v="6.35"/>
    <n v="2255"/>
    <n v="0.46200000000000002"/>
    <n v="7.2"/>
  </r>
  <r>
    <x v="104"/>
    <x v="0"/>
    <x v="17"/>
    <n v="33893"/>
    <n v="61718.55"/>
    <n v="6.43"/>
    <n v="5295.7"/>
    <n v="0.52"/>
    <n v="6.8"/>
  </r>
  <r>
    <x v="104"/>
    <x v="1"/>
    <x v="9"/>
    <n v="28252"/>
    <n v="57903.85"/>
    <n v="6.42"/>
    <n v="4408.2"/>
    <n v="0.64700000000000002"/>
    <n v="6.7"/>
  </r>
  <r>
    <x v="104"/>
    <x v="2"/>
    <x v="7"/>
    <n v="18266"/>
    <n v="44360.74"/>
    <n v="6.2"/>
    <n v="2984.8"/>
    <n v="0.33300000000000002"/>
    <n v="6.8"/>
  </r>
  <r>
    <x v="104"/>
    <x v="3"/>
    <x v="9"/>
    <n v="23401"/>
    <n v="52896.51"/>
    <n v="6.25"/>
    <n v="3773.3"/>
    <n v="0.47099999999999997"/>
    <n v="7.5"/>
  </r>
  <r>
    <x v="104"/>
    <x v="4"/>
    <x v="17"/>
    <n v="37926"/>
    <n v="79637.59"/>
    <n v="6.48"/>
    <n v="5865.1"/>
    <n v="0.48"/>
    <n v="7.4"/>
  </r>
  <r>
    <x v="104"/>
    <x v="5"/>
    <x v="4"/>
    <n v="18039"/>
    <n v="35136.17"/>
    <n v="6.41"/>
    <n v="2822.3"/>
    <n v="0.57099999999999995"/>
    <n v="7.9"/>
  </r>
  <r>
    <x v="104"/>
    <x v="6"/>
    <x v="0"/>
    <n v="29142"/>
    <n v="62528.08"/>
    <n v="6.52"/>
    <n v="4529.6000000000004"/>
    <n v="0.46200000000000002"/>
    <n v="5.7"/>
  </r>
  <r>
    <x v="104"/>
    <x v="7"/>
    <x v="3"/>
    <n v="30033"/>
    <n v="68453.84"/>
    <n v="6.58"/>
    <n v="4548.8999999999996"/>
    <n v="0.42099999999999999"/>
    <n v="7.7"/>
  </r>
  <r>
    <x v="104"/>
    <x v="8"/>
    <x v="7"/>
    <n v="17166"/>
    <n v="40347.879999999997"/>
    <n v="6.22"/>
    <n v="2724.1"/>
    <n v="0.66700000000000004"/>
    <n v="7.8"/>
  </r>
  <r>
    <x v="104"/>
    <x v="9"/>
    <x v="3"/>
    <n v="26004"/>
    <n v="57849.66"/>
    <n v="6.54"/>
    <n v="4075.4"/>
    <n v="0.57899999999999996"/>
    <n v="8"/>
  </r>
  <r>
    <x v="104"/>
    <x v="10"/>
    <x v="14"/>
    <n v="28554"/>
    <n v="62732.2"/>
    <n v="6.17"/>
    <n v="4668"/>
    <n v="0.4"/>
    <n v="6.8"/>
  </r>
  <r>
    <x v="104"/>
    <x v="11"/>
    <x v="2"/>
    <n v="30395"/>
    <n v="65619.240000000005"/>
    <n v="6.3"/>
    <n v="4921.5"/>
    <n v="0.5"/>
    <n v="6.4"/>
  </r>
  <r>
    <x v="104"/>
    <x v="12"/>
    <x v="21"/>
    <n v="14108"/>
    <n v="29631.599999999999"/>
    <n v="6.44"/>
    <n v="2199.3000000000002"/>
    <n v="0.45500000000000002"/>
    <n v="6.4"/>
  </r>
  <r>
    <x v="104"/>
    <x v="13"/>
    <x v="8"/>
    <n v="20925"/>
    <n v="46146.95"/>
    <n v="6.21"/>
    <n v="3417.2"/>
    <n v="0.312"/>
    <n v="7.3"/>
  </r>
  <r>
    <x v="104"/>
    <x v="14"/>
    <x v="3"/>
    <n v="24292"/>
    <n v="48689.04"/>
    <n v="6.37"/>
    <n v="3770.6"/>
    <n v="0.316"/>
    <n v="7.4"/>
  </r>
  <r>
    <x v="104"/>
    <x v="15"/>
    <x v="12"/>
    <n v="29034"/>
    <n v="65401.61"/>
    <n v="6.47"/>
    <n v="4545.7"/>
    <n v="0.33300000000000002"/>
    <n v="6.9"/>
  </r>
  <r>
    <x v="104"/>
    <x v="16"/>
    <x v="7"/>
    <n v="15716"/>
    <n v="32503.32"/>
    <n v="6.59"/>
    <n v="2396.5"/>
    <n v="0.58299999999999996"/>
    <n v="6.4"/>
  </r>
  <r>
    <x v="104"/>
    <x v="17"/>
    <x v="9"/>
    <n v="21884"/>
    <n v="48216.3"/>
    <n v="6.3"/>
    <n v="3555.2"/>
    <n v="0.47099999999999997"/>
    <n v="6.9"/>
  </r>
  <r>
    <x v="104"/>
    <x v="18"/>
    <x v="14"/>
    <n v="23964"/>
    <n v="55124.2"/>
    <n v="6.69"/>
    <n v="3573.5"/>
    <n v="0.33300000000000002"/>
    <n v="7.1"/>
  </r>
  <r>
    <x v="104"/>
    <x v="19"/>
    <x v="8"/>
    <n v="20721"/>
    <n v="37583.86"/>
    <n v="6.41"/>
    <n v="3187.7"/>
    <n v="0.5"/>
    <n v="6.4"/>
  </r>
  <r>
    <x v="104"/>
    <x v="20"/>
    <x v="14"/>
    <n v="18780"/>
    <n v="37922.620000000003"/>
    <n v="6.13"/>
    <n v="3083.4"/>
    <n v="0.46700000000000003"/>
    <n v="7"/>
  </r>
  <r>
    <x v="104"/>
    <x v="21"/>
    <x v="22"/>
    <n v="34572"/>
    <n v="72185.66"/>
    <n v="6.62"/>
    <n v="5266.6"/>
    <n v="0.5"/>
    <n v="6.9"/>
  </r>
  <r>
    <x v="104"/>
    <x v="22"/>
    <x v="14"/>
    <n v="16365"/>
    <n v="35727.06"/>
    <n v="6.52"/>
    <n v="2577.6"/>
    <n v="0.53300000000000003"/>
    <n v="6"/>
  </r>
  <r>
    <x v="104"/>
    <x v="23"/>
    <x v="2"/>
    <n v="22645"/>
    <n v="50259.69"/>
    <n v="6.46"/>
    <n v="3493.3"/>
    <n v="0.35"/>
    <n v="6.5"/>
  </r>
  <r>
    <x v="104"/>
    <x v="24"/>
    <x v="6"/>
    <n v="25778"/>
    <n v="53430.93"/>
    <n v="6.61"/>
    <n v="3910.9"/>
    <n v="0.28599999999999998"/>
    <n v="5.8"/>
  </r>
  <r>
    <x v="104"/>
    <x v="25"/>
    <x v="12"/>
    <n v="28871"/>
    <n v="66364.2"/>
    <n v="6.37"/>
    <n v="4571.6000000000004"/>
    <n v="0.55600000000000005"/>
    <n v="7.3"/>
  </r>
  <r>
    <x v="104"/>
    <x v="26"/>
    <x v="13"/>
    <n v="33090"/>
    <n v="70074.5"/>
    <n v="6.5"/>
    <n v="5107.2"/>
    <n v="0.59099999999999997"/>
    <n v="6.3"/>
  </r>
  <r>
    <x v="104"/>
    <x v="27"/>
    <x v="14"/>
    <n v="24792"/>
    <n v="49892.59"/>
    <n v="6.65"/>
    <n v="3703.3"/>
    <n v="0.46700000000000003"/>
    <n v="7.8"/>
  </r>
  <r>
    <x v="104"/>
    <x v="28"/>
    <x v="22"/>
    <n v="41294"/>
    <n v="90685.35"/>
    <n v="6.62"/>
    <n v="6200.6"/>
    <n v="0.71399999999999997"/>
    <n v="7.7"/>
  </r>
  <r>
    <x v="104"/>
    <x v="29"/>
    <x v="9"/>
    <n v="27140"/>
    <n v="53504.79"/>
    <n v="6.51"/>
    <n v="4224.5"/>
    <n v="0.47099999999999997"/>
    <n v="7.1"/>
  </r>
  <r>
    <x v="104"/>
    <x v="30"/>
    <x v="23"/>
    <n v="52361"/>
    <n v="117786.2"/>
    <n v="6.51"/>
    <n v="8050.4"/>
    <n v="0.433"/>
    <n v="7.6"/>
  </r>
  <r>
    <x v="104"/>
    <x v="31"/>
    <x v="8"/>
    <n v="21779"/>
    <n v="43920.31"/>
    <n v="6.66"/>
    <n v="3274.2"/>
    <n v="0.312"/>
    <n v="8"/>
  </r>
  <r>
    <x v="104"/>
    <x v="32"/>
    <x v="9"/>
    <n v="25938"/>
    <n v="55974.46"/>
    <n v="6.61"/>
    <n v="3934.6"/>
    <n v="0.35299999999999998"/>
    <n v="6.7"/>
  </r>
  <r>
    <x v="104"/>
    <x v="33"/>
    <x v="17"/>
    <n v="28430"/>
    <n v="66322.03"/>
    <n v="6.54"/>
    <n v="4351.8999999999996"/>
    <n v="0.48"/>
    <n v="6.2"/>
  </r>
  <r>
    <x v="104"/>
    <x v="34"/>
    <x v="13"/>
    <n v="27747"/>
    <n v="58586.67"/>
    <n v="6.7"/>
    <n v="4098.5"/>
    <n v="0.40899999999999997"/>
    <n v="6.4"/>
  </r>
  <r>
    <x v="104"/>
    <x v="35"/>
    <x v="9"/>
    <n v="29870"/>
    <n v="65762.16"/>
    <n v="6.34"/>
    <n v="4767.8999999999996"/>
    <n v="0.41199999999999998"/>
    <n v="6.8"/>
  </r>
  <r>
    <x v="105"/>
    <x v="0"/>
    <x v="11"/>
    <n v="39026"/>
    <n v="90437.41"/>
    <n v="6.44"/>
    <n v="6106.4"/>
    <n v="0.125"/>
    <n v="7.5"/>
  </r>
  <r>
    <x v="105"/>
    <x v="1"/>
    <x v="8"/>
    <n v="26082"/>
    <n v="55338.99"/>
    <n v="6.71"/>
    <n v="3907"/>
    <n v="0.438"/>
    <n v="7.7"/>
  </r>
  <r>
    <x v="105"/>
    <x v="2"/>
    <x v="3"/>
    <n v="33247"/>
    <n v="73624.59"/>
    <n v="6.38"/>
    <n v="5289.2"/>
    <n v="0.36799999999999999"/>
    <n v="6.8"/>
  </r>
  <r>
    <x v="105"/>
    <x v="3"/>
    <x v="9"/>
    <n v="20212"/>
    <n v="42640.84"/>
    <n v="6.44"/>
    <n v="3248"/>
    <n v="0.52900000000000003"/>
    <n v="5.9"/>
  </r>
  <r>
    <x v="105"/>
    <x v="4"/>
    <x v="9"/>
    <n v="20168"/>
    <n v="45447.62"/>
    <n v="6.62"/>
    <n v="3081"/>
    <n v="0.41199999999999998"/>
    <n v="7.9"/>
  </r>
  <r>
    <x v="105"/>
    <x v="5"/>
    <x v="5"/>
    <n v="17615"/>
    <n v="43036.62"/>
    <n v="6.73"/>
    <n v="2633.2"/>
    <n v="0.308"/>
    <n v="7.4"/>
  </r>
  <r>
    <x v="105"/>
    <x v="6"/>
    <x v="10"/>
    <n v="38957"/>
    <n v="77766.990000000005"/>
    <n v="6.48"/>
    <n v="6080.6"/>
    <n v="0.37"/>
    <n v="6.4"/>
  </r>
  <r>
    <x v="105"/>
    <x v="7"/>
    <x v="8"/>
    <n v="25377"/>
    <n v="55035.98"/>
    <n v="6.55"/>
    <n v="3960.2"/>
    <n v="0.312"/>
    <n v="7.6"/>
  </r>
  <r>
    <x v="105"/>
    <x v="8"/>
    <x v="11"/>
    <n v="35880"/>
    <n v="77331.850000000006"/>
    <n v="6.54"/>
    <n v="5506.5"/>
    <n v="0.29199999999999998"/>
    <n v="7.8"/>
  </r>
  <r>
    <x v="105"/>
    <x v="9"/>
    <x v="7"/>
    <n v="15309"/>
    <n v="31709.96"/>
    <n v="6.5"/>
    <n v="2335.6"/>
    <n v="0.41699999999999998"/>
    <n v="6.4"/>
  </r>
  <r>
    <x v="105"/>
    <x v="10"/>
    <x v="14"/>
    <n v="23022"/>
    <n v="48674.239999999998"/>
    <n v="6.55"/>
    <n v="3514.7"/>
    <n v="0.2"/>
    <n v="7"/>
  </r>
  <r>
    <x v="105"/>
    <x v="11"/>
    <x v="12"/>
    <n v="29270"/>
    <n v="63030.21"/>
    <n v="6.17"/>
    <n v="4824.8999999999996"/>
    <n v="0.5"/>
    <n v="5.9"/>
  </r>
  <r>
    <x v="105"/>
    <x v="12"/>
    <x v="13"/>
    <n v="30846"/>
    <n v="62402.98"/>
    <n v="6.51"/>
    <n v="4727.3999999999996"/>
    <n v="0.54500000000000004"/>
    <n v="8.3000000000000007"/>
  </r>
  <r>
    <x v="105"/>
    <x v="13"/>
    <x v="9"/>
    <n v="29765"/>
    <n v="64358"/>
    <n v="6.38"/>
    <n v="4714"/>
    <n v="0.35299999999999998"/>
    <n v="5.8"/>
  </r>
  <r>
    <x v="105"/>
    <x v="14"/>
    <x v="11"/>
    <n v="36451"/>
    <n v="80277.59"/>
    <n v="6.64"/>
    <n v="5539.3"/>
    <n v="0.45800000000000002"/>
    <n v="6.7"/>
  </r>
  <r>
    <x v="105"/>
    <x v="15"/>
    <x v="17"/>
    <n v="42944"/>
    <n v="93805.6"/>
    <n v="6.56"/>
    <n v="6542.8"/>
    <n v="0.36"/>
    <n v="6.9"/>
  </r>
  <r>
    <x v="105"/>
    <x v="16"/>
    <x v="10"/>
    <n v="41189"/>
    <n v="87662.19"/>
    <n v="6.66"/>
    <n v="6324.5"/>
    <n v="0.40699999999999997"/>
    <n v="6.9"/>
  </r>
  <r>
    <x v="105"/>
    <x v="17"/>
    <x v="8"/>
    <n v="18419"/>
    <n v="42295.71"/>
    <n v="6.45"/>
    <n v="2879.2"/>
    <n v="0.375"/>
    <n v="7.3"/>
  </r>
  <r>
    <x v="105"/>
    <x v="18"/>
    <x v="14"/>
    <n v="27749"/>
    <n v="60910.66"/>
    <n v="6.73"/>
    <n v="4150.5"/>
    <n v="0.46700000000000003"/>
    <n v="7.1"/>
  </r>
  <r>
    <x v="105"/>
    <x v="19"/>
    <x v="6"/>
    <n v="33075"/>
    <n v="73918.06"/>
    <n v="6.21"/>
    <n v="5352.5"/>
    <n v="0.52400000000000002"/>
    <n v="6.8"/>
  </r>
  <r>
    <x v="105"/>
    <x v="20"/>
    <x v="21"/>
    <n v="13181"/>
    <n v="22969.119999999999"/>
    <n v="6.36"/>
    <n v="2075.8000000000002"/>
    <n v="0.36399999999999999"/>
    <n v="8.1999999999999993"/>
  </r>
  <r>
    <x v="105"/>
    <x v="21"/>
    <x v="3"/>
    <n v="28756"/>
    <n v="64324.959999999999"/>
    <n v="6.32"/>
    <n v="4549.1000000000004"/>
    <n v="0.26300000000000001"/>
    <n v="6.9"/>
  </r>
  <r>
    <x v="105"/>
    <x v="22"/>
    <x v="4"/>
    <n v="17946"/>
    <n v="37881.599999999999"/>
    <n v="6.66"/>
    <n v="2673"/>
    <n v="0.42899999999999999"/>
    <n v="6.2"/>
  </r>
  <r>
    <x v="105"/>
    <x v="23"/>
    <x v="21"/>
    <n v="14539"/>
    <n v="31066.11"/>
    <n v="6.76"/>
    <n v="2162.8000000000002"/>
    <n v="0.27300000000000002"/>
    <n v="7.3"/>
  </r>
  <r>
    <x v="105"/>
    <x v="24"/>
    <x v="22"/>
    <n v="41779"/>
    <n v="94800.05"/>
    <n v="6.43"/>
    <n v="6575.8"/>
    <n v="0.42899999999999999"/>
    <n v="6.5"/>
  </r>
  <r>
    <x v="105"/>
    <x v="25"/>
    <x v="12"/>
    <n v="25065"/>
    <n v="51990.19"/>
    <n v="6.48"/>
    <n v="3897.1"/>
    <n v="0.44400000000000001"/>
    <n v="6"/>
  </r>
  <r>
    <x v="105"/>
    <x v="26"/>
    <x v="22"/>
    <n v="39442"/>
    <n v="87431.039999999994"/>
    <n v="6.7"/>
    <n v="6000.5"/>
    <n v="0.35699999999999998"/>
    <n v="6.9"/>
  </r>
  <r>
    <x v="105"/>
    <x v="27"/>
    <x v="21"/>
    <n v="16670"/>
    <n v="37762.81"/>
    <n v="6.41"/>
    <n v="2633.1"/>
    <n v="0.72699999999999998"/>
    <n v="6.9"/>
  </r>
  <r>
    <x v="105"/>
    <x v="28"/>
    <x v="8"/>
    <n v="20699"/>
    <n v="46853.65"/>
    <n v="6.45"/>
    <n v="3202.3"/>
    <n v="0.625"/>
    <n v="8"/>
  </r>
  <r>
    <x v="105"/>
    <x v="29"/>
    <x v="3"/>
    <n v="27499"/>
    <n v="58155.11"/>
    <n v="6.34"/>
    <n v="4385.3999999999996"/>
    <n v="0.52600000000000002"/>
    <n v="8.6"/>
  </r>
  <r>
    <x v="105"/>
    <x v="30"/>
    <x v="13"/>
    <n v="30339"/>
    <n v="57263.16"/>
    <n v="6.28"/>
    <n v="4787.2"/>
    <n v="0.5"/>
    <n v="6.4"/>
  </r>
  <r>
    <x v="105"/>
    <x v="31"/>
    <x v="30"/>
    <n v="57954"/>
    <n v="124579.53"/>
    <n v="6.42"/>
    <n v="9007.5"/>
    <n v="0.57099999999999995"/>
    <n v="7.1"/>
  </r>
  <r>
    <x v="105"/>
    <x v="32"/>
    <x v="2"/>
    <n v="32789"/>
    <n v="70452.509999999995"/>
    <n v="6.54"/>
    <n v="5020.8999999999996"/>
    <n v="0.5"/>
    <n v="8"/>
  </r>
  <r>
    <x v="105"/>
    <x v="33"/>
    <x v="15"/>
    <n v="36471"/>
    <n v="82302.850000000006"/>
    <n v="6.49"/>
    <n v="5645.6"/>
    <n v="0.26100000000000001"/>
    <n v="6.1"/>
  </r>
  <r>
    <x v="105"/>
    <x v="34"/>
    <x v="12"/>
    <n v="23136"/>
    <n v="51982.65"/>
    <n v="6.56"/>
    <n v="3636.2"/>
    <n v="0.61099999999999999"/>
    <n v="5.0999999999999996"/>
  </r>
  <r>
    <x v="105"/>
    <x v="35"/>
    <x v="11"/>
    <n v="36240"/>
    <n v="82796.19"/>
    <n v="6.52"/>
    <n v="5624.7"/>
    <n v="0.5"/>
    <n v="7.9"/>
  </r>
  <r>
    <x v="106"/>
    <x v="0"/>
    <x v="7"/>
    <n v="17860"/>
    <n v="42071.64"/>
    <n v="6.5"/>
    <n v="2837.4"/>
    <n v="0.33300000000000002"/>
    <n v="7"/>
  </r>
  <r>
    <x v="106"/>
    <x v="1"/>
    <x v="9"/>
    <n v="29162"/>
    <n v="58002.559999999998"/>
    <n v="6.39"/>
    <n v="4608.6000000000004"/>
    <n v="0.35299999999999998"/>
    <n v="7.5"/>
  </r>
  <r>
    <x v="106"/>
    <x v="2"/>
    <x v="13"/>
    <n v="30057"/>
    <n v="62216.69"/>
    <n v="6.42"/>
    <n v="4679.1000000000004"/>
    <n v="0.5"/>
    <n v="6.6"/>
  </r>
  <r>
    <x v="106"/>
    <x v="3"/>
    <x v="3"/>
    <n v="32944"/>
    <n v="70978.86"/>
    <n v="6.54"/>
    <n v="5062.6000000000004"/>
    <n v="0.42099999999999999"/>
    <n v="7"/>
  </r>
  <r>
    <x v="106"/>
    <x v="4"/>
    <x v="3"/>
    <n v="23305"/>
    <n v="49340.15"/>
    <n v="6.36"/>
    <n v="3609.5"/>
    <n v="0.42099999999999999"/>
    <n v="6.6"/>
  </r>
  <r>
    <x v="106"/>
    <x v="5"/>
    <x v="11"/>
    <n v="39249"/>
    <n v="83035.320000000007"/>
    <n v="6.44"/>
    <n v="6184.8"/>
    <n v="0.58299999999999996"/>
    <n v="6.6"/>
  </r>
  <r>
    <x v="106"/>
    <x v="6"/>
    <x v="6"/>
    <n v="31007"/>
    <n v="65269.97"/>
    <n v="6.7"/>
    <n v="4641.8999999999996"/>
    <n v="0.23799999999999999"/>
    <n v="5.5"/>
  </r>
  <r>
    <x v="106"/>
    <x v="7"/>
    <x v="9"/>
    <n v="21443"/>
    <n v="47427.96"/>
    <n v="6.36"/>
    <n v="3425"/>
    <n v="0.64700000000000002"/>
    <n v="8.3000000000000007"/>
  </r>
  <r>
    <x v="106"/>
    <x v="8"/>
    <x v="4"/>
    <n v="16903"/>
    <n v="38301.120000000003"/>
    <n v="6.6"/>
    <n v="2513.1"/>
    <n v="0.5"/>
    <n v="6.9"/>
  </r>
  <r>
    <x v="106"/>
    <x v="9"/>
    <x v="2"/>
    <n v="27536"/>
    <n v="59677.85"/>
    <n v="6.46"/>
    <n v="4353.7"/>
    <n v="0.55000000000000004"/>
    <n v="7"/>
  </r>
  <r>
    <x v="106"/>
    <x v="10"/>
    <x v="14"/>
    <n v="21750"/>
    <n v="42338.58"/>
    <n v="6.68"/>
    <n v="3264.3"/>
    <n v="0.33300000000000002"/>
    <n v="5.9"/>
  </r>
  <r>
    <x v="106"/>
    <x v="11"/>
    <x v="9"/>
    <n v="28884"/>
    <n v="55516.5"/>
    <n v="6.5"/>
    <n v="4454"/>
    <n v="0.41199999999999998"/>
    <n v="7.6"/>
  </r>
  <r>
    <x v="106"/>
    <x v="12"/>
    <x v="9"/>
    <n v="24891"/>
    <n v="48717.120000000003"/>
    <n v="6.52"/>
    <n v="3852"/>
    <n v="0.41199999999999998"/>
    <n v="8"/>
  </r>
  <r>
    <x v="106"/>
    <x v="13"/>
    <x v="6"/>
    <n v="31685"/>
    <n v="67588.039999999994"/>
    <n v="6.73"/>
    <n v="4732.3999999999996"/>
    <n v="0.42899999999999999"/>
    <n v="7"/>
  </r>
  <r>
    <x v="106"/>
    <x v="14"/>
    <x v="3"/>
    <n v="25602"/>
    <n v="58077.17"/>
    <n v="6.44"/>
    <n v="3954.5"/>
    <n v="0.316"/>
    <n v="7"/>
  </r>
  <r>
    <x v="106"/>
    <x v="15"/>
    <x v="9"/>
    <n v="31011"/>
    <n v="65902.929999999993"/>
    <n v="6.4"/>
    <n v="4882.5"/>
    <n v="0.52900000000000003"/>
    <n v="8"/>
  </r>
  <r>
    <x v="106"/>
    <x v="16"/>
    <x v="9"/>
    <n v="22964"/>
    <n v="48333.59"/>
    <n v="6.52"/>
    <n v="3574.3"/>
    <n v="0.52900000000000003"/>
    <n v="7.8"/>
  </r>
  <r>
    <x v="106"/>
    <x v="17"/>
    <x v="9"/>
    <n v="21387"/>
    <n v="46652.31"/>
    <n v="6.34"/>
    <n v="3417.4"/>
    <n v="0.47099999999999997"/>
    <n v="7.4"/>
  </r>
  <r>
    <x v="106"/>
    <x v="18"/>
    <x v="15"/>
    <n v="35155"/>
    <n v="76141.05"/>
    <n v="6.31"/>
    <n v="5575.4"/>
    <n v="0.56499999999999995"/>
    <n v="8.4"/>
  </r>
  <r>
    <x v="106"/>
    <x v="19"/>
    <x v="3"/>
    <n v="30213"/>
    <n v="66713.490000000005"/>
    <n v="6.54"/>
    <n v="4708.7"/>
    <n v="0.26300000000000001"/>
    <n v="6.8"/>
  </r>
  <r>
    <x v="106"/>
    <x v="20"/>
    <x v="6"/>
    <n v="30107"/>
    <n v="64122.559999999998"/>
    <n v="6.21"/>
    <n v="4889.5"/>
    <n v="0.57099999999999995"/>
    <n v="6.8"/>
  </r>
  <r>
    <x v="106"/>
    <x v="21"/>
    <x v="8"/>
    <n v="28171"/>
    <n v="56630.78"/>
    <n v="6.33"/>
    <n v="4475.2"/>
    <n v="0.75"/>
    <n v="7.9"/>
  </r>
  <r>
    <x v="106"/>
    <x v="22"/>
    <x v="11"/>
    <n v="34232"/>
    <n v="73743.58"/>
    <n v="6.61"/>
    <n v="5212.2"/>
    <n v="0.375"/>
    <n v="6.7"/>
  </r>
  <r>
    <x v="106"/>
    <x v="23"/>
    <x v="2"/>
    <n v="25023"/>
    <n v="59197.8"/>
    <n v="6.61"/>
    <n v="3757.9"/>
    <n v="0.5"/>
    <n v="6.6"/>
  </r>
  <r>
    <x v="106"/>
    <x v="24"/>
    <x v="11"/>
    <n v="31272"/>
    <n v="72554.850000000006"/>
    <n v="6.75"/>
    <n v="4776.1000000000004"/>
    <n v="0.58299999999999996"/>
    <n v="6.6"/>
  </r>
  <r>
    <x v="106"/>
    <x v="25"/>
    <x v="2"/>
    <n v="33888"/>
    <n v="70878.83"/>
    <n v="6.7"/>
    <n v="5036.3"/>
    <n v="0.55000000000000004"/>
    <n v="7.1"/>
  </r>
  <r>
    <x v="106"/>
    <x v="26"/>
    <x v="3"/>
    <n v="24969"/>
    <n v="56258.05"/>
    <n v="6.51"/>
    <n v="3892.2"/>
    <n v="0.316"/>
    <n v="7.3"/>
  </r>
  <r>
    <x v="106"/>
    <x v="27"/>
    <x v="2"/>
    <n v="26930"/>
    <n v="59394.13"/>
    <n v="6.4"/>
    <n v="4263.5"/>
    <n v="0.55000000000000004"/>
    <n v="8.3000000000000007"/>
  </r>
  <r>
    <x v="106"/>
    <x v="28"/>
    <x v="5"/>
    <n v="20945"/>
    <n v="42923.25"/>
    <n v="6.66"/>
    <n v="3140.8"/>
    <n v="0.46200000000000002"/>
    <n v="6.1"/>
  </r>
  <r>
    <x v="106"/>
    <x v="29"/>
    <x v="2"/>
    <n v="33750"/>
    <n v="72534.86"/>
    <n v="6.56"/>
    <n v="5134.1000000000004"/>
    <n v="0.55000000000000004"/>
    <n v="6.5"/>
  </r>
  <r>
    <x v="106"/>
    <x v="30"/>
    <x v="0"/>
    <n v="34246"/>
    <n v="73025.72"/>
    <n v="6.67"/>
    <n v="5183.3"/>
    <n v="0.42299999999999999"/>
    <n v="6.6"/>
  </r>
  <r>
    <x v="106"/>
    <x v="31"/>
    <x v="14"/>
    <n v="17922"/>
    <n v="36950.120000000003"/>
    <n v="6.38"/>
    <n v="2844.6"/>
    <n v="0.13300000000000001"/>
    <n v="7.6"/>
  </r>
  <r>
    <x v="106"/>
    <x v="32"/>
    <x v="0"/>
    <n v="38945"/>
    <n v="88626.880000000005"/>
    <n v="6.58"/>
    <n v="5926.1"/>
    <n v="0.34599999999999997"/>
    <n v="7.9"/>
  </r>
  <r>
    <x v="106"/>
    <x v="33"/>
    <x v="14"/>
    <n v="22161"/>
    <n v="48713.77"/>
    <n v="6.57"/>
    <n v="3421.5"/>
    <n v="0.4"/>
    <n v="7.2"/>
  </r>
  <r>
    <x v="106"/>
    <x v="34"/>
    <x v="6"/>
    <n v="28836"/>
    <n v="59184.95"/>
    <n v="6.55"/>
    <n v="4366.6000000000004"/>
    <n v="0.42899999999999999"/>
    <n v="6.4"/>
  </r>
  <r>
    <x v="106"/>
    <x v="35"/>
    <x v="6"/>
    <n v="28883"/>
    <n v="62445.88"/>
    <n v="6.58"/>
    <n v="4435.8999999999996"/>
    <n v="0.47599999999999998"/>
    <n v="8.1"/>
  </r>
  <r>
    <x v="107"/>
    <x v="0"/>
    <x v="9"/>
    <n v="22613"/>
    <n v="48435.55"/>
    <n v="6.37"/>
    <n v="3557.5"/>
    <n v="0.41199999999999998"/>
    <n v="6.9"/>
  </r>
  <r>
    <x v="107"/>
    <x v="1"/>
    <x v="21"/>
    <n v="17982"/>
    <n v="35229.96"/>
    <n v="6.6"/>
    <n v="2754.8"/>
    <n v="0.45500000000000002"/>
    <n v="7.8"/>
  </r>
  <r>
    <x v="107"/>
    <x v="2"/>
    <x v="14"/>
    <n v="25249"/>
    <n v="57124.44"/>
    <n v="6.63"/>
    <n v="3791.9"/>
    <n v="0.53300000000000003"/>
    <n v="6.8"/>
  </r>
  <r>
    <x v="107"/>
    <x v="3"/>
    <x v="17"/>
    <n v="35338"/>
    <n v="72694.41"/>
    <n v="6.32"/>
    <n v="5611.2"/>
    <n v="0.36"/>
    <n v="7.3"/>
  </r>
  <r>
    <x v="107"/>
    <x v="4"/>
    <x v="2"/>
    <n v="23950"/>
    <n v="55779.58"/>
    <n v="6.54"/>
    <n v="3692.6"/>
    <n v="0.45"/>
    <n v="7.1"/>
  </r>
  <r>
    <x v="107"/>
    <x v="5"/>
    <x v="12"/>
    <n v="24440"/>
    <n v="50599.42"/>
    <n v="6.4"/>
    <n v="3785.2"/>
    <n v="0.5"/>
    <n v="6.2"/>
  </r>
  <r>
    <x v="107"/>
    <x v="6"/>
    <x v="2"/>
    <n v="30667"/>
    <n v="68601.990000000005"/>
    <n v="6.54"/>
    <n v="4678.3"/>
    <n v="0.5"/>
    <n v="6.3"/>
  </r>
  <r>
    <x v="107"/>
    <x v="7"/>
    <x v="2"/>
    <n v="26846"/>
    <n v="61596.12"/>
    <n v="6.67"/>
    <n v="4085.6"/>
    <n v="0.3"/>
    <n v="6.7"/>
  </r>
  <r>
    <x v="107"/>
    <x v="8"/>
    <x v="2"/>
    <n v="27573"/>
    <n v="59739.12"/>
    <n v="6.49"/>
    <n v="4235.1000000000004"/>
    <n v="0.6"/>
    <n v="7.6"/>
  </r>
  <r>
    <x v="107"/>
    <x v="9"/>
    <x v="6"/>
    <n v="24366"/>
    <n v="55650.21"/>
    <n v="6.45"/>
    <n v="3854.7"/>
    <n v="0.52400000000000002"/>
    <n v="7.1"/>
  </r>
  <r>
    <x v="107"/>
    <x v="10"/>
    <x v="12"/>
    <n v="23072"/>
    <n v="49254.36"/>
    <n v="6.73"/>
    <n v="3549"/>
    <n v="0.44400000000000001"/>
    <n v="7.2"/>
  </r>
  <r>
    <x v="107"/>
    <x v="11"/>
    <x v="4"/>
    <n v="20027"/>
    <n v="42333.5"/>
    <n v="6.59"/>
    <n v="3087.2"/>
    <n v="0.42899999999999999"/>
    <n v="7"/>
  </r>
  <r>
    <x v="107"/>
    <x v="12"/>
    <x v="8"/>
    <n v="23124"/>
    <n v="52123.42"/>
    <n v="6.79"/>
    <n v="3402.3"/>
    <n v="0.68799999999999994"/>
    <n v="6.9"/>
  </r>
  <r>
    <x v="107"/>
    <x v="13"/>
    <x v="4"/>
    <n v="26887"/>
    <n v="64817.02"/>
    <n v="6.44"/>
    <n v="4212.8"/>
    <n v="0.42899999999999999"/>
    <n v="7.2"/>
  </r>
  <r>
    <x v="107"/>
    <x v="14"/>
    <x v="2"/>
    <n v="26556"/>
    <n v="56774.26"/>
    <n v="6.42"/>
    <n v="4144.8999999999996"/>
    <n v="0.5"/>
    <n v="6"/>
  </r>
  <r>
    <x v="107"/>
    <x v="15"/>
    <x v="12"/>
    <n v="32083"/>
    <n v="69247"/>
    <n v="6.6"/>
    <n v="4933.6000000000004"/>
    <n v="0.33300000000000002"/>
    <n v="7.1"/>
  </r>
  <r>
    <x v="107"/>
    <x v="16"/>
    <x v="19"/>
    <n v="13602"/>
    <n v="28113.14"/>
    <n v="6.52"/>
    <n v="2121.6999999999998"/>
    <n v="0.4"/>
    <n v="6.5"/>
  </r>
  <r>
    <x v="107"/>
    <x v="17"/>
    <x v="23"/>
    <n v="45935"/>
    <n v="101166.82"/>
    <n v="6.47"/>
    <n v="7090.4"/>
    <n v="0.46700000000000003"/>
    <n v="6.5"/>
  </r>
  <r>
    <x v="107"/>
    <x v="18"/>
    <x v="3"/>
    <n v="30949"/>
    <n v="61934.76"/>
    <n v="6.31"/>
    <n v="4943.2"/>
    <n v="0.36799999999999999"/>
    <n v="7.7"/>
  </r>
  <r>
    <x v="107"/>
    <x v="19"/>
    <x v="9"/>
    <n v="27384"/>
    <n v="53947.48"/>
    <n v="6.63"/>
    <n v="4119.8999999999996"/>
    <n v="0.58799999999999997"/>
    <n v="7.8"/>
  </r>
  <r>
    <x v="107"/>
    <x v="20"/>
    <x v="14"/>
    <n v="18888"/>
    <n v="39044.83"/>
    <n v="6.51"/>
    <n v="2905.7"/>
    <n v="0.4"/>
    <n v="6.8"/>
  </r>
  <r>
    <x v="107"/>
    <x v="21"/>
    <x v="4"/>
    <n v="23162"/>
    <n v="52364.6"/>
    <n v="6.3"/>
    <n v="3581.6"/>
    <n v="0.42899999999999999"/>
    <n v="7.4"/>
  </r>
  <r>
    <x v="107"/>
    <x v="22"/>
    <x v="13"/>
    <n v="29160"/>
    <n v="61284.85"/>
    <n v="6.52"/>
    <n v="4573.8"/>
    <n v="0.318"/>
    <n v="6.6"/>
  </r>
  <r>
    <x v="107"/>
    <x v="23"/>
    <x v="11"/>
    <n v="35603"/>
    <n v="76230.77"/>
    <n v="6.35"/>
    <n v="5628"/>
    <n v="0.54200000000000004"/>
    <n v="6.7"/>
  </r>
  <r>
    <x v="107"/>
    <x v="24"/>
    <x v="11"/>
    <n v="34037"/>
    <n v="78919.350000000006"/>
    <n v="6.29"/>
    <n v="5451.3"/>
    <n v="0.41699999999999998"/>
    <n v="7.6"/>
  </r>
  <r>
    <x v="107"/>
    <x v="25"/>
    <x v="0"/>
    <n v="36630"/>
    <n v="77386.5"/>
    <n v="6.38"/>
    <n v="5668.4"/>
    <n v="0.5"/>
    <n v="7.6"/>
  </r>
  <r>
    <x v="107"/>
    <x v="26"/>
    <x v="12"/>
    <n v="29586"/>
    <n v="65448.78"/>
    <n v="6.51"/>
    <n v="4596.5"/>
    <n v="0.44400000000000001"/>
    <n v="7.9"/>
  </r>
  <r>
    <x v="107"/>
    <x v="27"/>
    <x v="11"/>
    <n v="35925"/>
    <n v="76235.990000000005"/>
    <n v="6.66"/>
    <n v="5413.4"/>
    <n v="0.5"/>
    <n v="6.4"/>
  </r>
  <r>
    <x v="107"/>
    <x v="28"/>
    <x v="11"/>
    <n v="40138"/>
    <n v="91828.21"/>
    <n v="6.35"/>
    <n v="6414.6"/>
    <n v="0.29199999999999998"/>
    <n v="6.3"/>
  </r>
  <r>
    <x v="107"/>
    <x v="29"/>
    <x v="2"/>
    <n v="25178"/>
    <n v="51994.59"/>
    <n v="6.5"/>
    <n v="3875.6"/>
    <n v="0.4"/>
    <n v="6"/>
  </r>
  <r>
    <x v="107"/>
    <x v="30"/>
    <x v="13"/>
    <n v="30881"/>
    <n v="66592"/>
    <n v="6.52"/>
    <n v="4763.3"/>
    <n v="0.318"/>
    <n v="6.7"/>
  </r>
  <r>
    <x v="107"/>
    <x v="31"/>
    <x v="15"/>
    <n v="31606"/>
    <n v="65340.53"/>
    <n v="6.44"/>
    <n v="4997.7"/>
    <n v="0.39100000000000001"/>
    <n v="6.6"/>
  </r>
  <r>
    <x v="107"/>
    <x v="32"/>
    <x v="8"/>
    <n v="24692"/>
    <n v="55247.95"/>
    <n v="6.27"/>
    <n v="4038.1"/>
    <n v="0.5"/>
    <n v="7.1"/>
  </r>
  <r>
    <x v="107"/>
    <x v="33"/>
    <x v="9"/>
    <n v="29310"/>
    <n v="68284.990000000005"/>
    <n v="6.68"/>
    <n v="4344.2"/>
    <n v="0.35299999999999998"/>
    <n v="6.6"/>
  </r>
  <r>
    <x v="107"/>
    <x v="34"/>
    <x v="13"/>
    <n v="31792"/>
    <n v="69901.990000000005"/>
    <n v="6.68"/>
    <n v="4799.2"/>
    <n v="0.63600000000000001"/>
    <n v="6.9"/>
  </r>
  <r>
    <x v="107"/>
    <x v="35"/>
    <x v="5"/>
    <n v="20255"/>
    <n v="43882.41"/>
    <n v="6.45"/>
    <n v="3174.1"/>
    <n v="0.38500000000000001"/>
    <n v="7.1"/>
  </r>
  <r>
    <x v="108"/>
    <x v="0"/>
    <x v="21"/>
    <n v="14495"/>
    <n v="31589.71"/>
    <n v="6.26"/>
    <n v="2329.6"/>
    <n v="0.36399999999999999"/>
    <n v="5"/>
  </r>
  <r>
    <x v="108"/>
    <x v="1"/>
    <x v="12"/>
    <n v="22534"/>
    <n v="47039.05"/>
    <n v="6.29"/>
    <n v="3555"/>
    <n v="0.27800000000000002"/>
    <n v="7.6"/>
  </r>
  <r>
    <x v="108"/>
    <x v="2"/>
    <x v="2"/>
    <n v="26465"/>
    <n v="58013.39"/>
    <n v="6.27"/>
    <n v="4293.8"/>
    <n v="0.45"/>
    <n v="6.7"/>
  </r>
  <r>
    <x v="108"/>
    <x v="3"/>
    <x v="14"/>
    <n v="23832"/>
    <n v="55008.41"/>
    <n v="6.48"/>
    <n v="3706.8"/>
    <n v="0.33300000000000002"/>
    <n v="7.1"/>
  </r>
  <r>
    <x v="108"/>
    <x v="4"/>
    <x v="0"/>
    <n v="41994"/>
    <n v="94107.81"/>
    <n v="6.61"/>
    <n v="6472.2"/>
    <n v="0.34599999999999997"/>
    <n v="6.2"/>
  </r>
  <r>
    <x v="108"/>
    <x v="5"/>
    <x v="15"/>
    <n v="35211"/>
    <n v="71755.67"/>
    <n v="6.38"/>
    <n v="5626.9"/>
    <n v="0.39100000000000001"/>
    <n v="6.6"/>
  </r>
  <r>
    <x v="108"/>
    <x v="6"/>
    <x v="12"/>
    <n v="21030"/>
    <n v="47104.99"/>
    <n v="6.27"/>
    <n v="3384.5"/>
    <n v="0.33300000000000002"/>
    <n v="6.4"/>
  </r>
  <r>
    <x v="108"/>
    <x v="7"/>
    <x v="19"/>
    <n v="9585"/>
    <n v="22908.99"/>
    <n v="6.63"/>
    <n v="1500.7"/>
    <n v="0.7"/>
    <n v="8.8000000000000007"/>
  </r>
  <r>
    <x v="108"/>
    <x v="8"/>
    <x v="6"/>
    <n v="32237"/>
    <n v="75939.63"/>
    <n v="6.55"/>
    <n v="4935.8"/>
    <n v="0.38100000000000001"/>
    <n v="6.6"/>
  </r>
  <r>
    <x v="108"/>
    <x v="9"/>
    <x v="6"/>
    <n v="36116"/>
    <n v="82088.05"/>
    <n v="6.41"/>
    <n v="5626.6"/>
    <n v="0.57099999999999995"/>
    <n v="7.8"/>
  </r>
  <r>
    <x v="108"/>
    <x v="10"/>
    <x v="17"/>
    <n v="35807"/>
    <n v="70491.399999999994"/>
    <n v="6.38"/>
    <n v="5659.6"/>
    <n v="0.52"/>
    <n v="6.7"/>
  </r>
  <r>
    <x v="108"/>
    <x v="11"/>
    <x v="11"/>
    <n v="30405"/>
    <n v="63689.77"/>
    <n v="6.31"/>
    <n v="4933.7"/>
    <n v="0.33300000000000002"/>
    <n v="7.3"/>
  </r>
  <r>
    <x v="108"/>
    <x v="12"/>
    <x v="2"/>
    <n v="29156"/>
    <n v="61925.65"/>
    <n v="6.73"/>
    <n v="4349.5"/>
    <n v="0.5"/>
    <n v="7.4"/>
  </r>
  <r>
    <x v="108"/>
    <x v="13"/>
    <x v="7"/>
    <n v="16209"/>
    <n v="33582.68"/>
    <n v="6.55"/>
    <n v="2529.6999999999998"/>
    <n v="0.66700000000000004"/>
    <n v="5.2"/>
  </r>
  <r>
    <x v="108"/>
    <x v="14"/>
    <x v="2"/>
    <n v="26839"/>
    <n v="60064.75"/>
    <n v="6.29"/>
    <n v="4294.3999999999996"/>
    <n v="0.45"/>
    <n v="8.4"/>
  </r>
  <r>
    <x v="108"/>
    <x v="15"/>
    <x v="8"/>
    <n v="26648"/>
    <n v="59909.87"/>
    <n v="6.54"/>
    <n v="4128.7"/>
    <n v="0.312"/>
    <n v="6.1"/>
  </r>
  <r>
    <x v="108"/>
    <x v="16"/>
    <x v="0"/>
    <n v="30380"/>
    <n v="69423.78"/>
    <n v="6.52"/>
    <n v="4710.8999999999996"/>
    <n v="0.53800000000000003"/>
    <n v="7.2"/>
  </r>
  <r>
    <x v="108"/>
    <x v="17"/>
    <x v="29"/>
    <n v="9685"/>
    <n v="21710"/>
    <n v="6.58"/>
    <n v="1473.3"/>
    <n v="0.375"/>
    <n v="6.8"/>
  </r>
  <r>
    <x v="108"/>
    <x v="18"/>
    <x v="17"/>
    <n v="35330"/>
    <n v="77593.55"/>
    <n v="6.77"/>
    <n v="5207.3999999999996"/>
    <n v="0.48"/>
    <n v="7.9"/>
  </r>
  <r>
    <x v="108"/>
    <x v="19"/>
    <x v="13"/>
    <n v="29247"/>
    <n v="60613.94"/>
    <n v="6.4"/>
    <n v="4630.3999999999996"/>
    <n v="0.40899999999999997"/>
    <n v="6.6"/>
  </r>
  <r>
    <x v="108"/>
    <x v="20"/>
    <x v="12"/>
    <n v="25434"/>
    <n v="46516.78"/>
    <n v="6.4"/>
    <n v="4082.4"/>
    <n v="0.44400000000000001"/>
    <n v="7.4"/>
  </r>
  <r>
    <x v="108"/>
    <x v="21"/>
    <x v="8"/>
    <n v="27631"/>
    <n v="58342.239999999998"/>
    <n v="6.52"/>
    <n v="4307.3999999999996"/>
    <n v="0.375"/>
    <n v="7.6"/>
  </r>
  <r>
    <x v="108"/>
    <x v="22"/>
    <x v="11"/>
    <n v="35553"/>
    <n v="80961.69"/>
    <n v="6.26"/>
    <n v="5607.5"/>
    <n v="0.45800000000000002"/>
    <n v="7.4"/>
  </r>
  <r>
    <x v="108"/>
    <x v="23"/>
    <x v="22"/>
    <n v="40912"/>
    <n v="89908.55"/>
    <n v="6.46"/>
    <n v="6473.2"/>
    <n v="0.64300000000000002"/>
    <n v="6.3"/>
  </r>
  <r>
    <x v="108"/>
    <x v="24"/>
    <x v="4"/>
    <n v="19042"/>
    <n v="45179.43"/>
    <n v="6.52"/>
    <n v="2978.8"/>
    <n v="0.35699999999999998"/>
    <n v="5.8"/>
  </r>
  <r>
    <x v="108"/>
    <x v="25"/>
    <x v="17"/>
    <n v="35149"/>
    <n v="80330.86"/>
    <n v="6.37"/>
    <n v="5537.5"/>
    <n v="0.52"/>
    <n v="6.2"/>
  </r>
  <r>
    <x v="108"/>
    <x v="26"/>
    <x v="3"/>
    <n v="23226"/>
    <n v="51160.23"/>
    <n v="6.6"/>
    <n v="3590.2"/>
    <n v="0.42099999999999999"/>
    <n v="7.9"/>
  </r>
  <r>
    <x v="108"/>
    <x v="27"/>
    <x v="11"/>
    <n v="33743"/>
    <n v="69839.850000000006"/>
    <n v="6.37"/>
    <n v="5352.6"/>
    <n v="0.5"/>
    <n v="6.7"/>
  </r>
  <r>
    <x v="108"/>
    <x v="28"/>
    <x v="8"/>
    <n v="23954"/>
    <n v="54263.19"/>
    <n v="6.45"/>
    <n v="3686.3"/>
    <n v="0.625"/>
    <n v="6.9"/>
  </r>
  <r>
    <x v="108"/>
    <x v="29"/>
    <x v="3"/>
    <n v="24082"/>
    <n v="52996.79"/>
    <n v="6.53"/>
    <n v="3776.4"/>
    <n v="0.52600000000000002"/>
    <n v="7"/>
  </r>
  <r>
    <x v="108"/>
    <x v="30"/>
    <x v="6"/>
    <n v="21366"/>
    <n v="45314.46"/>
    <n v="6.45"/>
    <n v="3317.4"/>
    <n v="0.57099999999999995"/>
    <n v="7.7"/>
  </r>
  <r>
    <x v="108"/>
    <x v="31"/>
    <x v="14"/>
    <n v="23044"/>
    <n v="54607.79"/>
    <n v="6.36"/>
    <n v="3654.6"/>
    <n v="0.46700000000000003"/>
    <n v="8.1999999999999993"/>
  </r>
  <r>
    <x v="108"/>
    <x v="32"/>
    <x v="17"/>
    <n v="34660"/>
    <n v="74509.3"/>
    <n v="6.41"/>
    <n v="5431.2"/>
    <n v="0.44"/>
    <n v="6.9"/>
  </r>
  <r>
    <x v="108"/>
    <x v="33"/>
    <x v="4"/>
    <n v="22035"/>
    <n v="43535.65"/>
    <n v="6.56"/>
    <n v="3395.4"/>
    <n v="0.42899999999999999"/>
    <n v="7.1"/>
  </r>
  <r>
    <x v="108"/>
    <x v="34"/>
    <x v="12"/>
    <n v="19150"/>
    <n v="38497.379999999997"/>
    <n v="6.57"/>
    <n v="2973.1"/>
    <n v="0.44400000000000001"/>
    <n v="6.6"/>
  </r>
  <r>
    <x v="108"/>
    <x v="35"/>
    <x v="11"/>
    <n v="31758"/>
    <n v="67848.7"/>
    <n v="6.38"/>
    <n v="5061.2"/>
    <n v="0.25"/>
    <n v="7.6"/>
  </r>
  <r>
    <x v="109"/>
    <x v="0"/>
    <x v="17"/>
    <n v="33676"/>
    <n v="75353.78"/>
    <n v="6.66"/>
    <n v="5136.8999999999996"/>
    <n v="0.36"/>
    <n v="6.8"/>
  </r>
  <r>
    <x v="109"/>
    <x v="1"/>
    <x v="7"/>
    <n v="15987"/>
    <n v="38367.379999999997"/>
    <n v="6.51"/>
    <n v="2420.8000000000002"/>
    <n v="0.33300000000000002"/>
    <n v="7.2"/>
  </r>
  <r>
    <x v="109"/>
    <x v="2"/>
    <x v="13"/>
    <n v="37231"/>
    <n v="80123.460000000006"/>
    <n v="6.54"/>
    <n v="5773.1"/>
    <n v="0.40899999999999997"/>
    <n v="6.3"/>
  </r>
  <r>
    <x v="109"/>
    <x v="3"/>
    <x v="8"/>
    <n v="21858"/>
    <n v="44150.91"/>
    <n v="6.64"/>
    <n v="3233.6"/>
    <n v="0.5"/>
    <n v="6.1"/>
  </r>
  <r>
    <x v="109"/>
    <x v="4"/>
    <x v="0"/>
    <n v="40723"/>
    <n v="88253.56"/>
    <n v="6.51"/>
    <n v="6441.8"/>
    <n v="0.34599999999999997"/>
    <n v="6.9"/>
  </r>
  <r>
    <x v="109"/>
    <x v="5"/>
    <x v="11"/>
    <n v="25794"/>
    <n v="57370.15"/>
    <n v="6.59"/>
    <n v="3954.5"/>
    <n v="0.29199999999999998"/>
    <n v="6.9"/>
  </r>
  <r>
    <x v="109"/>
    <x v="6"/>
    <x v="19"/>
    <n v="14221"/>
    <n v="28661.599999999999"/>
    <n v="6.21"/>
    <n v="2294.9"/>
    <n v="0.5"/>
    <n v="7.4"/>
  </r>
  <r>
    <x v="109"/>
    <x v="7"/>
    <x v="17"/>
    <n v="33494"/>
    <n v="72147.5"/>
    <n v="6.43"/>
    <n v="5254.3"/>
    <n v="0.36"/>
    <n v="7.5"/>
  </r>
  <r>
    <x v="109"/>
    <x v="8"/>
    <x v="2"/>
    <n v="29596"/>
    <n v="70839.63"/>
    <n v="6.24"/>
    <n v="4780.5"/>
    <n v="0.45"/>
    <n v="6.9"/>
  </r>
  <r>
    <x v="109"/>
    <x v="9"/>
    <x v="9"/>
    <n v="23215"/>
    <n v="50075.64"/>
    <n v="6.51"/>
    <n v="3566.3"/>
    <n v="0.35299999999999998"/>
    <n v="7.3"/>
  </r>
  <r>
    <x v="109"/>
    <x v="10"/>
    <x v="9"/>
    <n v="27356"/>
    <n v="56849.32"/>
    <n v="6.57"/>
    <n v="4082.1"/>
    <n v="0.41199999999999998"/>
    <n v="6.2"/>
  </r>
  <r>
    <x v="109"/>
    <x v="11"/>
    <x v="4"/>
    <n v="21744"/>
    <n v="48431.3"/>
    <n v="6.4"/>
    <n v="3399.6"/>
    <n v="0.42899999999999999"/>
    <n v="7"/>
  </r>
  <r>
    <x v="109"/>
    <x v="12"/>
    <x v="13"/>
    <n v="33553"/>
    <n v="73669.22"/>
    <n v="6.37"/>
    <n v="5401.3"/>
    <n v="0.40899999999999997"/>
    <n v="7.9"/>
  </r>
  <r>
    <x v="109"/>
    <x v="13"/>
    <x v="12"/>
    <n v="22792"/>
    <n v="48113.17"/>
    <n v="6.61"/>
    <n v="3413.6"/>
    <n v="0.55600000000000005"/>
    <n v="7.3"/>
  </r>
  <r>
    <x v="109"/>
    <x v="14"/>
    <x v="13"/>
    <n v="33216"/>
    <n v="68396.61"/>
    <n v="6.46"/>
    <n v="5250.3"/>
    <n v="0.63600000000000001"/>
    <n v="7.3"/>
  </r>
  <r>
    <x v="109"/>
    <x v="15"/>
    <x v="3"/>
    <n v="30749"/>
    <n v="64603.68"/>
    <n v="6.38"/>
    <n v="4868.5"/>
    <n v="0.42099999999999999"/>
    <n v="6.7"/>
  </r>
  <r>
    <x v="109"/>
    <x v="16"/>
    <x v="12"/>
    <n v="27628"/>
    <n v="54066.23"/>
    <n v="6.43"/>
    <n v="4327.3999999999996"/>
    <n v="0.38900000000000001"/>
    <n v="7.1"/>
  </r>
  <r>
    <x v="109"/>
    <x v="17"/>
    <x v="10"/>
    <n v="39893"/>
    <n v="87362.79"/>
    <n v="6.61"/>
    <n v="6241.1"/>
    <n v="0.14799999999999999"/>
    <n v="6.3"/>
  </r>
  <r>
    <x v="109"/>
    <x v="18"/>
    <x v="2"/>
    <n v="33692"/>
    <n v="73311.490000000005"/>
    <n v="6.47"/>
    <n v="5191.8999999999996"/>
    <n v="0.5"/>
    <n v="6.2"/>
  </r>
  <r>
    <x v="109"/>
    <x v="19"/>
    <x v="3"/>
    <n v="26107"/>
    <n v="58567.95"/>
    <n v="6.63"/>
    <n v="3935.6"/>
    <n v="0.47399999999999998"/>
    <n v="7.2"/>
  </r>
  <r>
    <x v="109"/>
    <x v="20"/>
    <x v="2"/>
    <n v="26035"/>
    <n v="50462.29"/>
    <n v="6.39"/>
    <n v="4127"/>
    <n v="0.45"/>
    <n v="6.1"/>
  </r>
  <r>
    <x v="109"/>
    <x v="21"/>
    <x v="2"/>
    <n v="28126"/>
    <n v="59232.26"/>
    <n v="6.44"/>
    <n v="4441.3"/>
    <n v="0.45"/>
    <n v="6.6"/>
  </r>
  <r>
    <x v="109"/>
    <x v="22"/>
    <x v="6"/>
    <n v="32223"/>
    <n v="73927.45"/>
    <n v="6.58"/>
    <n v="5144.5"/>
    <n v="0.42899999999999999"/>
    <n v="7"/>
  </r>
  <r>
    <x v="109"/>
    <x v="23"/>
    <x v="14"/>
    <n v="18390"/>
    <n v="38040.04"/>
    <n v="6.25"/>
    <n v="2954.3"/>
    <n v="0.46700000000000003"/>
    <n v="7"/>
  </r>
  <r>
    <x v="109"/>
    <x v="24"/>
    <x v="8"/>
    <n v="23584"/>
    <n v="53027.12"/>
    <n v="6.29"/>
    <n v="3812.1"/>
    <n v="0.375"/>
    <n v="6.2"/>
  </r>
  <r>
    <x v="109"/>
    <x v="25"/>
    <x v="17"/>
    <n v="40388"/>
    <n v="90753.18"/>
    <n v="6.59"/>
    <n v="6189"/>
    <n v="0.6"/>
    <n v="7"/>
  </r>
  <r>
    <x v="109"/>
    <x v="26"/>
    <x v="14"/>
    <n v="28066"/>
    <n v="57307.66"/>
    <n v="6.77"/>
    <n v="4189.6000000000004"/>
    <n v="0.53300000000000003"/>
    <n v="8.1"/>
  </r>
  <r>
    <x v="109"/>
    <x v="27"/>
    <x v="4"/>
    <n v="20900"/>
    <n v="40165.370000000003"/>
    <n v="6.32"/>
    <n v="3401.9"/>
    <n v="0.5"/>
    <n v="7.3"/>
  </r>
  <r>
    <x v="109"/>
    <x v="28"/>
    <x v="14"/>
    <n v="26773"/>
    <n v="54303.07"/>
    <n v="6.66"/>
    <n v="4091"/>
    <n v="0.26700000000000002"/>
    <n v="7"/>
  </r>
  <r>
    <x v="109"/>
    <x v="29"/>
    <x v="8"/>
    <n v="23913"/>
    <n v="57984.38"/>
    <n v="6.43"/>
    <n v="3859.6"/>
    <n v="0.56200000000000006"/>
    <n v="6.9"/>
  </r>
  <r>
    <x v="109"/>
    <x v="30"/>
    <x v="15"/>
    <n v="30149"/>
    <n v="67157.789999999994"/>
    <n v="6.48"/>
    <n v="4738.3999999999996"/>
    <n v="0.435"/>
    <n v="6.8"/>
  </r>
  <r>
    <x v="109"/>
    <x v="31"/>
    <x v="12"/>
    <n v="32509"/>
    <n v="68446.5"/>
    <n v="6.66"/>
    <n v="4926.7"/>
    <n v="0.44400000000000001"/>
    <n v="7.7"/>
  </r>
  <r>
    <x v="109"/>
    <x v="32"/>
    <x v="8"/>
    <n v="24309"/>
    <n v="51356.03"/>
    <n v="6.55"/>
    <n v="3703.2"/>
    <n v="0.625"/>
    <n v="5.7"/>
  </r>
  <r>
    <x v="109"/>
    <x v="33"/>
    <x v="2"/>
    <n v="32857"/>
    <n v="67515.710000000006"/>
    <n v="6.41"/>
    <n v="5200.3"/>
    <n v="0.2"/>
    <n v="7.2"/>
  </r>
  <r>
    <x v="109"/>
    <x v="34"/>
    <x v="14"/>
    <n v="19809"/>
    <n v="42615.87"/>
    <n v="6.74"/>
    <n v="2981.8"/>
    <n v="0.26700000000000002"/>
    <n v="7.3"/>
  </r>
  <r>
    <x v="109"/>
    <x v="35"/>
    <x v="12"/>
    <n v="20402"/>
    <n v="40070.03"/>
    <n v="6.35"/>
    <n v="3251.9"/>
    <n v="0.5"/>
    <n v="8.6"/>
  </r>
  <r>
    <x v="110"/>
    <x v="0"/>
    <x v="5"/>
    <n v="20658"/>
    <n v="38917.06"/>
    <n v="6.67"/>
    <n v="3119.7"/>
    <n v="0.23100000000000001"/>
    <n v="5.9"/>
  </r>
  <r>
    <x v="110"/>
    <x v="1"/>
    <x v="6"/>
    <n v="30126"/>
    <n v="58871.86"/>
    <n v="6.37"/>
    <n v="4796.6000000000004"/>
    <n v="0.33300000000000002"/>
    <n v="6.9"/>
  </r>
  <r>
    <x v="110"/>
    <x v="2"/>
    <x v="3"/>
    <n v="33371"/>
    <n v="71896.759999999995"/>
    <n v="6.66"/>
    <n v="5009.8"/>
    <n v="0.21099999999999999"/>
    <n v="7"/>
  </r>
  <r>
    <x v="110"/>
    <x v="3"/>
    <x v="14"/>
    <n v="17325"/>
    <n v="37155.620000000003"/>
    <n v="6.59"/>
    <n v="2699.4"/>
    <n v="0.53300000000000003"/>
    <n v="7.5"/>
  </r>
  <r>
    <x v="110"/>
    <x v="4"/>
    <x v="8"/>
    <n v="26763"/>
    <n v="59042.83"/>
    <n v="6.6"/>
    <n v="4067.8"/>
    <n v="0.5"/>
    <n v="6.6"/>
  </r>
  <r>
    <x v="110"/>
    <x v="5"/>
    <x v="11"/>
    <n v="41140"/>
    <n v="87338.66"/>
    <n v="6.51"/>
    <n v="6448.7"/>
    <n v="0.41699999999999998"/>
    <n v="7.5"/>
  </r>
  <r>
    <x v="110"/>
    <x v="6"/>
    <x v="3"/>
    <n v="26689"/>
    <n v="57273.52"/>
    <n v="6.52"/>
    <n v="4121.7"/>
    <n v="0.158"/>
    <n v="7.1"/>
  </r>
  <r>
    <x v="110"/>
    <x v="7"/>
    <x v="8"/>
    <n v="26565"/>
    <n v="59031.01"/>
    <n v="6.32"/>
    <n v="4255.3"/>
    <n v="0.312"/>
    <n v="7.6"/>
  </r>
  <r>
    <x v="110"/>
    <x v="8"/>
    <x v="6"/>
    <n v="28545"/>
    <n v="64085.89"/>
    <n v="6.63"/>
    <n v="4419.2"/>
    <n v="0.28599999999999998"/>
    <n v="7.2"/>
  </r>
  <r>
    <x v="110"/>
    <x v="9"/>
    <x v="11"/>
    <n v="37728"/>
    <n v="85113.46"/>
    <n v="6.45"/>
    <n v="5876.6"/>
    <n v="0.45800000000000002"/>
    <n v="7.8"/>
  </r>
  <r>
    <x v="110"/>
    <x v="10"/>
    <x v="6"/>
    <n v="27508"/>
    <n v="61535.94"/>
    <n v="6.25"/>
    <n v="4387.3"/>
    <n v="0.38100000000000001"/>
    <n v="6.4"/>
  </r>
  <r>
    <x v="110"/>
    <x v="11"/>
    <x v="0"/>
    <n v="37620"/>
    <n v="83809.02"/>
    <n v="6.29"/>
    <n v="6004.3"/>
    <n v="0.5"/>
    <n v="7"/>
  </r>
  <r>
    <x v="110"/>
    <x v="12"/>
    <x v="3"/>
    <n v="30945"/>
    <n v="67514.59"/>
    <n v="6.58"/>
    <n v="4719.8"/>
    <n v="0.52600000000000002"/>
    <n v="6.1"/>
  </r>
  <r>
    <x v="110"/>
    <x v="13"/>
    <x v="12"/>
    <n v="26922"/>
    <n v="63266.93"/>
    <n v="6.4"/>
    <n v="4252.3999999999996"/>
    <n v="0.33300000000000002"/>
    <n v="7.2"/>
  </r>
  <r>
    <x v="110"/>
    <x v="14"/>
    <x v="14"/>
    <n v="25868"/>
    <n v="58977.79"/>
    <n v="6.57"/>
    <n v="4016"/>
    <n v="0.33300000000000002"/>
    <n v="8.4"/>
  </r>
  <r>
    <x v="110"/>
    <x v="15"/>
    <x v="8"/>
    <n v="24114"/>
    <n v="52894.8"/>
    <n v="6.49"/>
    <n v="3717.6"/>
    <n v="0.56200000000000006"/>
    <n v="7.8"/>
  </r>
  <r>
    <x v="110"/>
    <x v="16"/>
    <x v="2"/>
    <n v="31962"/>
    <n v="69310.570000000007"/>
    <n v="6.41"/>
    <n v="5037.8"/>
    <n v="0.55000000000000004"/>
    <n v="8.1999999999999993"/>
  </r>
  <r>
    <x v="110"/>
    <x v="17"/>
    <x v="12"/>
    <n v="25902"/>
    <n v="57876.09"/>
    <n v="6.5"/>
    <n v="4097.3"/>
    <n v="0.16700000000000001"/>
    <n v="6.1"/>
  </r>
  <r>
    <x v="110"/>
    <x v="18"/>
    <x v="13"/>
    <n v="37122"/>
    <n v="78664.2"/>
    <n v="6.53"/>
    <n v="5756.6"/>
    <n v="0.54500000000000004"/>
    <n v="7.8"/>
  </r>
  <r>
    <x v="110"/>
    <x v="19"/>
    <x v="12"/>
    <n v="28356"/>
    <n v="54312.6"/>
    <n v="6.48"/>
    <n v="4442.3999999999996"/>
    <n v="0.38900000000000001"/>
    <n v="6.9"/>
  </r>
  <r>
    <x v="110"/>
    <x v="20"/>
    <x v="4"/>
    <n v="21979"/>
    <n v="40707.589999999997"/>
    <n v="6.67"/>
    <n v="3383.1"/>
    <n v="0.35699999999999998"/>
    <n v="4.9000000000000004"/>
  </r>
  <r>
    <x v="110"/>
    <x v="21"/>
    <x v="5"/>
    <n v="13399"/>
    <n v="28260.25"/>
    <n v="6.52"/>
    <n v="1984"/>
    <n v="0.308"/>
    <n v="6.5"/>
  </r>
  <r>
    <x v="110"/>
    <x v="22"/>
    <x v="12"/>
    <n v="26596"/>
    <n v="59260.45"/>
    <n v="6.48"/>
    <n v="4123.6000000000004"/>
    <n v="0.44400000000000001"/>
    <n v="7.6"/>
  </r>
  <r>
    <x v="110"/>
    <x v="23"/>
    <x v="3"/>
    <n v="29311"/>
    <n v="57595.09"/>
    <n v="6.31"/>
    <n v="4653.3999999999996"/>
    <n v="0.36799999999999999"/>
    <n v="8.4"/>
  </r>
  <r>
    <x v="110"/>
    <x v="24"/>
    <x v="11"/>
    <n v="29440"/>
    <n v="62702.57"/>
    <n v="6.44"/>
    <n v="4615.2"/>
    <n v="0.25"/>
    <n v="5.7"/>
  </r>
  <r>
    <x v="110"/>
    <x v="25"/>
    <x v="13"/>
    <n v="28950"/>
    <n v="57692.66"/>
    <n v="6.61"/>
    <n v="4350.2"/>
    <n v="0.27300000000000002"/>
    <n v="6.2"/>
  </r>
  <r>
    <x v="110"/>
    <x v="26"/>
    <x v="0"/>
    <n v="36748"/>
    <n v="78330.38"/>
    <n v="6.47"/>
    <n v="5671.3"/>
    <n v="0.34599999999999997"/>
    <n v="6.7"/>
  </r>
  <r>
    <x v="110"/>
    <x v="27"/>
    <x v="29"/>
    <n v="14487"/>
    <n v="29885.66"/>
    <n v="6.65"/>
    <n v="2184.3000000000002"/>
    <n v="0.25"/>
    <n v="5.6"/>
  </r>
  <r>
    <x v="110"/>
    <x v="28"/>
    <x v="22"/>
    <n v="38041"/>
    <n v="79692.95"/>
    <n v="6.44"/>
    <n v="5834.4"/>
    <n v="0.5"/>
    <n v="7.1"/>
  </r>
  <r>
    <x v="110"/>
    <x v="29"/>
    <x v="12"/>
    <n v="23342"/>
    <n v="49628.01"/>
    <n v="6.6"/>
    <n v="3621.1"/>
    <n v="0.38900000000000001"/>
    <n v="7"/>
  </r>
  <r>
    <x v="110"/>
    <x v="30"/>
    <x v="4"/>
    <n v="21665"/>
    <n v="45534.16"/>
    <n v="6.63"/>
    <n v="3321.1"/>
    <n v="0.28599999999999998"/>
    <n v="7.4"/>
  </r>
  <r>
    <x v="110"/>
    <x v="31"/>
    <x v="17"/>
    <n v="27416"/>
    <n v="56321.52"/>
    <n v="6.59"/>
    <n v="4174.3"/>
    <n v="0.44"/>
    <n v="7.7"/>
  </r>
  <r>
    <x v="110"/>
    <x v="32"/>
    <x v="12"/>
    <n v="23531"/>
    <n v="50125.07"/>
    <n v="6.39"/>
    <n v="3760.3"/>
    <n v="0.33300000000000002"/>
    <n v="7.7"/>
  </r>
  <r>
    <x v="110"/>
    <x v="33"/>
    <x v="6"/>
    <n v="29469"/>
    <n v="63201.25"/>
    <n v="6.61"/>
    <n v="4441.7"/>
    <n v="0.42899999999999999"/>
    <n v="7.1"/>
  </r>
  <r>
    <x v="110"/>
    <x v="34"/>
    <x v="3"/>
    <n v="28835"/>
    <n v="68533.36"/>
    <n v="6.49"/>
    <n v="4563"/>
    <n v="0.316"/>
    <n v="7.1"/>
  </r>
  <r>
    <x v="110"/>
    <x v="35"/>
    <x v="14"/>
    <n v="20863"/>
    <n v="42477.96"/>
    <n v="6.55"/>
    <n v="3118.6"/>
    <n v="0.13300000000000001"/>
    <n v="5.4"/>
  </r>
  <r>
    <x v="111"/>
    <x v="0"/>
    <x v="14"/>
    <n v="20225"/>
    <n v="44961.42"/>
    <n v="6.42"/>
    <n v="3107.7"/>
    <n v="0.26700000000000002"/>
    <n v="5.8"/>
  </r>
  <r>
    <x v="111"/>
    <x v="1"/>
    <x v="9"/>
    <n v="29931"/>
    <n v="67767.78"/>
    <n v="6.23"/>
    <n v="4835"/>
    <n v="0.47099999999999997"/>
    <n v="8.1"/>
  </r>
  <r>
    <x v="111"/>
    <x v="2"/>
    <x v="3"/>
    <n v="31859"/>
    <n v="70923.460000000006"/>
    <n v="6.53"/>
    <n v="5005.3999999999996"/>
    <n v="0.36799999999999999"/>
    <n v="7.9"/>
  </r>
  <r>
    <x v="111"/>
    <x v="3"/>
    <x v="8"/>
    <n v="18222"/>
    <n v="42163.76"/>
    <n v="6.4"/>
    <n v="2917.7"/>
    <n v="0.312"/>
    <n v="6.4"/>
  </r>
  <r>
    <x v="111"/>
    <x v="4"/>
    <x v="13"/>
    <n v="23561"/>
    <n v="52981.62"/>
    <n v="6.21"/>
    <n v="3765.5"/>
    <n v="0.45500000000000002"/>
    <n v="6.8"/>
  </r>
  <r>
    <x v="111"/>
    <x v="5"/>
    <x v="15"/>
    <n v="27669"/>
    <n v="63420.2"/>
    <n v="6.43"/>
    <n v="4350.5"/>
    <n v="0.47799999999999998"/>
    <n v="6.3"/>
  </r>
  <r>
    <x v="111"/>
    <x v="6"/>
    <x v="9"/>
    <n v="22560"/>
    <n v="45430.33"/>
    <n v="6.42"/>
    <n v="3443.6"/>
    <n v="0.47099999999999997"/>
    <n v="7.4"/>
  </r>
  <r>
    <x v="111"/>
    <x v="7"/>
    <x v="6"/>
    <n v="31868"/>
    <n v="73245.27"/>
    <n v="6.53"/>
    <n v="4849.1000000000004"/>
    <n v="0.57099999999999995"/>
    <n v="6.4"/>
  </r>
  <r>
    <x v="111"/>
    <x v="8"/>
    <x v="12"/>
    <n v="29239"/>
    <n v="58235.57"/>
    <n v="6.67"/>
    <n v="4473.8"/>
    <n v="0.55600000000000005"/>
    <n v="7.4"/>
  </r>
  <r>
    <x v="111"/>
    <x v="9"/>
    <x v="17"/>
    <n v="40591"/>
    <n v="83310.720000000001"/>
    <n v="6.59"/>
    <n v="6269.6"/>
    <n v="0.36"/>
    <n v="6.5"/>
  </r>
  <r>
    <x v="111"/>
    <x v="10"/>
    <x v="8"/>
    <n v="28211"/>
    <n v="58138.02"/>
    <n v="6.72"/>
    <n v="4169"/>
    <n v="0.56200000000000006"/>
    <n v="7.4"/>
  </r>
  <r>
    <x v="111"/>
    <x v="11"/>
    <x v="8"/>
    <n v="23204"/>
    <n v="52086.99"/>
    <n v="6.52"/>
    <n v="3613"/>
    <n v="0.75"/>
    <n v="6.1"/>
  </r>
  <r>
    <x v="111"/>
    <x v="12"/>
    <x v="15"/>
    <n v="32537"/>
    <n v="68145.36"/>
    <n v="6.49"/>
    <n v="5045.5"/>
    <n v="0.435"/>
    <n v="6.9"/>
  </r>
  <r>
    <x v="111"/>
    <x v="13"/>
    <x v="12"/>
    <n v="22664"/>
    <n v="52313.05"/>
    <n v="6.39"/>
    <n v="3605.8"/>
    <n v="0.38900000000000001"/>
    <n v="8"/>
  </r>
  <r>
    <x v="111"/>
    <x v="14"/>
    <x v="0"/>
    <n v="43239"/>
    <n v="94135"/>
    <n v="6.42"/>
    <n v="6796"/>
    <n v="0.38500000000000001"/>
    <n v="7"/>
  </r>
  <r>
    <x v="111"/>
    <x v="15"/>
    <x v="14"/>
    <n v="21352"/>
    <n v="46101.67"/>
    <n v="6.59"/>
    <n v="3224.5"/>
    <n v="0.4"/>
    <n v="8.3000000000000007"/>
  </r>
  <r>
    <x v="111"/>
    <x v="16"/>
    <x v="8"/>
    <n v="24714"/>
    <n v="53734.86"/>
    <n v="6.28"/>
    <n v="3939.1"/>
    <n v="0.5"/>
    <n v="6.2"/>
  </r>
  <r>
    <x v="111"/>
    <x v="17"/>
    <x v="14"/>
    <n v="24350"/>
    <n v="53079.96"/>
    <n v="6.59"/>
    <n v="3713.1"/>
    <n v="0.4"/>
    <n v="7.4"/>
  </r>
  <r>
    <x v="111"/>
    <x v="18"/>
    <x v="9"/>
    <n v="22722"/>
    <n v="49045.1"/>
    <n v="6.56"/>
    <n v="3518"/>
    <n v="0.47099999999999997"/>
    <n v="7.3"/>
  </r>
  <r>
    <x v="111"/>
    <x v="19"/>
    <x v="3"/>
    <n v="27288"/>
    <n v="60492.37"/>
    <n v="6.43"/>
    <n v="4236.8999999999996"/>
    <n v="0.316"/>
    <n v="6.1"/>
  </r>
  <r>
    <x v="111"/>
    <x v="20"/>
    <x v="12"/>
    <n v="23600"/>
    <n v="50375.01"/>
    <n v="6.72"/>
    <n v="3520.7"/>
    <n v="0.33300000000000002"/>
    <n v="7.3"/>
  </r>
  <r>
    <x v="111"/>
    <x v="21"/>
    <x v="10"/>
    <n v="43709"/>
    <n v="92463.360000000001"/>
    <n v="6.64"/>
    <n v="6543"/>
    <n v="0.33300000000000002"/>
    <n v="6.5"/>
  </r>
  <r>
    <x v="111"/>
    <x v="22"/>
    <x v="13"/>
    <n v="27183"/>
    <n v="56715.05"/>
    <n v="6.37"/>
    <n v="4264.1000000000004"/>
    <n v="0.36399999999999999"/>
    <n v="6.8"/>
  </r>
  <r>
    <x v="111"/>
    <x v="23"/>
    <x v="17"/>
    <n v="36341"/>
    <n v="81498.16"/>
    <n v="6.46"/>
    <n v="5671.8"/>
    <n v="0.16"/>
    <n v="6.8"/>
  </r>
  <r>
    <x v="111"/>
    <x v="24"/>
    <x v="2"/>
    <n v="30682"/>
    <n v="68635.960000000006"/>
    <n v="6.48"/>
    <n v="4762.6000000000004"/>
    <n v="0.4"/>
    <n v="7.7"/>
  </r>
  <r>
    <x v="111"/>
    <x v="25"/>
    <x v="15"/>
    <n v="25405"/>
    <n v="51541.18"/>
    <n v="6.62"/>
    <n v="3949"/>
    <n v="0.69599999999999995"/>
    <n v="7.4"/>
  </r>
  <r>
    <x v="111"/>
    <x v="26"/>
    <x v="11"/>
    <n v="34897"/>
    <n v="73020.47"/>
    <n v="6.64"/>
    <n v="5267"/>
    <n v="0.66700000000000004"/>
    <n v="6.5"/>
  </r>
  <r>
    <x v="111"/>
    <x v="27"/>
    <x v="7"/>
    <n v="18670"/>
    <n v="38786.29"/>
    <n v="6.19"/>
    <n v="3036.7"/>
    <n v="0.66700000000000004"/>
    <n v="8.6"/>
  </r>
  <r>
    <x v="111"/>
    <x v="28"/>
    <x v="4"/>
    <n v="20688"/>
    <n v="42123.26"/>
    <n v="6.76"/>
    <n v="3070.9"/>
    <n v="0.42899999999999999"/>
    <n v="6.4"/>
  </r>
  <r>
    <x v="111"/>
    <x v="29"/>
    <x v="4"/>
    <n v="25158"/>
    <n v="52306.09"/>
    <n v="6.49"/>
    <n v="3897.8"/>
    <n v="0.35699999999999998"/>
    <n v="7.8"/>
  </r>
  <r>
    <x v="111"/>
    <x v="30"/>
    <x v="3"/>
    <n v="24283"/>
    <n v="56094.41"/>
    <n v="6.56"/>
    <n v="3796.4"/>
    <n v="0.42099999999999999"/>
    <n v="6.5"/>
  </r>
  <r>
    <x v="111"/>
    <x v="31"/>
    <x v="22"/>
    <n v="40004"/>
    <n v="87415.47"/>
    <n v="6.51"/>
    <n v="6171.8"/>
    <n v="0.53600000000000003"/>
    <n v="7.3"/>
  </r>
  <r>
    <x v="111"/>
    <x v="32"/>
    <x v="12"/>
    <n v="29526"/>
    <n v="51123.45"/>
    <n v="6.46"/>
    <n v="4649.5"/>
    <n v="0.5"/>
    <n v="5.8"/>
  </r>
  <r>
    <x v="111"/>
    <x v="33"/>
    <x v="11"/>
    <n v="37217"/>
    <n v="78618.94"/>
    <n v="6.45"/>
    <n v="5845.2"/>
    <n v="0.375"/>
    <n v="6.8"/>
  </r>
  <r>
    <x v="111"/>
    <x v="34"/>
    <x v="1"/>
    <n v="12281"/>
    <n v="27678.04"/>
    <n v="6.34"/>
    <n v="1947.3"/>
    <n v="0.44400000000000001"/>
    <n v="9.6999999999999993"/>
  </r>
  <r>
    <x v="111"/>
    <x v="35"/>
    <x v="4"/>
    <n v="25338"/>
    <n v="59542.01"/>
    <n v="6.53"/>
    <n v="3901.4"/>
    <n v="0.28599999999999998"/>
    <n v="5"/>
  </r>
  <r>
    <x v="112"/>
    <x v="0"/>
    <x v="13"/>
    <n v="37060"/>
    <n v="73597.83"/>
    <n v="6.74"/>
    <n v="5568.9"/>
    <n v="0.45500000000000002"/>
    <n v="6.7"/>
  </r>
  <r>
    <x v="112"/>
    <x v="1"/>
    <x v="5"/>
    <n v="13681"/>
    <n v="31439.7"/>
    <n v="6.56"/>
    <n v="2130.6"/>
    <n v="0.46200000000000002"/>
    <n v="7.5"/>
  </r>
  <r>
    <x v="112"/>
    <x v="2"/>
    <x v="6"/>
    <n v="29398"/>
    <n v="67148.899999999994"/>
    <n v="6.5"/>
    <n v="4591"/>
    <n v="0.66700000000000004"/>
    <n v="7.3"/>
  </r>
  <r>
    <x v="112"/>
    <x v="3"/>
    <x v="3"/>
    <n v="29319"/>
    <n v="60421.83"/>
    <n v="6.58"/>
    <n v="4509.5"/>
    <n v="0.57899999999999996"/>
    <n v="6.9"/>
  </r>
  <r>
    <x v="112"/>
    <x v="4"/>
    <x v="1"/>
    <n v="14328"/>
    <n v="31809.06"/>
    <n v="6.84"/>
    <n v="2107.5"/>
    <n v="0.33300000000000002"/>
    <n v="6.9"/>
  </r>
  <r>
    <x v="112"/>
    <x v="5"/>
    <x v="2"/>
    <n v="28023"/>
    <n v="57803.86"/>
    <n v="6.39"/>
    <n v="4454.7"/>
    <n v="0.5"/>
    <n v="7.2"/>
  </r>
  <r>
    <x v="112"/>
    <x v="6"/>
    <x v="9"/>
    <n v="23655"/>
    <n v="55712.41"/>
    <n v="6.42"/>
    <n v="3731.9"/>
    <n v="0.29399999999999998"/>
    <n v="7.2"/>
  </r>
  <r>
    <x v="112"/>
    <x v="7"/>
    <x v="3"/>
    <n v="31021"/>
    <n v="54262.43"/>
    <n v="6.55"/>
    <n v="4716.5"/>
    <n v="0.36799999999999999"/>
    <n v="7.9"/>
  </r>
  <r>
    <x v="112"/>
    <x v="8"/>
    <x v="22"/>
    <n v="38157"/>
    <n v="85674"/>
    <n v="6.63"/>
    <n v="5735.8"/>
    <n v="0.39300000000000002"/>
    <n v="7.1"/>
  </r>
  <r>
    <x v="112"/>
    <x v="9"/>
    <x v="12"/>
    <n v="20501"/>
    <n v="45623.89"/>
    <n v="6.42"/>
    <n v="3267.9"/>
    <n v="0.5"/>
    <n v="7.4"/>
  </r>
  <r>
    <x v="112"/>
    <x v="10"/>
    <x v="3"/>
    <n v="26092"/>
    <n v="61657.91"/>
    <n v="6.75"/>
    <n v="3948.9"/>
    <n v="0.47399999999999998"/>
    <n v="7.7"/>
  </r>
  <r>
    <x v="112"/>
    <x v="11"/>
    <x v="17"/>
    <n v="38530"/>
    <n v="88247.44"/>
    <n v="6.47"/>
    <n v="5906.9"/>
    <n v="0.64"/>
    <n v="6.3"/>
  </r>
  <r>
    <x v="112"/>
    <x v="12"/>
    <x v="7"/>
    <n v="13709"/>
    <n v="28165.56"/>
    <n v="6.78"/>
    <n v="2019.2"/>
    <n v="0.5"/>
    <n v="6.7"/>
  </r>
  <r>
    <x v="112"/>
    <x v="13"/>
    <x v="11"/>
    <n v="38169"/>
    <n v="83314.73"/>
    <n v="6.45"/>
    <n v="5912.4"/>
    <n v="0.58299999999999996"/>
    <n v="7.4"/>
  </r>
  <r>
    <x v="112"/>
    <x v="14"/>
    <x v="4"/>
    <n v="23038"/>
    <n v="47258.41"/>
    <n v="6.47"/>
    <n v="3637.1"/>
    <n v="0.5"/>
    <n v="7.4"/>
  </r>
  <r>
    <x v="112"/>
    <x v="15"/>
    <x v="21"/>
    <n v="20965"/>
    <n v="43525.36"/>
    <n v="6.52"/>
    <n v="3275.5"/>
    <n v="0.45500000000000002"/>
    <n v="7.5"/>
  </r>
  <r>
    <x v="112"/>
    <x v="16"/>
    <x v="2"/>
    <n v="23364"/>
    <n v="46695.5"/>
    <n v="6.47"/>
    <n v="3680.7"/>
    <n v="0.55000000000000004"/>
    <n v="6.4"/>
  </r>
  <r>
    <x v="112"/>
    <x v="17"/>
    <x v="14"/>
    <n v="20957"/>
    <n v="41141.06"/>
    <n v="6.46"/>
    <n v="3220.4"/>
    <n v="0.53300000000000003"/>
    <n v="7.2"/>
  </r>
  <r>
    <x v="112"/>
    <x v="18"/>
    <x v="4"/>
    <n v="17703"/>
    <n v="37250.25"/>
    <n v="6.66"/>
    <n v="2699.1"/>
    <n v="0.35699999999999998"/>
    <n v="8.1999999999999993"/>
  </r>
  <r>
    <x v="112"/>
    <x v="19"/>
    <x v="13"/>
    <n v="35365"/>
    <n v="78471.72"/>
    <n v="6.57"/>
    <n v="5403.9"/>
    <n v="0.40899999999999997"/>
    <n v="6.9"/>
  </r>
  <r>
    <x v="112"/>
    <x v="20"/>
    <x v="13"/>
    <n v="32302"/>
    <n v="66970.63"/>
    <n v="6.58"/>
    <n v="4988.7"/>
    <n v="0.36399999999999999"/>
    <n v="6.6"/>
  </r>
  <r>
    <x v="112"/>
    <x v="21"/>
    <x v="0"/>
    <n v="42262"/>
    <n v="86812.28"/>
    <n v="6.39"/>
    <n v="6691.8"/>
    <n v="0.53800000000000003"/>
    <n v="7.2"/>
  </r>
  <r>
    <x v="112"/>
    <x v="22"/>
    <x v="14"/>
    <n v="24886"/>
    <n v="53427.76"/>
    <n v="6.78"/>
    <n v="3727.1"/>
    <n v="0.2"/>
    <n v="6.5"/>
  </r>
  <r>
    <x v="112"/>
    <x v="23"/>
    <x v="13"/>
    <n v="31133"/>
    <n v="63159.35"/>
    <n v="6.24"/>
    <n v="5017.8"/>
    <n v="0.36399999999999999"/>
    <n v="7.2"/>
  </r>
  <r>
    <x v="112"/>
    <x v="24"/>
    <x v="2"/>
    <n v="31084"/>
    <n v="65576.479999999996"/>
    <n v="6.43"/>
    <n v="4788.7"/>
    <n v="0.55000000000000004"/>
    <n v="7.2"/>
  </r>
  <r>
    <x v="112"/>
    <x v="25"/>
    <x v="20"/>
    <n v="6047"/>
    <n v="12681.2"/>
    <n v="6.53"/>
    <n v="981.6"/>
    <n v="0.33300000000000002"/>
    <n v="5.2"/>
  </r>
  <r>
    <x v="112"/>
    <x v="26"/>
    <x v="13"/>
    <n v="34878"/>
    <n v="73737.47"/>
    <n v="6.4"/>
    <n v="5480.1"/>
    <n v="0.54500000000000004"/>
    <n v="7.1"/>
  </r>
  <r>
    <x v="112"/>
    <x v="27"/>
    <x v="2"/>
    <n v="27241"/>
    <n v="52407.38"/>
    <n v="6.36"/>
    <n v="4303.6000000000004"/>
    <n v="0.5"/>
    <n v="5.5"/>
  </r>
  <r>
    <x v="112"/>
    <x v="28"/>
    <x v="22"/>
    <n v="41662"/>
    <n v="90861.77"/>
    <n v="6.46"/>
    <n v="6518.3"/>
    <n v="0.5"/>
    <n v="6.4"/>
  </r>
  <r>
    <x v="112"/>
    <x v="29"/>
    <x v="6"/>
    <n v="26470"/>
    <n v="52508.09"/>
    <n v="6.54"/>
    <n v="4147.3"/>
    <n v="0.81"/>
    <n v="6.9"/>
  </r>
  <r>
    <x v="112"/>
    <x v="30"/>
    <x v="0"/>
    <n v="35306"/>
    <n v="80293.25"/>
    <n v="6.36"/>
    <n v="5687.9"/>
    <n v="0.42299999999999999"/>
    <n v="7.5"/>
  </r>
  <r>
    <x v="112"/>
    <x v="31"/>
    <x v="15"/>
    <n v="35572"/>
    <n v="72943.490000000005"/>
    <n v="6.68"/>
    <n v="5382.8"/>
    <n v="0.69599999999999995"/>
    <n v="7.5"/>
  </r>
  <r>
    <x v="112"/>
    <x v="32"/>
    <x v="9"/>
    <n v="25624"/>
    <n v="55777.21"/>
    <n v="7"/>
    <n v="3654.7"/>
    <n v="0.35299999999999998"/>
    <n v="6.2"/>
  </r>
  <r>
    <x v="112"/>
    <x v="33"/>
    <x v="12"/>
    <n v="28310"/>
    <n v="61901.73"/>
    <n v="6.3"/>
    <n v="4578.7"/>
    <n v="0.33300000000000002"/>
    <n v="7.1"/>
  </r>
  <r>
    <x v="112"/>
    <x v="34"/>
    <x v="8"/>
    <n v="17955"/>
    <n v="40329.9"/>
    <n v="6.45"/>
    <n v="2751.1"/>
    <n v="0.5"/>
    <n v="7.6"/>
  </r>
  <r>
    <x v="112"/>
    <x v="35"/>
    <x v="3"/>
    <n v="28927"/>
    <n v="66328.08"/>
    <n v="6.55"/>
    <n v="4475.7"/>
    <n v="0.47399999999999998"/>
    <n v="6.8"/>
  </r>
  <r>
    <x v="113"/>
    <x v="0"/>
    <x v="6"/>
    <n v="27950"/>
    <n v="59962.37"/>
    <n v="6.58"/>
    <n v="4312.6000000000004"/>
    <n v="0.33300000000000002"/>
    <n v="7.2"/>
  </r>
  <r>
    <x v="113"/>
    <x v="1"/>
    <x v="12"/>
    <n v="24328"/>
    <n v="52068.65"/>
    <n v="6.49"/>
    <n v="3887.2"/>
    <n v="0.222"/>
    <n v="7"/>
  </r>
  <r>
    <x v="113"/>
    <x v="2"/>
    <x v="6"/>
    <n v="30261"/>
    <n v="68160.710000000006"/>
    <n v="6.65"/>
    <n v="4579.8999999999996"/>
    <n v="0.23799999999999999"/>
    <n v="6.9"/>
  </r>
  <r>
    <x v="113"/>
    <x v="3"/>
    <x v="12"/>
    <n v="27031"/>
    <n v="55587.99"/>
    <n v="6.35"/>
    <n v="4287.7"/>
    <n v="0.38900000000000001"/>
    <n v="6.8"/>
  </r>
  <r>
    <x v="113"/>
    <x v="4"/>
    <x v="31"/>
    <n v="44108"/>
    <n v="95174.53"/>
    <n v="6.48"/>
    <n v="6833.8"/>
    <n v="0.38200000000000001"/>
    <n v="7.4"/>
  </r>
  <r>
    <x v="113"/>
    <x v="5"/>
    <x v="8"/>
    <n v="24011"/>
    <n v="54106.91"/>
    <n v="6.68"/>
    <n v="3686.2"/>
    <n v="0.438"/>
    <n v="6.8"/>
  </r>
  <r>
    <x v="113"/>
    <x v="6"/>
    <x v="3"/>
    <n v="27500"/>
    <n v="56594.05"/>
    <n v="6.44"/>
    <n v="4268.5"/>
    <n v="0.26300000000000001"/>
    <n v="6.9"/>
  </r>
  <r>
    <x v="113"/>
    <x v="7"/>
    <x v="9"/>
    <n v="17319"/>
    <n v="33393.949999999997"/>
    <n v="6.64"/>
    <n v="2615.4"/>
    <n v="0.35299999999999998"/>
    <n v="7.9"/>
  </r>
  <r>
    <x v="113"/>
    <x v="8"/>
    <x v="3"/>
    <n v="26459"/>
    <n v="55442.080000000002"/>
    <n v="6.51"/>
    <n v="4130.6000000000004"/>
    <n v="0.316"/>
    <n v="5.8"/>
  </r>
  <r>
    <x v="113"/>
    <x v="9"/>
    <x v="12"/>
    <n v="16949"/>
    <n v="37741.870000000003"/>
    <n v="6.52"/>
    <n v="2621.3000000000002"/>
    <n v="0.61099999999999999"/>
    <n v="6.7"/>
  </r>
  <r>
    <x v="113"/>
    <x v="10"/>
    <x v="14"/>
    <n v="16877"/>
    <n v="39195.18"/>
    <n v="6.75"/>
    <n v="2536.9"/>
    <n v="0.6"/>
    <n v="6.6"/>
  </r>
  <r>
    <x v="113"/>
    <x v="11"/>
    <x v="11"/>
    <n v="33385"/>
    <n v="76946.14"/>
    <n v="6.56"/>
    <n v="5173.6000000000004"/>
    <n v="0.5"/>
    <n v="6.8"/>
  </r>
  <r>
    <x v="113"/>
    <x v="12"/>
    <x v="12"/>
    <n v="26181"/>
    <n v="55150.17"/>
    <n v="6.48"/>
    <n v="4099.3999999999996"/>
    <n v="0.72199999999999998"/>
    <n v="7.9"/>
  </r>
  <r>
    <x v="113"/>
    <x v="13"/>
    <x v="11"/>
    <n v="28521"/>
    <n v="57995.73"/>
    <n v="6.48"/>
    <n v="4461.7"/>
    <n v="0.625"/>
    <n v="7.2"/>
  </r>
  <r>
    <x v="113"/>
    <x v="14"/>
    <x v="8"/>
    <n v="22710"/>
    <n v="52937.36"/>
    <n v="6.37"/>
    <n v="3508.6"/>
    <n v="0.75"/>
    <n v="7"/>
  </r>
  <r>
    <x v="113"/>
    <x v="15"/>
    <x v="12"/>
    <n v="30233"/>
    <n v="61284.87"/>
    <n v="6.24"/>
    <n v="4803"/>
    <n v="0.5"/>
    <n v="6.6"/>
  </r>
  <r>
    <x v="113"/>
    <x v="16"/>
    <x v="2"/>
    <n v="28347"/>
    <n v="58301.7"/>
    <n v="6.5"/>
    <n v="4400.6000000000004"/>
    <n v="0.4"/>
    <n v="6.5"/>
  </r>
  <r>
    <x v="113"/>
    <x v="17"/>
    <x v="8"/>
    <n v="20598"/>
    <n v="41759.879999999997"/>
    <n v="6.59"/>
    <n v="3123.5"/>
    <n v="0.375"/>
    <n v="6.6"/>
  </r>
  <r>
    <x v="113"/>
    <x v="18"/>
    <x v="6"/>
    <n v="29562"/>
    <n v="61526.55"/>
    <n v="6.5"/>
    <n v="4559.3"/>
    <n v="0.61899999999999999"/>
    <n v="7.5"/>
  </r>
  <r>
    <x v="113"/>
    <x v="19"/>
    <x v="2"/>
    <n v="33445"/>
    <n v="68794.27"/>
    <n v="6.37"/>
    <n v="5367.5"/>
    <n v="0.35"/>
    <n v="7.8"/>
  </r>
  <r>
    <x v="113"/>
    <x v="20"/>
    <x v="15"/>
    <n v="36406"/>
    <n v="77780.710000000006"/>
    <n v="6.35"/>
    <n v="5759.9"/>
    <n v="0.435"/>
    <n v="7.2"/>
  </r>
  <r>
    <x v="113"/>
    <x v="21"/>
    <x v="6"/>
    <n v="36052"/>
    <n v="80835.179999999993"/>
    <n v="6.65"/>
    <n v="5454.7"/>
    <n v="0.52400000000000002"/>
    <n v="6.5"/>
  </r>
  <r>
    <x v="113"/>
    <x v="22"/>
    <x v="23"/>
    <n v="41078"/>
    <n v="93248.76"/>
    <n v="6.3"/>
    <n v="6582.6"/>
    <n v="0.4"/>
    <n v="7.3"/>
  </r>
  <r>
    <x v="113"/>
    <x v="23"/>
    <x v="7"/>
    <n v="15251"/>
    <n v="31229.01"/>
    <n v="6.3"/>
    <n v="2410.9"/>
    <n v="0.58299999999999996"/>
    <n v="7.2"/>
  </r>
  <r>
    <x v="113"/>
    <x v="24"/>
    <x v="9"/>
    <n v="22902"/>
    <n v="46775.21"/>
    <n v="6.76"/>
    <n v="3391.4"/>
    <n v="0.58799999999999997"/>
    <n v="7.2"/>
  </r>
  <r>
    <x v="113"/>
    <x v="25"/>
    <x v="12"/>
    <n v="30107"/>
    <n v="64256.72"/>
    <n v="6.6"/>
    <n v="4670.8"/>
    <n v="0.5"/>
    <n v="6.4"/>
  </r>
  <r>
    <x v="113"/>
    <x v="26"/>
    <x v="14"/>
    <n v="22206"/>
    <n v="44140.43"/>
    <n v="6.51"/>
    <n v="3511"/>
    <n v="0.4"/>
    <n v="7.3"/>
  </r>
  <r>
    <x v="113"/>
    <x v="27"/>
    <x v="9"/>
    <n v="24134"/>
    <n v="54282.400000000001"/>
    <n v="6.34"/>
    <n v="3827.7"/>
    <n v="0.47099999999999997"/>
    <n v="7"/>
  </r>
  <r>
    <x v="113"/>
    <x v="28"/>
    <x v="13"/>
    <n v="34900"/>
    <n v="76075.88"/>
    <n v="6.28"/>
    <n v="5653"/>
    <n v="0.5"/>
    <n v="7.1"/>
  </r>
  <r>
    <x v="113"/>
    <x v="29"/>
    <x v="14"/>
    <n v="25009"/>
    <n v="52863.89"/>
    <n v="6.4"/>
    <n v="3914.7"/>
    <n v="0.46700000000000003"/>
    <n v="9"/>
  </r>
  <r>
    <x v="113"/>
    <x v="30"/>
    <x v="22"/>
    <n v="44393"/>
    <n v="91444.84"/>
    <n v="6.42"/>
    <n v="6964.1"/>
    <n v="0.46400000000000002"/>
    <n v="7.2"/>
  </r>
  <r>
    <x v="113"/>
    <x v="31"/>
    <x v="2"/>
    <n v="35451"/>
    <n v="71579.05"/>
    <n v="6.59"/>
    <n v="5405.1"/>
    <n v="0.55000000000000004"/>
    <n v="6.6"/>
  </r>
  <r>
    <x v="113"/>
    <x v="32"/>
    <x v="5"/>
    <n v="16628"/>
    <n v="34274.54"/>
    <n v="6.44"/>
    <n v="2587.6"/>
    <n v="0.53800000000000003"/>
    <n v="8.1"/>
  </r>
  <r>
    <x v="113"/>
    <x v="33"/>
    <x v="28"/>
    <n v="39316"/>
    <n v="87697.93"/>
    <n v="6.62"/>
    <n v="5867.7"/>
    <n v="0.51700000000000002"/>
    <n v="6.4"/>
  </r>
  <r>
    <x v="113"/>
    <x v="34"/>
    <x v="14"/>
    <n v="19933"/>
    <n v="42620.57"/>
    <n v="6.45"/>
    <n v="3147.5"/>
    <n v="0.46700000000000003"/>
    <n v="7.4"/>
  </r>
  <r>
    <x v="113"/>
    <x v="35"/>
    <x v="13"/>
    <n v="30153"/>
    <n v="61179.98"/>
    <n v="6.61"/>
    <n v="4580"/>
    <n v="0.36399999999999999"/>
    <n v="7.8"/>
  </r>
  <r>
    <x v="114"/>
    <x v="0"/>
    <x v="13"/>
    <n v="30226"/>
    <n v="66310.559999999998"/>
    <n v="6.67"/>
    <n v="4449.3999999999996"/>
    <n v="0.40899999999999997"/>
    <n v="7.3"/>
  </r>
  <r>
    <x v="114"/>
    <x v="1"/>
    <x v="14"/>
    <n v="19008"/>
    <n v="36498.46"/>
    <n v="6.33"/>
    <n v="2993.1"/>
    <n v="0.6"/>
    <n v="6.5"/>
  </r>
  <r>
    <x v="114"/>
    <x v="2"/>
    <x v="2"/>
    <n v="35016"/>
    <n v="70668.62"/>
    <n v="6.51"/>
    <n v="5456.5"/>
    <n v="0.5"/>
    <n v="6.4"/>
  </r>
  <r>
    <x v="114"/>
    <x v="3"/>
    <x v="15"/>
    <n v="34400"/>
    <n v="75443.53"/>
    <n v="6.72"/>
    <n v="5243.3"/>
    <n v="0.47799999999999998"/>
    <n v="5.4"/>
  </r>
  <r>
    <x v="114"/>
    <x v="4"/>
    <x v="5"/>
    <n v="18439"/>
    <n v="40058.120000000003"/>
    <n v="6.76"/>
    <n v="2731"/>
    <n v="0.308"/>
    <n v="6.7"/>
  </r>
  <r>
    <x v="114"/>
    <x v="5"/>
    <x v="4"/>
    <n v="14616"/>
    <n v="31045.81"/>
    <n v="6.4"/>
    <n v="2258.8000000000002"/>
    <n v="0.42899999999999999"/>
    <n v="6.6"/>
  </r>
  <r>
    <x v="114"/>
    <x v="6"/>
    <x v="9"/>
    <n v="26074"/>
    <n v="54371.31"/>
    <n v="6.61"/>
    <n v="3997.8"/>
    <n v="0.47099999999999997"/>
    <n v="7.4"/>
  </r>
  <r>
    <x v="114"/>
    <x v="7"/>
    <x v="6"/>
    <n v="30157"/>
    <n v="65706.679999999993"/>
    <n v="6.56"/>
    <n v="4680.1000000000004"/>
    <n v="0.52400000000000002"/>
    <n v="7.2"/>
  </r>
  <r>
    <x v="114"/>
    <x v="8"/>
    <x v="14"/>
    <n v="20909"/>
    <n v="46573.919999999998"/>
    <n v="6.34"/>
    <n v="3233.6"/>
    <n v="0.53300000000000003"/>
    <n v="7.1"/>
  </r>
  <r>
    <x v="114"/>
    <x v="9"/>
    <x v="14"/>
    <n v="18553"/>
    <n v="37328.6"/>
    <n v="6.39"/>
    <n v="2899.1"/>
    <n v="0.6"/>
    <n v="6.7"/>
  </r>
  <r>
    <x v="114"/>
    <x v="10"/>
    <x v="12"/>
    <n v="27274"/>
    <n v="57874.19"/>
    <n v="6.65"/>
    <n v="4186.5"/>
    <n v="0.27800000000000002"/>
    <n v="6.4"/>
  </r>
  <r>
    <x v="114"/>
    <x v="11"/>
    <x v="15"/>
    <n v="34052"/>
    <n v="70616.84"/>
    <n v="6.39"/>
    <n v="5289.8"/>
    <n v="0.34799999999999998"/>
    <n v="6.9"/>
  </r>
  <r>
    <x v="114"/>
    <x v="12"/>
    <x v="6"/>
    <n v="35709"/>
    <n v="78708.100000000006"/>
    <n v="6.72"/>
    <n v="5404.5"/>
    <n v="0.47599999999999998"/>
    <n v="7.5"/>
  </r>
  <r>
    <x v="114"/>
    <x v="13"/>
    <x v="15"/>
    <n v="30002"/>
    <n v="73122.740000000005"/>
    <n v="6.52"/>
    <n v="4736.3"/>
    <n v="0.52200000000000002"/>
    <n v="7.6"/>
  </r>
  <r>
    <x v="114"/>
    <x v="14"/>
    <x v="12"/>
    <n v="26774"/>
    <n v="57638.37"/>
    <n v="6.65"/>
    <n v="4142.8"/>
    <n v="0.61099999999999999"/>
    <n v="6.7"/>
  </r>
  <r>
    <x v="114"/>
    <x v="15"/>
    <x v="1"/>
    <n v="15227"/>
    <n v="30291.52"/>
    <n v="6.53"/>
    <n v="2341.8000000000002"/>
    <n v="0.55600000000000005"/>
    <n v="7.2"/>
  </r>
  <r>
    <x v="114"/>
    <x v="16"/>
    <x v="4"/>
    <n v="17585"/>
    <n v="37582.959999999999"/>
    <n v="6.56"/>
    <n v="2686.1"/>
    <n v="0.5"/>
    <n v="8.1"/>
  </r>
  <r>
    <x v="114"/>
    <x v="17"/>
    <x v="2"/>
    <n v="25539"/>
    <n v="57650.66"/>
    <n v="6.7"/>
    <n v="3882.6"/>
    <n v="0.4"/>
    <n v="7.1"/>
  </r>
  <r>
    <x v="114"/>
    <x v="18"/>
    <x v="7"/>
    <n v="20031"/>
    <n v="42216.56"/>
    <n v="6.58"/>
    <n v="3100.8"/>
    <n v="0.75"/>
    <n v="8.6999999999999993"/>
  </r>
  <r>
    <x v="114"/>
    <x v="19"/>
    <x v="1"/>
    <n v="9212"/>
    <n v="17721.7"/>
    <n v="6.5"/>
    <n v="1456.2"/>
    <n v="0.44400000000000001"/>
    <n v="6.5"/>
  </r>
  <r>
    <x v="114"/>
    <x v="20"/>
    <x v="2"/>
    <n v="35029"/>
    <n v="79844.3"/>
    <n v="6.46"/>
    <n v="5507.9"/>
    <n v="0.65"/>
    <n v="7.6"/>
  </r>
  <r>
    <x v="114"/>
    <x v="21"/>
    <x v="15"/>
    <n v="39775"/>
    <n v="79504.009999999995"/>
    <n v="6.51"/>
    <n v="6252"/>
    <n v="0.47799999999999998"/>
    <n v="7.2"/>
  </r>
  <r>
    <x v="114"/>
    <x v="22"/>
    <x v="2"/>
    <n v="31708"/>
    <n v="60977.3"/>
    <n v="6.43"/>
    <n v="5074.5"/>
    <n v="0.45"/>
    <n v="7.3"/>
  </r>
  <r>
    <x v="114"/>
    <x v="23"/>
    <x v="9"/>
    <n v="25579"/>
    <n v="55497.21"/>
    <n v="6.55"/>
    <n v="3937.6"/>
    <n v="0.41199999999999998"/>
    <n v="6.9"/>
  </r>
  <r>
    <x v="114"/>
    <x v="24"/>
    <x v="3"/>
    <n v="24540"/>
    <n v="52934.03"/>
    <n v="6.5"/>
    <n v="3799.2"/>
    <n v="0.36799999999999999"/>
    <n v="7"/>
  </r>
  <r>
    <x v="114"/>
    <x v="25"/>
    <x v="9"/>
    <n v="23299"/>
    <n v="51976.07"/>
    <n v="6.85"/>
    <n v="3421.9"/>
    <n v="0.41199999999999998"/>
    <n v="7.8"/>
  </r>
  <r>
    <x v="114"/>
    <x v="26"/>
    <x v="6"/>
    <n v="27046"/>
    <n v="58208.01"/>
    <n v="6.52"/>
    <n v="4284.1000000000004"/>
    <n v="0.38100000000000001"/>
    <n v="6.6"/>
  </r>
  <r>
    <x v="114"/>
    <x v="27"/>
    <x v="11"/>
    <n v="33757"/>
    <n v="75943.38"/>
    <n v="6.61"/>
    <n v="5134"/>
    <n v="0.45800000000000002"/>
    <n v="6.1"/>
  </r>
  <r>
    <x v="114"/>
    <x v="28"/>
    <x v="0"/>
    <n v="36361"/>
    <n v="82244.47"/>
    <n v="6.57"/>
    <n v="5463.5"/>
    <n v="0.38500000000000001"/>
    <n v="7.9"/>
  </r>
  <r>
    <x v="114"/>
    <x v="29"/>
    <x v="14"/>
    <n v="21252"/>
    <n v="44270.95"/>
    <n v="6.38"/>
    <n v="3311.2"/>
    <n v="0.46700000000000003"/>
    <n v="7.4"/>
  </r>
  <r>
    <x v="114"/>
    <x v="30"/>
    <x v="14"/>
    <n v="22328"/>
    <n v="45473.47"/>
    <n v="6.42"/>
    <n v="3468.9"/>
    <n v="0.46700000000000003"/>
    <n v="6.7"/>
  </r>
  <r>
    <x v="114"/>
    <x v="31"/>
    <x v="10"/>
    <n v="48066"/>
    <n v="105809.17"/>
    <n v="6.58"/>
    <n v="7316.7"/>
    <n v="0.33300000000000002"/>
    <n v="7.7"/>
  </r>
  <r>
    <x v="114"/>
    <x v="32"/>
    <x v="2"/>
    <n v="31667"/>
    <n v="67138.899999999994"/>
    <n v="6.59"/>
    <n v="4762.5"/>
    <n v="0.75"/>
    <n v="6.6"/>
  </r>
  <r>
    <x v="114"/>
    <x v="33"/>
    <x v="12"/>
    <n v="19205"/>
    <n v="42378.38"/>
    <n v="6.29"/>
    <n v="3086.5"/>
    <n v="0.38900000000000001"/>
    <n v="7.1"/>
  </r>
  <r>
    <x v="114"/>
    <x v="34"/>
    <x v="11"/>
    <n v="34883"/>
    <n v="81183.289999999994"/>
    <n v="6.7"/>
    <n v="5255.9"/>
    <n v="0.5"/>
    <n v="6.8"/>
  </r>
  <r>
    <x v="114"/>
    <x v="35"/>
    <x v="3"/>
    <n v="27297"/>
    <n v="65714.259999999995"/>
    <n v="6.65"/>
    <n v="4096.3999999999996"/>
    <n v="0.36799999999999999"/>
    <n v="7.1"/>
  </r>
  <r>
    <x v="115"/>
    <x v="0"/>
    <x v="11"/>
    <n v="32596"/>
    <n v="68534.86"/>
    <n v="6.44"/>
    <n v="5093.7"/>
    <n v="0.375"/>
    <n v="6.7"/>
  </r>
  <r>
    <x v="115"/>
    <x v="1"/>
    <x v="12"/>
    <n v="30407"/>
    <n v="57323.38"/>
    <n v="6.7"/>
    <n v="4565.6000000000004"/>
    <n v="0.61099999999999999"/>
    <n v="7"/>
  </r>
  <r>
    <x v="115"/>
    <x v="2"/>
    <x v="6"/>
    <n v="18600"/>
    <n v="38132.03"/>
    <n v="6.56"/>
    <n v="2906.4"/>
    <n v="0.28599999999999998"/>
    <n v="6.5"/>
  </r>
  <r>
    <x v="115"/>
    <x v="3"/>
    <x v="2"/>
    <n v="26719"/>
    <n v="52865.440000000002"/>
    <n v="6.72"/>
    <n v="4047.9"/>
    <n v="0.4"/>
    <n v="6.7"/>
  </r>
  <r>
    <x v="115"/>
    <x v="4"/>
    <x v="12"/>
    <n v="25192"/>
    <n v="55345.22"/>
    <n v="6.54"/>
    <n v="3888.7"/>
    <n v="0.33300000000000002"/>
    <n v="8.9"/>
  </r>
  <r>
    <x v="115"/>
    <x v="5"/>
    <x v="2"/>
    <n v="27411"/>
    <n v="54512.51"/>
    <n v="6.54"/>
    <n v="4314.3999999999996"/>
    <n v="0.45"/>
    <n v="7.6"/>
  </r>
  <r>
    <x v="115"/>
    <x v="6"/>
    <x v="14"/>
    <n v="19826"/>
    <n v="39179.51"/>
    <n v="6.43"/>
    <n v="3174"/>
    <n v="0.6"/>
    <n v="7.3"/>
  </r>
  <r>
    <x v="115"/>
    <x v="7"/>
    <x v="9"/>
    <n v="18949"/>
    <n v="39965.69"/>
    <n v="6.2"/>
    <n v="3026.4"/>
    <n v="0.41199999999999998"/>
    <n v="6.5"/>
  </r>
  <r>
    <x v="115"/>
    <x v="8"/>
    <x v="10"/>
    <n v="34027"/>
    <n v="71963.399999999994"/>
    <n v="6.32"/>
    <n v="5464.3"/>
    <n v="0.63"/>
    <n v="7.4"/>
  </r>
  <r>
    <x v="115"/>
    <x v="9"/>
    <x v="8"/>
    <n v="18032"/>
    <n v="35158.86"/>
    <n v="6.35"/>
    <n v="2859.8"/>
    <n v="0.5"/>
    <n v="6.9"/>
  </r>
  <r>
    <x v="115"/>
    <x v="10"/>
    <x v="9"/>
    <n v="22907"/>
    <n v="45522.3"/>
    <n v="6.41"/>
    <n v="3608.8"/>
    <n v="0.58799999999999997"/>
    <n v="5.4"/>
  </r>
  <r>
    <x v="115"/>
    <x v="11"/>
    <x v="12"/>
    <n v="24336"/>
    <n v="50288.93"/>
    <n v="6.36"/>
    <n v="3811.8"/>
    <n v="0.38900000000000001"/>
    <n v="6.7"/>
  </r>
  <r>
    <x v="115"/>
    <x v="12"/>
    <x v="12"/>
    <n v="28822"/>
    <n v="61287.32"/>
    <n v="6.28"/>
    <n v="4651.8"/>
    <n v="0.38900000000000001"/>
    <n v="7.3"/>
  </r>
  <r>
    <x v="115"/>
    <x v="13"/>
    <x v="12"/>
    <n v="24597"/>
    <n v="55830.21"/>
    <n v="6.3"/>
    <n v="3906"/>
    <n v="0.61099999999999999"/>
    <n v="6.7"/>
  </r>
  <r>
    <x v="115"/>
    <x v="14"/>
    <x v="13"/>
    <n v="29974"/>
    <n v="65809.23"/>
    <n v="6.72"/>
    <n v="4485.5"/>
    <n v="0.63600000000000001"/>
    <n v="8.1999999999999993"/>
  </r>
  <r>
    <x v="115"/>
    <x v="15"/>
    <x v="15"/>
    <n v="35749"/>
    <n v="82661.41"/>
    <n v="6.49"/>
    <n v="5404.6"/>
    <n v="0.435"/>
    <n v="5.9"/>
  </r>
  <r>
    <x v="115"/>
    <x v="16"/>
    <x v="14"/>
    <n v="19233"/>
    <n v="44685.15"/>
    <n v="6.18"/>
    <n v="3187.6"/>
    <n v="0.2"/>
    <n v="7"/>
  </r>
  <r>
    <x v="115"/>
    <x v="17"/>
    <x v="8"/>
    <n v="25559"/>
    <n v="54573.37"/>
    <n v="6.48"/>
    <n v="3934.9"/>
    <n v="0.375"/>
    <n v="8"/>
  </r>
  <r>
    <x v="115"/>
    <x v="18"/>
    <x v="23"/>
    <n v="50508"/>
    <n v="108759.66"/>
    <n v="6.45"/>
    <n v="7916.3"/>
    <n v="0.36699999999999999"/>
    <n v="7.1"/>
  </r>
  <r>
    <x v="115"/>
    <x v="19"/>
    <x v="6"/>
    <n v="31283"/>
    <n v="67995.53"/>
    <n v="6.43"/>
    <n v="4882.2"/>
    <n v="0.33300000000000002"/>
    <n v="6.6"/>
  </r>
  <r>
    <x v="115"/>
    <x v="20"/>
    <x v="14"/>
    <n v="23222"/>
    <n v="53813.32"/>
    <n v="6.52"/>
    <n v="3664.2"/>
    <n v="0.46700000000000003"/>
    <n v="7.2"/>
  </r>
  <r>
    <x v="115"/>
    <x v="21"/>
    <x v="8"/>
    <n v="20694"/>
    <n v="41074.67"/>
    <n v="6.69"/>
    <n v="3091.3"/>
    <n v="0.438"/>
    <n v="6.5"/>
  </r>
  <r>
    <x v="115"/>
    <x v="22"/>
    <x v="17"/>
    <n v="37427"/>
    <n v="79866.080000000002"/>
    <n v="6.46"/>
    <n v="5880.1"/>
    <n v="0.56000000000000005"/>
    <n v="7"/>
  </r>
  <r>
    <x v="115"/>
    <x v="23"/>
    <x v="12"/>
    <n v="28030"/>
    <n v="56194.13"/>
    <n v="6.64"/>
    <n v="4260.1000000000004"/>
    <n v="0.222"/>
    <n v="7.3"/>
  </r>
  <r>
    <x v="115"/>
    <x v="24"/>
    <x v="6"/>
    <n v="31387"/>
    <n v="64860.28"/>
    <n v="6.51"/>
    <n v="4820.8999999999996"/>
    <n v="0.47599999999999998"/>
    <n v="7.5"/>
  </r>
  <r>
    <x v="115"/>
    <x v="25"/>
    <x v="9"/>
    <n v="27014"/>
    <n v="61578.68"/>
    <n v="6.42"/>
    <n v="4243.3999999999996"/>
    <n v="0.35299999999999998"/>
    <n v="7"/>
  </r>
  <r>
    <x v="115"/>
    <x v="26"/>
    <x v="3"/>
    <n v="24471"/>
    <n v="49447"/>
    <n v="6.62"/>
    <n v="3653.3"/>
    <n v="0.42099999999999999"/>
    <n v="7.6"/>
  </r>
  <r>
    <x v="115"/>
    <x v="27"/>
    <x v="10"/>
    <n v="39668"/>
    <n v="84570.04"/>
    <n v="6.46"/>
    <n v="6185.1"/>
    <n v="0.44400000000000001"/>
    <n v="7.1"/>
  </r>
  <r>
    <x v="115"/>
    <x v="28"/>
    <x v="3"/>
    <n v="24648"/>
    <n v="53481"/>
    <n v="6.27"/>
    <n v="3929.2"/>
    <n v="0.52600000000000002"/>
    <n v="7.6"/>
  </r>
  <r>
    <x v="115"/>
    <x v="29"/>
    <x v="15"/>
    <n v="30778"/>
    <n v="65465.09"/>
    <n v="6.43"/>
    <n v="4772.5"/>
    <n v="0.65200000000000002"/>
    <n v="6.8"/>
  </r>
  <r>
    <x v="115"/>
    <x v="30"/>
    <x v="18"/>
    <n v="49991"/>
    <n v="114721.21"/>
    <n v="6.32"/>
    <n v="7953.7"/>
    <n v="0.438"/>
    <n v="6.9"/>
  </r>
  <r>
    <x v="115"/>
    <x v="31"/>
    <x v="12"/>
    <n v="23765"/>
    <n v="52658.28"/>
    <n v="6.48"/>
    <n v="3675.2"/>
    <n v="0.44400000000000001"/>
    <n v="7.3"/>
  </r>
  <r>
    <x v="115"/>
    <x v="32"/>
    <x v="12"/>
    <n v="27513"/>
    <n v="63344.57"/>
    <n v="6.53"/>
    <n v="4266.6000000000004"/>
    <n v="0.38900000000000001"/>
    <n v="7.4"/>
  </r>
  <r>
    <x v="115"/>
    <x v="33"/>
    <x v="9"/>
    <n v="28225"/>
    <n v="65385.04"/>
    <n v="6.68"/>
    <n v="4202.5"/>
    <n v="0.52900000000000003"/>
    <n v="6.6"/>
  </r>
  <r>
    <x v="115"/>
    <x v="34"/>
    <x v="3"/>
    <n v="18973"/>
    <n v="40238.17"/>
    <n v="6.44"/>
    <n v="2998.7"/>
    <n v="0.36799999999999999"/>
    <n v="7.4"/>
  </r>
  <r>
    <x v="115"/>
    <x v="35"/>
    <x v="5"/>
    <n v="19032"/>
    <n v="45963.83"/>
    <n v="6.47"/>
    <n v="2981.3"/>
    <n v="0.46200000000000002"/>
    <n v="7"/>
  </r>
  <r>
    <x v="116"/>
    <x v="0"/>
    <x v="15"/>
    <n v="34001"/>
    <n v="74305.89"/>
    <n v="6.4"/>
    <n v="5297.7"/>
    <n v="0.39100000000000001"/>
    <n v="6.6"/>
  </r>
  <r>
    <x v="116"/>
    <x v="1"/>
    <x v="2"/>
    <n v="28479"/>
    <n v="61356.03"/>
    <n v="6.47"/>
    <n v="4380.2"/>
    <n v="0.5"/>
    <n v="7.6"/>
  </r>
  <r>
    <x v="116"/>
    <x v="2"/>
    <x v="13"/>
    <n v="32624"/>
    <n v="68629.27"/>
    <n v="6.42"/>
    <n v="5115.8"/>
    <n v="0.45500000000000002"/>
    <n v="7.1"/>
  </r>
  <r>
    <x v="116"/>
    <x v="3"/>
    <x v="9"/>
    <n v="20029"/>
    <n v="40763.01"/>
    <n v="6.37"/>
    <n v="3102.2"/>
    <n v="0.35299999999999998"/>
    <n v="4.9000000000000004"/>
  </r>
  <r>
    <x v="116"/>
    <x v="4"/>
    <x v="12"/>
    <n v="29495"/>
    <n v="61455.97"/>
    <n v="6.65"/>
    <n v="4405"/>
    <n v="0.5"/>
    <n v="7.3"/>
  </r>
  <r>
    <x v="116"/>
    <x v="5"/>
    <x v="14"/>
    <n v="24645"/>
    <n v="53827.94"/>
    <n v="6.61"/>
    <n v="3717.4"/>
    <n v="0.46700000000000003"/>
    <n v="6.7"/>
  </r>
  <r>
    <x v="116"/>
    <x v="6"/>
    <x v="8"/>
    <n v="22144"/>
    <n v="51118.03"/>
    <n v="6.64"/>
    <n v="3399.4"/>
    <n v="0.375"/>
    <n v="6.6"/>
  </r>
  <r>
    <x v="116"/>
    <x v="7"/>
    <x v="15"/>
    <n v="40303"/>
    <n v="87321.600000000006"/>
    <n v="6.72"/>
    <n v="6070"/>
    <n v="0.52200000000000002"/>
    <n v="7"/>
  </r>
  <r>
    <x v="116"/>
    <x v="8"/>
    <x v="8"/>
    <n v="24038"/>
    <n v="52312.32"/>
    <n v="6.4"/>
    <n v="3772.4"/>
    <n v="0.312"/>
    <n v="6.7"/>
  </r>
  <r>
    <x v="116"/>
    <x v="9"/>
    <x v="5"/>
    <n v="19013"/>
    <n v="38298.07"/>
    <n v="6.28"/>
    <n v="3032.3"/>
    <n v="0.46200000000000002"/>
    <n v="5.5"/>
  </r>
  <r>
    <x v="116"/>
    <x v="10"/>
    <x v="2"/>
    <n v="23397"/>
    <n v="52093.17"/>
    <n v="6.48"/>
    <n v="3598.8"/>
    <n v="0.55000000000000004"/>
    <n v="7.9"/>
  </r>
  <r>
    <x v="116"/>
    <x v="11"/>
    <x v="10"/>
    <n v="40630"/>
    <n v="91565.62"/>
    <n v="6.54"/>
    <n v="6284.9"/>
    <n v="0.40699999999999997"/>
    <n v="6.8"/>
  </r>
  <r>
    <x v="116"/>
    <x v="12"/>
    <x v="3"/>
    <n v="28696"/>
    <n v="63955.94"/>
    <n v="6.58"/>
    <n v="4412.7"/>
    <n v="0.57899999999999996"/>
    <n v="6.4"/>
  </r>
  <r>
    <x v="116"/>
    <x v="13"/>
    <x v="21"/>
    <n v="16955"/>
    <n v="37862.589999999997"/>
    <n v="6.68"/>
    <n v="2542.9"/>
    <n v="0.36399999999999999"/>
    <n v="7.5"/>
  </r>
  <r>
    <x v="116"/>
    <x v="14"/>
    <x v="4"/>
    <n v="16395"/>
    <n v="32281.5"/>
    <n v="6.4"/>
    <n v="2569.6999999999998"/>
    <n v="0.28599999999999998"/>
    <n v="7.5"/>
  </r>
  <r>
    <x v="116"/>
    <x v="15"/>
    <x v="5"/>
    <n v="15364"/>
    <n v="35012.83"/>
    <n v="6.61"/>
    <n v="2354.3000000000002"/>
    <n v="0.53800000000000003"/>
    <n v="6.5"/>
  </r>
  <r>
    <x v="116"/>
    <x v="16"/>
    <x v="5"/>
    <n v="24368"/>
    <n v="53084.5"/>
    <n v="6.57"/>
    <n v="3747"/>
    <n v="0.46200000000000002"/>
    <n v="5.9"/>
  </r>
  <r>
    <x v="116"/>
    <x v="17"/>
    <x v="12"/>
    <n v="26561"/>
    <n v="58461.86"/>
    <n v="6.6"/>
    <n v="4062"/>
    <n v="0.44400000000000001"/>
    <n v="7.8"/>
  </r>
  <r>
    <x v="116"/>
    <x v="18"/>
    <x v="6"/>
    <n v="33467"/>
    <n v="74918.570000000007"/>
    <n v="6.53"/>
    <n v="5164.3"/>
    <n v="0.47599999999999998"/>
    <n v="7.7"/>
  </r>
  <r>
    <x v="116"/>
    <x v="19"/>
    <x v="14"/>
    <n v="22429"/>
    <n v="45209.91"/>
    <n v="6.29"/>
    <n v="3620.1"/>
    <n v="0.33300000000000002"/>
    <n v="6.3"/>
  </r>
  <r>
    <x v="116"/>
    <x v="20"/>
    <x v="3"/>
    <n v="31911"/>
    <n v="69695.47"/>
    <n v="6.41"/>
    <n v="4974.3"/>
    <n v="0.26300000000000001"/>
    <n v="7.4"/>
  </r>
  <r>
    <x v="116"/>
    <x v="21"/>
    <x v="8"/>
    <n v="23071"/>
    <n v="45869.79"/>
    <n v="6.34"/>
    <n v="3625.7"/>
    <n v="0.438"/>
    <n v="7.2"/>
  </r>
  <r>
    <x v="116"/>
    <x v="22"/>
    <x v="13"/>
    <n v="32204"/>
    <n v="60778.080000000002"/>
    <n v="6.73"/>
    <n v="4882.6000000000004"/>
    <n v="0.36399999999999999"/>
    <n v="6.7"/>
  </r>
  <r>
    <x v="116"/>
    <x v="23"/>
    <x v="11"/>
    <n v="27964"/>
    <n v="60210.34"/>
    <n v="6.42"/>
    <n v="4444.8999999999996"/>
    <n v="0.29199999999999998"/>
    <n v="6.4"/>
  </r>
  <r>
    <x v="116"/>
    <x v="24"/>
    <x v="12"/>
    <n v="21043"/>
    <n v="49959.360000000001"/>
    <n v="6.39"/>
    <n v="3316.6"/>
    <n v="0.61099999999999999"/>
    <n v="6.9"/>
  </r>
  <r>
    <x v="116"/>
    <x v="25"/>
    <x v="5"/>
    <n v="18326"/>
    <n v="36027.980000000003"/>
    <n v="6.23"/>
    <n v="2941"/>
    <n v="0.38500000000000001"/>
    <n v="6.4"/>
  </r>
  <r>
    <x v="116"/>
    <x v="26"/>
    <x v="2"/>
    <n v="23910"/>
    <n v="50221.64"/>
    <n v="6.5"/>
    <n v="3605.4"/>
    <n v="0.6"/>
    <n v="6.6"/>
  </r>
  <r>
    <x v="116"/>
    <x v="27"/>
    <x v="0"/>
    <n v="44019"/>
    <n v="99974.34"/>
    <n v="6.47"/>
    <n v="6818.1"/>
    <n v="0.42299999999999999"/>
    <n v="7.9"/>
  </r>
  <r>
    <x v="116"/>
    <x v="28"/>
    <x v="15"/>
    <n v="41603"/>
    <n v="89154.22"/>
    <n v="6.35"/>
    <n v="6623.7"/>
    <n v="0.52200000000000002"/>
    <n v="7.3"/>
  </r>
  <r>
    <x v="116"/>
    <x v="29"/>
    <x v="9"/>
    <n v="20945"/>
    <n v="45269.84"/>
    <n v="6.45"/>
    <n v="3276.9"/>
    <n v="0.52900000000000003"/>
    <n v="6.6"/>
  </r>
  <r>
    <x v="116"/>
    <x v="30"/>
    <x v="7"/>
    <n v="19525"/>
    <n v="39450.800000000003"/>
    <n v="6.59"/>
    <n v="2997"/>
    <n v="0.5"/>
    <n v="6.9"/>
  </r>
  <r>
    <x v="116"/>
    <x v="31"/>
    <x v="22"/>
    <n v="43409"/>
    <n v="89701.69"/>
    <n v="6.55"/>
    <n v="6690"/>
    <n v="0.5"/>
    <n v="7.2"/>
  </r>
  <r>
    <x v="116"/>
    <x v="32"/>
    <x v="13"/>
    <n v="30297"/>
    <n v="66321.08"/>
    <n v="6.45"/>
    <n v="4687.2"/>
    <n v="0.40899999999999997"/>
    <n v="6.9"/>
  </r>
  <r>
    <x v="116"/>
    <x v="33"/>
    <x v="7"/>
    <n v="13802"/>
    <n v="27131.98"/>
    <n v="6.59"/>
    <n v="2087.1"/>
    <n v="0.41699999999999998"/>
    <n v="9"/>
  </r>
  <r>
    <x v="116"/>
    <x v="34"/>
    <x v="6"/>
    <n v="28111"/>
    <n v="60940.4"/>
    <n v="6.32"/>
    <n v="4528.1000000000004"/>
    <n v="0.42899999999999999"/>
    <n v="7"/>
  </r>
  <r>
    <x v="116"/>
    <x v="35"/>
    <x v="6"/>
    <n v="32546"/>
    <n v="73584.59"/>
    <n v="6.33"/>
    <n v="5210.3999999999996"/>
    <n v="0.47599999999999998"/>
    <n v="6.9"/>
  </r>
  <r>
    <x v="117"/>
    <x v="0"/>
    <x v="19"/>
    <n v="19919"/>
    <n v="40824.92"/>
    <n v="6.41"/>
    <n v="3180.7"/>
    <n v="0.3"/>
    <n v="7.2"/>
  </r>
  <r>
    <x v="117"/>
    <x v="1"/>
    <x v="7"/>
    <n v="22161"/>
    <n v="48293.43"/>
    <n v="6.34"/>
    <n v="3486.6"/>
    <n v="0.5"/>
    <n v="5.5"/>
  </r>
  <r>
    <x v="117"/>
    <x v="2"/>
    <x v="5"/>
    <n v="18201"/>
    <n v="37630"/>
    <n v="6.55"/>
    <n v="2777"/>
    <n v="0.46200000000000002"/>
    <n v="7.1"/>
  </r>
  <r>
    <x v="117"/>
    <x v="3"/>
    <x v="13"/>
    <n v="37013"/>
    <n v="85300.02"/>
    <n v="6.55"/>
    <n v="5723.1"/>
    <n v="0.40899999999999997"/>
    <n v="7.5"/>
  </r>
  <r>
    <x v="117"/>
    <x v="4"/>
    <x v="8"/>
    <n v="26546"/>
    <n v="57179.53"/>
    <n v="6.58"/>
    <n v="4062.2"/>
    <n v="0.375"/>
    <n v="8.1999999999999993"/>
  </r>
  <r>
    <x v="117"/>
    <x v="5"/>
    <x v="3"/>
    <n v="23935"/>
    <n v="56805.32"/>
    <n v="6.36"/>
    <n v="3783.3"/>
    <n v="0.36799999999999999"/>
    <n v="6.5"/>
  </r>
  <r>
    <x v="117"/>
    <x v="6"/>
    <x v="15"/>
    <n v="34381"/>
    <n v="71152.53"/>
    <n v="6.51"/>
    <n v="5361.4"/>
    <n v="0.60899999999999999"/>
    <n v="8.4"/>
  </r>
  <r>
    <x v="117"/>
    <x v="7"/>
    <x v="3"/>
    <n v="27578"/>
    <n v="63707.93"/>
    <n v="6.61"/>
    <n v="4219.3999999999996"/>
    <n v="0.52600000000000002"/>
    <n v="7.3"/>
  </r>
  <r>
    <x v="117"/>
    <x v="8"/>
    <x v="4"/>
    <n v="23340"/>
    <n v="49603.32"/>
    <n v="6.6"/>
    <n v="3470.7"/>
    <n v="0.57099999999999995"/>
    <n v="6.8"/>
  </r>
  <r>
    <x v="117"/>
    <x v="9"/>
    <x v="3"/>
    <n v="25725"/>
    <n v="52801.440000000002"/>
    <n v="6.44"/>
    <n v="3989.1"/>
    <n v="0.47399999999999998"/>
    <n v="7.2"/>
  </r>
  <r>
    <x v="117"/>
    <x v="10"/>
    <x v="15"/>
    <n v="35522"/>
    <n v="81628.11"/>
    <n v="6.61"/>
    <n v="5482.5"/>
    <n v="0.34799999999999998"/>
    <n v="6.7"/>
  </r>
  <r>
    <x v="117"/>
    <x v="11"/>
    <x v="0"/>
    <n v="34471"/>
    <n v="75033.240000000005"/>
    <n v="6.48"/>
    <n v="5360.6"/>
    <n v="0.5"/>
    <n v="7.3"/>
  </r>
  <r>
    <x v="117"/>
    <x v="12"/>
    <x v="9"/>
    <n v="26448"/>
    <n v="49511.58"/>
    <n v="6.27"/>
    <n v="4217"/>
    <n v="0.41199999999999998"/>
    <n v="7"/>
  </r>
  <r>
    <x v="117"/>
    <x v="13"/>
    <x v="9"/>
    <n v="27817"/>
    <n v="60150.78"/>
    <n v="6.81"/>
    <n v="4056.8"/>
    <n v="0.47099999999999997"/>
    <n v="6.7"/>
  </r>
  <r>
    <x v="117"/>
    <x v="14"/>
    <x v="15"/>
    <n v="33435"/>
    <n v="76791.289999999994"/>
    <n v="6.67"/>
    <n v="5084.8"/>
    <n v="0.435"/>
    <n v="7.7"/>
  </r>
  <r>
    <x v="117"/>
    <x v="15"/>
    <x v="3"/>
    <n v="23882"/>
    <n v="53310.14"/>
    <n v="6.46"/>
    <n v="3684.8"/>
    <n v="0.36799999999999999"/>
    <n v="7.3"/>
  </r>
  <r>
    <x v="117"/>
    <x v="16"/>
    <x v="3"/>
    <n v="25529"/>
    <n v="55085.03"/>
    <n v="6.72"/>
    <n v="3809"/>
    <n v="0.52600000000000002"/>
    <n v="6.5"/>
  </r>
  <r>
    <x v="117"/>
    <x v="17"/>
    <x v="11"/>
    <n v="37980"/>
    <n v="86225.29"/>
    <n v="6.47"/>
    <n v="5906.4"/>
    <n v="0.29199999999999998"/>
    <n v="6.4"/>
  </r>
  <r>
    <x v="117"/>
    <x v="18"/>
    <x v="17"/>
    <n v="30061"/>
    <n v="60701.23"/>
    <n v="6.52"/>
    <n v="4693.8999999999996"/>
    <n v="0.52"/>
    <n v="7.4"/>
  </r>
  <r>
    <x v="117"/>
    <x v="19"/>
    <x v="8"/>
    <n v="25448"/>
    <n v="58336.21"/>
    <n v="6.4"/>
    <n v="4044.6"/>
    <n v="0.188"/>
    <n v="8.4"/>
  </r>
  <r>
    <x v="117"/>
    <x v="20"/>
    <x v="4"/>
    <n v="17342"/>
    <n v="36954.19"/>
    <n v="6.44"/>
    <n v="2676.1"/>
    <n v="0.42899999999999999"/>
    <n v="7.4"/>
  </r>
  <r>
    <x v="117"/>
    <x v="21"/>
    <x v="13"/>
    <n v="32714"/>
    <n v="71298.789999999994"/>
    <n v="6.43"/>
    <n v="5158.3999999999996"/>
    <n v="0.40899999999999997"/>
    <n v="6.9"/>
  </r>
  <r>
    <x v="117"/>
    <x v="22"/>
    <x v="4"/>
    <n v="18716"/>
    <n v="43895.71"/>
    <n v="6.52"/>
    <n v="2862.7"/>
    <n v="0.57099999999999995"/>
    <n v="7"/>
  </r>
  <r>
    <x v="117"/>
    <x v="23"/>
    <x v="12"/>
    <n v="22099"/>
    <n v="46280.79"/>
    <n v="6.58"/>
    <n v="3399.9"/>
    <n v="0.44400000000000001"/>
    <n v="6.9"/>
  </r>
  <r>
    <x v="117"/>
    <x v="24"/>
    <x v="2"/>
    <n v="26096"/>
    <n v="57921.3"/>
    <n v="6.41"/>
    <n v="4110.2"/>
    <n v="0.5"/>
    <n v="6.8"/>
  </r>
  <r>
    <x v="117"/>
    <x v="25"/>
    <x v="12"/>
    <n v="21945"/>
    <n v="47730.35"/>
    <n v="6.39"/>
    <n v="3462.7"/>
    <n v="0.55600000000000005"/>
    <n v="5.9"/>
  </r>
  <r>
    <x v="117"/>
    <x v="26"/>
    <x v="8"/>
    <n v="24693"/>
    <n v="51815.96"/>
    <n v="6.57"/>
    <n v="3811.3"/>
    <n v="0.25"/>
    <n v="6.9"/>
  </r>
  <r>
    <x v="117"/>
    <x v="27"/>
    <x v="2"/>
    <n v="36539"/>
    <n v="81670.97"/>
    <n v="6.61"/>
    <n v="5712.3"/>
    <n v="0.35"/>
    <n v="7"/>
  </r>
  <r>
    <x v="117"/>
    <x v="28"/>
    <x v="12"/>
    <n v="26339"/>
    <n v="57861.64"/>
    <n v="6.39"/>
    <n v="4170"/>
    <n v="0.5"/>
    <n v="6.1"/>
  </r>
  <r>
    <x v="117"/>
    <x v="29"/>
    <x v="22"/>
    <n v="44139"/>
    <n v="95602.41"/>
    <n v="6.64"/>
    <n v="6729.4"/>
    <n v="0.32100000000000001"/>
    <n v="7.1"/>
  </r>
  <r>
    <x v="117"/>
    <x v="30"/>
    <x v="12"/>
    <n v="25227"/>
    <n v="55134.33"/>
    <n v="6.56"/>
    <n v="3833.4"/>
    <n v="0.38900000000000001"/>
    <n v="7.1"/>
  </r>
  <r>
    <x v="117"/>
    <x v="31"/>
    <x v="17"/>
    <n v="33745"/>
    <n v="72371.990000000005"/>
    <n v="6.32"/>
    <n v="5345.1"/>
    <n v="0.36"/>
    <n v="6.6"/>
  </r>
  <r>
    <x v="117"/>
    <x v="32"/>
    <x v="2"/>
    <n v="22184"/>
    <n v="41784.71"/>
    <n v="6.51"/>
    <n v="3447.2"/>
    <n v="0.6"/>
    <n v="6.7"/>
  </r>
  <r>
    <x v="117"/>
    <x v="33"/>
    <x v="17"/>
    <n v="35365"/>
    <n v="72946.83"/>
    <n v="6.57"/>
    <n v="5512.8"/>
    <n v="0.48"/>
    <n v="7.3"/>
  </r>
  <r>
    <x v="117"/>
    <x v="34"/>
    <x v="4"/>
    <n v="15772"/>
    <n v="34397.129999999997"/>
    <n v="6.56"/>
    <n v="2443.6999999999998"/>
    <n v="0.28599999999999998"/>
    <n v="7.3"/>
  </r>
  <r>
    <x v="117"/>
    <x v="35"/>
    <x v="13"/>
    <n v="30113"/>
    <n v="75071.710000000006"/>
    <n v="6.67"/>
    <n v="4662.5"/>
    <n v="0.36399999999999999"/>
    <n v="6.5"/>
  </r>
  <r>
    <x v="118"/>
    <x v="0"/>
    <x v="15"/>
    <n v="30235"/>
    <n v="68221.33"/>
    <n v="6.48"/>
    <n v="4668.7"/>
    <n v="0.52200000000000002"/>
    <n v="7.4"/>
  </r>
  <r>
    <x v="118"/>
    <x v="1"/>
    <x v="12"/>
    <n v="23581"/>
    <n v="50267.09"/>
    <n v="6.32"/>
    <n v="3750.3"/>
    <n v="0.44400000000000001"/>
    <n v="7.8"/>
  </r>
  <r>
    <x v="118"/>
    <x v="2"/>
    <x v="28"/>
    <n v="39553"/>
    <n v="82386.25"/>
    <n v="6.46"/>
    <n v="6196.1"/>
    <n v="0.41399999999999998"/>
    <n v="7.1"/>
  </r>
  <r>
    <x v="118"/>
    <x v="3"/>
    <x v="3"/>
    <n v="30372"/>
    <n v="62245.22"/>
    <n v="6.43"/>
    <n v="4747"/>
    <n v="0.52600000000000002"/>
    <n v="6"/>
  </r>
  <r>
    <x v="118"/>
    <x v="4"/>
    <x v="3"/>
    <n v="27459"/>
    <n v="59750"/>
    <n v="6.43"/>
    <n v="4354.1000000000004"/>
    <n v="0.47399999999999998"/>
    <n v="6.9"/>
  </r>
  <r>
    <x v="118"/>
    <x v="5"/>
    <x v="9"/>
    <n v="24340"/>
    <n v="54643.59"/>
    <n v="6.44"/>
    <n v="3791.8"/>
    <n v="0.35299999999999998"/>
    <n v="6.1"/>
  </r>
  <r>
    <x v="118"/>
    <x v="6"/>
    <x v="14"/>
    <n v="18740"/>
    <n v="40239.11"/>
    <n v="6.65"/>
    <n v="2841.3"/>
    <n v="0.53300000000000003"/>
    <n v="6.2"/>
  </r>
  <r>
    <x v="118"/>
    <x v="7"/>
    <x v="12"/>
    <n v="22869"/>
    <n v="50913.760000000002"/>
    <n v="6.35"/>
    <n v="3570"/>
    <n v="0.5"/>
    <n v="6.3"/>
  </r>
  <r>
    <x v="118"/>
    <x v="8"/>
    <x v="7"/>
    <n v="20150"/>
    <n v="41962.49"/>
    <n v="6.31"/>
    <n v="3321"/>
    <n v="0.25"/>
    <n v="6.3"/>
  </r>
  <r>
    <x v="118"/>
    <x v="9"/>
    <x v="28"/>
    <n v="34222"/>
    <n v="74885.570000000007"/>
    <n v="6.48"/>
    <n v="5377.7"/>
    <n v="0.44800000000000001"/>
    <n v="7"/>
  </r>
  <r>
    <x v="118"/>
    <x v="10"/>
    <x v="5"/>
    <n v="17666"/>
    <n v="36413.730000000003"/>
    <n v="6.61"/>
    <n v="2692.3"/>
    <n v="0.46200000000000002"/>
    <n v="6.6"/>
  </r>
  <r>
    <x v="118"/>
    <x v="11"/>
    <x v="8"/>
    <n v="23512"/>
    <n v="53297.52"/>
    <n v="6.51"/>
    <n v="3648"/>
    <n v="0.375"/>
    <n v="8.3000000000000007"/>
  </r>
  <r>
    <x v="118"/>
    <x v="12"/>
    <x v="5"/>
    <n v="18642"/>
    <n v="35449.61"/>
    <n v="6.47"/>
    <n v="2903.5"/>
    <n v="0.38500000000000001"/>
    <n v="6.2"/>
  </r>
  <r>
    <x v="118"/>
    <x v="13"/>
    <x v="4"/>
    <n v="18959"/>
    <n v="41016.58"/>
    <n v="6.54"/>
    <n v="2899.7"/>
    <n v="0.214"/>
    <n v="6"/>
  </r>
  <r>
    <x v="118"/>
    <x v="14"/>
    <x v="21"/>
    <n v="16634"/>
    <n v="34826.9"/>
    <n v="6.15"/>
    <n v="2661.1"/>
    <n v="0.45500000000000002"/>
    <n v="8.6999999999999993"/>
  </r>
  <r>
    <x v="118"/>
    <x v="15"/>
    <x v="9"/>
    <n v="27217"/>
    <n v="59771.33"/>
    <n v="6.35"/>
    <n v="4364.5"/>
    <n v="0.52900000000000003"/>
    <n v="7.3"/>
  </r>
  <r>
    <x v="118"/>
    <x v="16"/>
    <x v="8"/>
    <n v="21002"/>
    <n v="43945.08"/>
    <n v="6.74"/>
    <n v="3173.5"/>
    <n v="0.438"/>
    <n v="7.2"/>
  </r>
  <r>
    <x v="118"/>
    <x v="17"/>
    <x v="9"/>
    <n v="25181"/>
    <n v="55150.92"/>
    <n v="6.58"/>
    <n v="3869.8"/>
    <n v="0.47099999999999997"/>
    <n v="6.2"/>
  </r>
  <r>
    <x v="118"/>
    <x v="18"/>
    <x v="15"/>
    <n v="38503"/>
    <n v="86518.88"/>
    <n v="6.69"/>
    <n v="5853.4"/>
    <n v="0.26100000000000001"/>
    <n v="7.2"/>
  </r>
  <r>
    <x v="118"/>
    <x v="19"/>
    <x v="8"/>
    <n v="23895"/>
    <n v="45333.09"/>
    <n v="6.44"/>
    <n v="3797.7"/>
    <n v="0.375"/>
    <n v="7.6"/>
  </r>
  <r>
    <x v="118"/>
    <x v="20"/>
    <x v="11"/>
    <n v="34344"/>
    <n v="73225.89"/>
    <n v="6.58"/>
    <n v="5234.5"/>
    <n v="0.45800000000000002"/>
    <n v="7.2"/>
  </r>
  <r>
    <x v="118"/>
    <x v="21"/>
    <x v="22"/>
    <n v="32346"/>
    <n v="68448.23"/>
    <n v="6.76"/>
    <n v="4807.5"/>
    <n v="0.35699999999999998"/>
    <n v="6.2"/>
  </r>
  <r>
    <x v="118"/>
    <x v="22"/>
    <x v="8"/>
    <n v="20496"/>
    <n v="43752.69"/>
    <n v="6.44"/>
    <n v="3196.3"/>
    <n v="0.438"/>
    <n v="7.2"/>
  </r>
  <r>
    <x v="118"/>
    <x v="23"/>
    <x v="9"/>
    <n v="25314"/>
    <n v="57452.36"/>
    <n v="6.45"/>
    <n v="3961.5"/>
    <n v="0.58799999999999997"/>
    <n v="6.8"/>
  </r>
  <r>
    <x v="118"/>
    <x v="24"/>
    <x v="3"/>
    <n v="33476"/>
    <n v="69010.86"/>
    <n v="6.52"/>
    <n v="5231.2"/>
    <n v="0.52600000000000002"/>
    <n v="7.9"/>
  </r>
  <r>
    <x v="118"/>
    <x v="25"/>
    <x v="15"/>
    <n v="29877"/>
    <n v="68369.149999999994"/>
    <n v="6.46"/>
    <n v="4585.5"/>
    <n v="0.39100000000000001"/>
    <n v="6.6"/>
  </r>
  <r>
    <x v="118"/>
    <x v="26"/>
    <x v="9"/>
    <n v="25193"/>
    <n v="58314.04"/>
    <n v="6.47"/>
    <n v="3859.7"/>
    <n v="0.64700000000000002"/>
    <n v="6.9"/>
  </r>
  <r>
    <x v="118"/>
    <x v="27"/>
    <x v="17"/>
    <n v="30266"/>
    <n v="66499.429999999993"/>
    <n v="6.54"/>
    <n v="4635.1000000000004"/>
    <n v="0.44"/>
    <n v="6.8"/>
  </r>
  <r>
    <x v="118"/>
    <x v="28"/>
    <x v="3"/>
    <n v="27030"/>
    <n v="60236.480000000003"/>
    <n v="6.43"/>
    <n v="4199.1000000000004"/>
    <n v="0.316"/>
    <n v="6.2"/>
  </r>
  <r>
    <x v="118"/>
    <x v="29"/>
    <x v="17"/>
    <n v="35351"/>
    <n v="74398.92"/>
    <n v="6.52"/>
    <n v="5517.6"/>
    <n v="0.68"/>
    <n v="6"/>
  </r>
  <r>
    <x v="118"/>
    <x v="30"/>
    <x v="9"/>
    <n v="21228"/>
    <n v="46147.02"/>
    <n v="6.54"/>
    <n v="3295.4"/>
    <n v="0.64700000000000002"/>
    <n v="7.7"/>
  </r>
  <r>
    <x v="118"/>
    <x v="31"/>
    <x v="3"/>
    <n v="31303"/>
    <n v="63364.3"/>
    <n v="6.41"/>
    <n v="4897"/>
    <n v="0.47399999999999998"/>
    <n v="6.7"/>
  </r>
  <r>
    <x v="118"/>
    <x v="32"/>
    <x v="3"/>
    <n v="22687"/>
    <n v="46425.73"/>
    <n v="6.46"/>
    <n v="3551.5"/>
    <n v="0.316"/>
    <n v="7.5"/>
  </r>
  <r>
    <x v="118"/>
    <x v="33"/>
    <x v="17"/>
    <n v="33935"/>
    <n v="76114.98"/>
    <n v="6.29"/>
    <n v="5413.2"/>
    <n v="0.56000000000000005"/>
    <n v="7.1"/>
  </r>
  <r>
    <x v="118"/>
    <x v="34"/>
    <x v="14"/>
    <n v="19903"/>
    <n v="44884.7"/>
    <n v="6.31"/>
    <n v="3192.7"/>
    <n v="0.33300000000000002"/>
    <n v="7.1"/>
  </r>
  <r>
    <x v="118"/>
    <x v="35"/>
    <x v="17"/>
    <n v="32917"/>
    <n v="70163.25"/>
    <n v="6.51"/>
    <n v="5193.2"/>
    <n v="0.32"/>
    <n v="7.4"/>
  </r>
  <r>
    <x v="119"/>
    <x v="0"/>
    <x v="14"/>
    <n v="16552"/>
    <n v="34880.01"/>
    <n v="6.45"/>
    <n v="2548.4"/>
    <n v="0.4"/>
    <n v="7"/>
  </r>
  <r>
    <x v="119"/>
    <x v="1"/>
    <x v="13"/>
    <n v="31356"/>
    <n v="71786.06"/>
    <n v="6.46"/>
    <n v="4853.8999999999996"/>
    <n v="0.45500000000000002"/>
    <n v="7.3"/>
  </r>
  <r>
    <x v="119"/>
    <x v="2"/>
    <x v="3"/>
    <n v="24049"/>
    <n v="54008.160000000003"/>
    <n v="6.6"/>
    <n v="3595"/>
    <n v="0.42099999999999999"/>
    <n v="6.6"/>
  </r>
  <r>
    <x v="119"/>
    <x v="3"/>
    <x v="6"/>
    <n v="31882"/>
    <n v="64733.03"/>
    <n v="6.44"/>
    <n v="5059.8999999999996"/>
    <n v="0.38100000000000001"/>
    <n v="7.7"/>
  </r>
  <r>
    <x v="119"/>
    <x v="4"/>
    <x v="15"/>
    <n v="34273"/>
    <n v="70064.77"/>
    <n v="6.44"/>
    <n v="5344"/>
    <n v="0.65200000000000002"/>
    <n v="6.6"/>
  </r>
  <r>
    <x v="119"/>
    <x v="5"/>
    <x v="8"/>
    <n v="22947"/>
    <n v="49651.33"/>
    <n v="6.51"/>
    <n v="3589.6"/>
    <n v="0.438"/>
    <n v="7.5"/>
  </r>
  <r>
    <x v="119"/>
    <x v="6"/>
    <x v="2"/>
    <n v="32397"/>
    <n v="71742.47"/>
    <n v="6.52"/>
    <n v="5045"/>
    <n v="0.35"/>
    <n v="7.3"/>
  </r>
  <r>
    <x v="119"/>
    <x v="7"/>
    <x v="9"/>
    <n v="28614"/>
    <n v="63499.08"/>
    <n v="6.31"/>
    <n v="4566.3999999999996"/>
    <n v="0.47099999999999997"/>
    <n v="6.5"/>
  </r>
  <r>
    <x v="119"/>
    <x v="8"/>
    <x v="14"/>
    <n v="22698"/>
    <n v="46281.16"/>
    <n v="6.42"/>
    <n v="3628.2"/>
    <n v="0.46700000000000003"/>
    <n v="7.7"/>
  </r>
  <r>
    <x v="119"/>
    <x v="9"/>
    <x v="22"/>
    <n v="45154"/>
    <n v="101102.67"/>
    <n v="6.52"/>
    <n v="6969.3"/>
    <n v="0.5"/>
    <n v="7.3"/>
  </r>
  <r>
    <x v="119"/>
    <x v="10"/>
    <x v="14"/>
    <n v="19034"/>
    <n v="39878.449999999997"/>
    <n v="6.43"/>
    <n v="3079.5"/>
    <n v="0.4"/>
    <n v="6.9"/>
  </r>
  <r>
    <x v="119"/>
    <x v="11"/>
    <x v="6"/>
    <n v="29097"/>
    <n v="62371.32"/>
    <n v="6.45"/>
    <n v="4599.2"/>
    <n v="0.28599999999999998"/>
    <n v="7.4"/>
  </r>
  <r>
    <x v="119"/>
    <x v="12"/>
    <x v="4"/>
    <n v="19577"/>
    <n v="44068.28"/>
    <n v="6.2"/>
    <n v="3195.7"/>
    <n v="0.42899999999999999"/>
    <n v="7"/>
  </r>
  <r>
    <x v="119"/>
    <x v="13"/>
    <x v="6"/>
    <n v="28526"/>
    <n v="64096.15"/>
    <n v="6.64"/>
    <n v="4284.3"/>
    <n v="0.28599999999999998"/>
    <n v="8.3000000000000007"/>
  </r>
  <r>
    <x v="119"/>
    <x v="14"/>
    <x v="3"/>
    <n v="26885"/>
    <n v="60419.58"/>
    <n v="6.54"/>
    <n v="4196.3999999999996"/>
    <n v="0.36799999999999999"/>
    <n v="6.7"/>
  </r>
  <r>
    <x v="119"/>
    <x v="15"/>
    <x v="2"/>
    <n v="26784"/>
    <n v="56615.93"/>
    <n v="6.44"/>
    <n v="4132.5"/>
    <n v="0.3"/>
    <n v="7.1"/>
  </r>
  <r>
    <x v="119"/>
    <x v="16"/>
    <x v="3"/>
    <n v="23567"/>
    <n v="50914.82"/>
    <n v="6.29"/>
    <n v="3756.6"/>
    <n v="0.316"/>
    <n v="7.2"/>
  </r>
  <r>
    <x v="119"/>
    <x v="17"/>
    <x v="8"/>
    <n v="23405"/>
    <n v="53758.07"/>
    <n v="6.43"/>
    <n v="3701.1"/>
    <n v="0.438"/>
    <n v="7.6"/>
  </r>
  <r>
    <x v="119"/>
    <x v="18"/>
    <x v="15"/>
    <n v="34089"/>
    <n v="80106.91"/>
    <n v="6.69"/>
    <n v="5107.8999999999996"/>
    <n v="0.47799999999999998"/>
    <n v="6.9"/>
  </r>
  <r>
    <x v="119"/>
    <x v="19"/>
    <x v="6"/>
    <n v="24332"/>
    <n v="52559.81"/>
    <n v="6.7"/>
    <n v="3646.3"/>
    <n v="0.33300000000000002"/>
    <n v="6.5"/>
  </r>
  <r>
    <x v="119"/>
    <x v="20"/>
    <x v="2"/>
    <n v="25169"/>
    <n v="55529.04"/>
    <n v="6.62"/>
    <n v="3794.8"/>
    <n v="0.45"/>
    <n v="6"/>
  </r>
  <r>
    <x v="119"/>
    <x v="21"/>
    <x v="4"/>
    <n v="23513"/>
    <n v="49257.42"/>
    <n v="6.3"/>
    <n v="3650.6"/>
    <n v="0.57099999999999995"/>
    <n v="6.8"/>
  </r>
  <r>
    <x v="119"/>
    <x v="22"/>
    <x v="6"/>
    <n v="35871"/>
    <n v="76429.52"/>
    <n v="6.39"/>
    <n v="5586.2"/>
    <n v="0.42899999999999999"/>
    <n v="7.1"/>
  </r>
  <r>
    <x v="119"/>
    <x v="23"/>
    <x v="8"/>
    <n v="18835"/>
    <n v="39988.6"/>
    <n v="6.72"/>
    <n v="2809.7"/>
    <n v="0.375"/>
    <n v="7.3"/>
  </r>
  <r>
    <x v="119"/>
    <x v="24"/>
    <x v="9"/>
    <n v="21284"/>
    <n v="46220.97"/>
    <n v="6.56"/>
    <n v="3248"/>
    <n v="0.47099999999999997"/>
    <n v="6.3"/>
  </r>
  <r>
    <x v="119"/>
    <x v="25"/>
    <x v="12"/>
    <n v="26293"/>
    <n v="52748.04"/>
    <n v="6.5"/>
    <n v="4081"/>
    <n v="0.222"/>
    <n v="8.3000000000000007"/>
  </r>
  <r>
    <x v="119"/>
    <x v="26"/>
    <x v="11"/>
    <n v="33531"/>
    <n v="70080.38"/>
    <n v="6.6"/>
    <n v="5111"/>
    <n v="0.41699999999999998"/>
    <n v="7.4"/>
  </r>
  <r>
    <x v="119"/>
    <x v="27"/>
    <x v="7"/>
    <n v="17315"/>
    <n v="37467.39"/>
    <n v="6.36"/>
    <n v="2740.2"/>
    <n v="0.66700000000000004"/>
    <n v="9"/>
  </r>
  <r>
    <x v="119"/>
    <x v="28"/>
    <x v="5"/>
    <n v="19409"/>
    <n v="43431.040000000001"/>
    <n v="6.52"/>
    <n v="3015.7"/>
    <n v="0.308"/>
    <n v="7.3"/>
  </r>
  <r>
    <x v="119"/>
    <x v="29"/>
    <x v="14"/>
    <n v="24734"/>
    <n v="52174.3"/>
    <n v="6.56"/>
    <n v="3758.6"/>
    <n v="0.53300000000000003"/>
    <n v="6"/>
  </r>
  <r>
    <x v="119"/>
    <x v="30"/>
    <x v="12"/>
    <n v="28584"/>
    <n v="64719.43"/>
    <n v="6.24"/>
    <n v="4605.3"/>
    <n v="0.33300000000000002"/>
    <n v="7.7"/>
  </r>
  <r>
    <x v="119"/>
    <x v="31"/>
    <x v="2"/>
    <n v="23566"/>
    <n v="49103.89"/>
    <n v="6.44"/>
    <n v="3709.1"/>
    <n v="0.45"/>
    <n v="7"/>
  </r>
  <r>
    <x v="119"/>
    <x v="32"/>
    <x v="14"/>
    <n v="21246"/>
    <n v="48362.99"/>
    <n v="6.43"/>
    <n v="3286.1"/>
    <n v="0.4"/>
    <n v="7.3"/>
  </r>
  <r>
    <x v="119"/>
    <x v="33"/>
    <x v="13"/>
    <n v="31995"/>
    <n v="66400.679999999993"/>
    <n v="6.8"/>
    <n v="4787.6000000000004"/>
    <n v="0.45500000000000002"/>
    <n v="7.6"/>
  </r>
  <r>
    <x v="119"/>
    <x v="34"/>
    <x v="17"/>
    <n v="38239"/>
    <n v="85561.919999999998"/>
    <n v="6.54"/>
    <n v="5779.9"/>
    <n v="0.48"/>
    <n v="5.8"/>
  </r>
  <r>
    <x v="119"/>
    <x v="35"/>
    <x v="2"/>
    <n v="30650"/>
    <n v="62594.22"/>
    <n v="6.17"/>
    <n v="4971.5"/>
    <n v="0.45"/>
    <n v="7.3"/>
  </r>
  <r>
    <x v="120"/>
    <x v="0"/>
    <x v="23"/>
    <n v="40688"/>
    <n v="86745.29"/>
    <n v="6.19"/>
    <n v="6604.5"/>
    <n v="0.53300000000000003"/>
    <n v="7.2"/>
  </r>
  <r>
    <x v="120"/>
    <x v="1"/>
    <x v="4"/>
    <n v="24080"/>
    <n v="54055.53"/>
    <n v="6.65"/>
    <n v="3663.4"/>
    <n v="0.35699999999999998"/>
    <n v="6.6"/>
  </r>
  <r>
    <x v="120"/>
    <x v="2"/>
    <x v="2"/>
    <n v="29957"/>
    <n v="59624.81"/>
    <n v="6.41"/>
    <n v="4753.8999999999996"/>
    <n v="0.55000000000000004"/>
    <n v="6.5"/>
  </r>
  <r>
    <x v="120"/>
    <x v="3"/>
    <x v="7"/>
    <n v="19571"/>
    <n v="40210.230000000003"/>
    <n v="6.48"/>
    <n v="3002.9"/>
    <n v="0.41699999999999998"/>
    <n v="7.7"/>
  </r>
  <r>
    <x v="120"/>
    <x v="4"/>
    <x v="4"/>
    <n v="18590"/>
    <n v="39254.81"/>
    <n v="6.6"/>
    <n v="2867.3"/>
    <n v="0.35699999999999998"/>
    <n v="6.5"/>
  </r>
  <r>
    <x v="120"/>
    <x v="5"/>
    <x v="9"/>
    <n v="21135"/>
    <n v="46542.23"/>
    <n v="6.6"/>
    <n v="3164.1"/>
    <n v="0.29399999999999998"/>
    <n v="7.1"/>
  </r>
  <r>
    <x v="120"/>
    <x v="6"/>
    <x v="2"/>
    <n v="38960"/>
    <n v="87231.9"/>
    <n v="6.62"/>
    <n v="5954.5"/>
    <n v="0.5"/>
    <n v="6.4"/>
  </r>
  <r>
    <x v="120"/>
    <x v="7"/>
    <x v="11"/>
    <n v="38562"/>
    <n v="87461.17"/>
    <n v="6.54"/>
    <n v="5866.5"/>
    <n v="0.45800000000000002"/>
    <n v="8.1"/>
  </r>
  <r>
    <x v="120"/>
    <x v="8"/>
    <x v="3"/>
    <n v="27418"/>
    <n v="61118.17"/>
    <n v="6.57"/>
    <n v="4235.7"/>
    <n v="0.52600000000000002"/>
    <n v="6.8"/>
  </r>
  <r>
    <x v="120"/>
    <x v="9"/>
    <x v="15"/>
    <n v="34806"/>
    <n v="70396.160000000003"/>
    <n v="6.6"/>
    <n v="5396.2"/>
    <n v="0.56499999999999995"/>
    <n v="7.3"/>
  </r>
  <r>
    <x v="120"/>
    <x v="10"/>
    <x v="5"/>
    <n v="18236"/>
    <n v="41567.21"/>
    <n v="6.68"/>
    <n v="2754.2"/>
    <n v="0.53800000000000003"/>
    <n v="8.6999999999999993"/>
  </r>
  <r>
    <x v="120"/>
    <x v="11"/>
    <x v="8"/>
    <n v="27424"/>
    <n v="56434.29"/>
    <n v="6.64"/>
    <n v="4226.3999999999996"/>
    <n v="0.5"/>
    <n v="7.7"/>
  </r>
  <r>
    <x v="120"/>
    <x v="12"/>
    <x v="4"/>
    <n v="22046"/>
    <n v="47306.51"/>
    <n v="6.3"/>
    <n v="3457.7"/>
    <n v="0.35699999999999998"/>
    <n v="8.1999999999999993"/>
  </r>
  <r>
    <x v="120"/>
    <x v="13"/>
    <x v="2"/>
    <n v="31750"/>
    <n v="70169.61"/>
    <n v="6.73"/>
    <n v="4726.7"/>
    <n v="0.6"/>
    <n v="7.4"/>
  </r>
  <r>
    <x v="120"/>
    <x v="14"/>
    <x v="25"/>
    <n v="45374"/>
    <n v="103418.42"/>
    <n v="6.57"/>
    <n v="7037.1"/>
    <n v="0.51600000000000001"/>
    <n v="7.1"/>
  </r>
  <r>
    <x v="120"/>
    <x v="15"/>
    <x v="28"/>
    <n v="34984"/>
    <n v="75156.41"/>
    <n v="6.36"/>
    <n v="5484.6"/>
    <n v="0.44800000000000001"/>
    <n v="7.1"/>
  </r>
  <r>
    <x v="120"/>
    <x v="16"/>
    <x v="13"/>
    <n v="38735"/>
    <n v="83107.009999999995"/>
    <n v="6.74"/>
    <n v="5822.5"/>
    <n v="0.45500000000000002"/>
    <n v="6.5"/>
  </r>
  <r>
    <x v="120"/>
    <x v="17"/>
    <x v="3"/>
    <n v="24422"/>
    <n v="47845.56"/>
    <n v="6.35"/>
    <n v="3882.8"/>
    <n v="0.36799999999999999"/>
    <n v="6.1"/>
  </r>
  <r>
    <x v="120"/>
    <x v="18"/>
    <x v="3"/>
    <n v="27734"/>
    <n v="61532.45"/>
    <n v="6.57"/>
    <n v="4258.1000000000004"/>
    <n v="0.63200000000000001"/>
    <n v="6.5"/>
  </r>
  <r>
    <x v="120"/>
    <x v="19"/>
    <x v="3"/>
    <n v="28238"/>
    <n v="55865.77"/>
    <n v="6.26"/>
    <n v="4493.3"/>
    <n v="0.47399999999999998"/>
    <n v="6.3"/>
  </r>
  <r>
    <x v="120"/>
    <x v="20"/>
    <x v="14"/>
    <n v="22293"/>
    <n v="48390.97"/>
    <n v="6.46"/>
    <n v="3458.5"/>
    <n v="0.26700000000000002"/>
    <n v="6"/>
  </r>
  <r>
    <x v="120"/>
    <x v="21"/>
    <x v="15"/>
    <n v="41261"/>
    <n v="85818.36"/>
    <n v="6.47"/>
    <n v="6431.8"/>
    <n v="0.60899999999999999"/>
    <n v="6.2"/>
  </r>
  <r>
    <x v="120"/>
    <x v="22"/>
    <x v="8"/>
    <n v="26282"/>
    <n v="54697.02"/>
    <n v="6.54"/>
    <n v="4085.5"/>
    <n v="0.188"/>
    <n v="7.2"/>
  </r>
  <r>
    <x v="120"/>
    <x v="23"/>
    <x v="3"/>
    <n v="32675"/>
    <n v="70381.63"/>
    <n v="6.46"/>
    <n v="5131.1000000000004"/>
    <n v="0.42099999999999999"/>
    <n v="6.6"/>
  </r>
  <r>
    <x v="120"/>
    <x v="24"/>
    <x v="6"/>
    <n v="25796"/>
    <n v="58153.31"/>
    <n v="6.5"/>
    <n v="4009.8"/>
    <n v="0.52400000000000002"/>
    <n v="6.5"/>
  </r>
  <r>
    <x v="120"/>
    <x v="25"/>
    <x v="9"/>
    <n v="31012"/>
    <n v="70568.28"/>
    <n v="6.34"/>
    <n v="4941.1000000000004"/>
    <n v="0.41199999999999998"/>
    <n v="6.9"/>
  </r>
  <r>
    <x v="120"/>
    <x v="26"/>
    <x v="23"/>
    <n v="44951"/>
    <n v="98614.25"/>
    <n v="6.48"/>
    <n v="7082.7"/>
    <n v="0.5"/>
    <n v="7"/>
  </r>
  <r>
    <x v="120"/>
    <x v="27"/>
    <x v="6"/>
    <n v="29715"/>
    <n v="72386.89"/>
    <n v="6.62"/>
    <n v="4553"/>
    <n v="0.47599999999999998"/>
    <n v="6.1"/>
  </r>
  <r>
    <x v="120"/>
    <x v="28"/>
    <x v="7"/>
    <n v="12408"/>
    <n v="25483.02"/>
    <n v="6.48"/>
    <n v="1921"/>
    <n v="0.41699999999999998"/>
    <n v="6.5"/>
  </r>
  <r>
    <x v="120"/>
    <x v="29"/>
    <x v="6"/>
    <n v="23588"/>
    <n v="51155.27"/>
    <n v="6.61"/>
    <n v="3567.7"/>
    <n v="0.33300000000000002"/>
    <n v="6.9"/>
  </r>
  <r>
    <x v="120"/>
    <x v="30"/>
    <x v="3"/>
    <n v="23965"/>
    <n v="53666.5"/>
    <n v="6.55"/>
    <n v="3671"/>
    <n v="0.52600000000000002"/>
    <n v="6.9"/>
  </r>
  <r>
    <x v="120"/>
    <x v="31"/>
    <x v="10"/>
    <n v="31004"/>
    <n v="69265.820000000007"/>
    <n v="6.57"/>
    <n v="4769.3"/>
    <n v="0.37"/>
    <n v="7.7"/>
  </r>
  <r>
    <x v="120"/>
    <x v="32"/>
    <x v="8"/>
    <n v="26713"/>
    <n v="56635.5"/>
    <n v="6.26"/>
    <n v="4371.8999999999996"/>
    <n v="0.312"/>
    <n v="6.7"/>
  </r>
  <r>
    <x v="120"/>
    <x v="33"/>
    <x v="3"/>
    <n v="22059"/>
    <n v="46844.4"/>
    <n v="6.39"/>
    <n v="3456.3"/>
    <n v="0.52600000000000002"/>
    <n v="6.8"/>
  </r>
  <r>
    <x v="120"/>
    <x v="34"/>
    <x v="9"/>
    <n v="24312"/>
    <n v="51619.02"/>
    <n v="6.14"/>
    <n v="3998.1"/>
    <n v="0.23499999999999999"/>
    <n v="7.6"/>
  </r>
  <r>
    <x v="120"/>
    <x v="35"/>
    <x v="9"/>
    <n v="28413"/>
    <n v="67343.14"/>
    <n v="6.49"/>
    <n v="4328.1000000000004"/>
    <n v="0.52900000000000003"/>
    <n v="6.9"/>
  </r>
  <r>
    <x v="121"/>
    <x v="0"/>
    <x v="9"/>
    <n v="20131"/>
    <n v="40444.74"/>
    <n v="6.54"/>
    <n v="3072.8"/>
    <n v="0.41199999999999998"/>
    <n v="7.1"/>
  </r>
  <r>
    <x v="121"/>
    <x v="1"/>
    <x v="5"/>
    <n v="22158"/>
    <n v="51528.63"/>
    <n v="6.89"/>
    <n v="3263.4"/>
    <n v="0.23100000000000001"/>
    <n v="7.3"/>
  </r>
  <r>
    <x v="121"/>
    <x v="2"/>
    <x v="7"/>
    <n v="19185"/>
    <n v="40822.36"/>
    <n v="6.46"/>
    <n v="3048.5"/>
    <n v="0.33300000000000002"/>
    <n v="6.7"/>
  </r>
  <r>
    <x v="121"/>
    <x v="3"/>
    <x v="6"/>
    <n v="28204"/>
    <n v="60742.86"/>
    <n v="6.39"/>
    <n v="4471.6000000000004"/>
    <n v="0.47599999999999998"/>
    <n v="7.5"/>
  </r>
  <r>
    <x v="121"/>
    <x v="4"/>
    <x v="6"/>
    <n v="28402"/>
    <n v="57703.87"/>
    <n v="6.43"/>
    <n v="4455.7"/>
    <n v="0.38100000000000001"/>
    <n v="6.7"/>
  </r>
  <r>
    <x v="121"/>
    <x v="5"/>
    <x v="7"/>
    <n v="15173"/>
    <n v="35869.53"/>
    <n v="6.38"/>
    <n v="2430.1999999999998"/>
    <n v="0.41699999999999998"/>
    <n v="8"/>
  </r>
  <r>
    <x v="121"/>
    <x v="6"/>
    <x v="22"/>
    <n v="39505"/>
    <n v="82846.710000000006"/>
    <n v="6.5"/>
    <n v="6147.6"/>
    <n v="0.5"/>
    <n v="7.8"/>
  </r>
  <r>
    <x v="121"/>
    <x v="7"/>
    <x v="11"/>
    <n v="33034"/>
    <n v="66717.09"/>
    <n v="6.6"/>
    <n v="5082.2"/>
    <n v="0.58299999999999996"/>
    <n v="7.4"/>
  </r>
  <r>
    <x v="121"/>
    <x v="8"/>
    <x v="14"/>
    <n v="20037"/>
    <n v="45400.480000000003"/>
    <n v="6.5"/>
    <n v="3049.4"/>
    <n v="0.6"/>
    <n v="8.4"/>
  </r>
  <r>
    <x v="121"/>
    <x v="9"/>
    <x v="12"/>
    <n v="30782"/>
    <n v="60994.720000000001"/>
    <n v="6.34"/>
    <n v="4912.8"/>
    <n v="0.5"/>
    <n v="5.7"/>
  </r>
  <r>
    <x v="121"/>
    <x v="10"/>
    <x v="12"/>
    <n v="23924"/>
    <n v="52226.77"/>
    <n v="6.62"/>
    <n v="3705.1"/>
    <n v="0.66700000000000004"/>
    <n v="7"/>
  </r>
  <r>
    <x v="121"/>
    <x v="11"/>
    <x v="11"/>
    <n v="28560"/>
    <n v="64705.03"/>
    <n v="6.35"/>
    <n v="4590.7"/>
    <n v="0.58299999999999996"/>
    <n v="7.6"/>
  </r>
  <r>
    <x v="121"/>
    <x v="12"/>
    <x v="12"/>
    <n v="27711"/>
    <n v="56049.22"/>
    <n v="6.48"/>
    <n v="4324.6000000000004"/>
    <n v="0.55600000000000005"/>
    <n v="7.6"/>
  </r>
  <r>
    <x v="121"/>
    <x v="13"/>
    <x v="15"/>
    <n v="30712"/>
    <n v="64820.94"/>
    <n v="6.41"/>
    <n v="4866.7"/>
    <n v="0.34799999999999998"/>
    <n v="6.9"/>
  </r>
  <r>
    <x v="121"/>
    <x v="14"/>
    <x v="0"/>
    <n v="30074"/>
    <n v="63420.78"/>
    <n v="6.39"/>
    <n v="4681.8"/>
    <n v="0.34599999999999997"/>
    <n v="6.1"/>
  </r>
  <r>
    <x v="121"/>
    <x v="15"/>
    <x v="12"/>
    <n v="23289"/>
    <n v="52585.3"/>
    <n v="6.48"/>
    <n v="3667.8"/>
    <n v="0.66700000000000004"/>
    <n v="7.3"/>
  </r>
  <r>
    <x v="121"/>
    <x v="16"/>
    <x v="22"/>
    <n v="50820"/>
    <n v="114312"/>
    <n v="6.39"/>
    <n v="8010.5"/>
    <n v="0.35699999999999998"/>
    <n v="7.7"/>
  </r>
  <r>
    <x v="121"/>
    <x v="17"/>
    <x v="3"/>
    <n v="20566"/>
    <n v="42321.94"/>
    <n v="6.74"/>
    <n v="3123.4"/>
    <n v="0.68400000000000005"/>
    <n v="6.5"/>
  </r>
  <r>
    <x v="121"/>
    <x v="18"/>
    <x v="4"/>
    <n v="17242"/>
    <n v="36861.01"/>
    <n v="6.68"/>
    <n v="2553.1"/>
    <n v="0.35699999999999998"/>
    <n v="6.5"/>
  </r>
  <r>
    <x v="121"/>
    <x v="19"/>
    <x v="6"/>
    <n v="22561"/>
    <n v="47109.97"/>
    <n v="6.52"/>
    <n v="3469.7"/>
    <n v="0.52400000000000002"/>
    <n v="6.6"/>
  </r>
  <r>
    <x v="121"/>
    <x v="20"/>
    <x v="13"/>
    <n v="33900"/>
    <n v="78863.14"/>
    <n v="6.46"/>
    <n v="5288.8"/>
    <n v="0.22700000000000001"/>
    <n v="7.6"/>
  </r>
  <r>
    <x v="121"/>
    <x v="21"/>
    <x v="2"/>
    <n v="23893"/>
    <n v="49278.28"/>
    <n v="6.56"/>
    <n v="3751"/>
    <n v="0.6"/>
    <n v="6.7"/>
  </r>
  <r>
    <x v="121"/>
    <x v="22"/>
    <x v="2"/>
    <n v="27578"/>
    <n v="58358.03"/>
    <n v="6.73"/>
    <n v="4104.3999999999996"/>
    <n v="0.45"/>
    <n v="7.3"/>
  </r>
  <r>
    <x v="121"/>
    <x v="23"/>
    <x v="5"/>
    <n v="15436"/>
    <n v="32563.41"/>
    <n v="6.47"/>
    <n v="2379"/>
    <n v="0.46200000000000002"/>
    <n v="5"/>
  </r>
  <r>
    <x v="121"/>
    <x v="24"/>
    <x v="11"/>
    <n v="29080"/>
    <n v="64552.4"/>
    <n v="6.48"/>
    <n v="4446.3"/>
    <n v="0.45800000000000002"/>
    <n v="7.5"/>
  </r>
  <r>
    <x v="121"/>
    <x v="25"/>
    <x v="3"/>
    <n v="32967"/>
    <n v="66464.58"/>
    <n v="6.77"/>
    <n v="4956.2"/>
    <n v="0.26300000000000001"/>
    <n v="7.5"/>
  </r>
  <r>
    <x v="121"/>
    <x v="26"/>
    <x v="4"/>
    <n v="16151"/>
    <n v="36298.199999999997"/>
    <n v="6.47"/>
    <n v="2501.3000000000002"/>
    <n v="0.57099999999999995"/>
    <n v="7.3"/>
  </r>
  <r>
    <x v="121"/>
    <x v="27"/>
    <x v="8"/>
    <n v="23144"/>
    <n v="46588.23"/>
    <n v="6.35"/>
    <n v="3626.1"/>
    <n v="0.56200000000000006"/>
    <n v="6.8"/>
  </r>
  <r>
    <x v="121"/>
    <x v="28"/>
    <x v="4"/>
    <n v="21153"/>
    <n v="48935.98"/>
    <n v="6.6"/>
    <n v="3242.9"/>
    <n v="0.64300000000000002"/>
    <n v="7.7"/>
  </r>
  <r>
    <x v="121"/>
    <x v="29"/>
    <x v="7"/>
    <n v="15162"/>
    <n v="37337.5"/>
    <n v="6.59"/>
    <n v="2400.6999999999998"/>
    <n v="0.58299999999999996"/>
    <n v="7.9"/>
  </r>
  <r>
    <x v="121"/>
    <x v="30"/>
    <x v="6"/>
    <n v="27494"/>
    <n v="57754.55"/>
    <n v="6.64"/>
    <n v="4119.5"/>
    <n v="0.52400000000000002"/>
    <n v="6.7"/>
  </r>
  <r>
    <x v="121"/>
    <x v="31"/>
    <x v="13"/>
    <n v="33931"/>
    <n v="77672.28"/>
    <n v="6.29"/>
    <n v="5365.9"/>
    <n v="0.36399999999999999"/>
    <n v="6.7"/>
  </r>
  <r>
    <x v="121"/>
    <x v="32"/>
    <x v="12"/>
    <n v="24751"/>
    <n v="52663.88"/>
    <n v="6.5"/>
    <n v="3804"/>
    <n v="0.222"/>
    <n v="6.7"/>
  </r>
  <r>
    <x v="121"/>
    <x v="33"/>
    <x v="12"/>
    <n v="26838"/>
    <n v="58618.8"/>
    <n v="6.41"/>
    <n v="4231.8999999999996"/>
    <n v="0.44400000000000001"/>
    <n v="6.5"/>
  </r>
  <r>
    <x v="121"/>
    <x v="34"/>
    <x v="3"/>
    <n v="29211"/>
    <n v="68049.3"/>
    <n v="6.52"/>
    <n v="4503.1000000000004"/>
    <n v="0.26300000000000001"/>
    <n v="6.8"/>
  </r>
  <r>
    <x v="121"/>
    <x v="35"/>
    <x v="3"/>
    <n v="30569"/>
    <n v="64686.91"/>
    <n v="6.44"/>
    <n v="4799.8"/>
    <n v="0.42099999999999999"/>
    <n v="6.6"/>
  </r>
  <r>
    <x v="122"/>
    <x v="0"/>
    <x v="11"/>
    <n v="37561"/>
    <n v="77056.77"/>
    <n v="6.58"/>
    <n v="5708.2"/>
    <n v="0.29199999999999998"/>
    <n v="6.4"/>
  </r>
  <r>
    <x v="122"/>
    <x v="1"/>
    <x v="3"/>
    <n v="25087"/>
    <n v="51001.279999999999"/>
    <n v="6.49"/>
    <n v="3905.8"/>
    <n v="0.52600000000000002"/>
    <n v="6.4"/>
  </r>
  <r>
    <x v="122"/>
    <x v="2"/>
    <x v="11"/>
    <n v="35232"/>
    <n v="69682.58"/>
    <n v="6.32"/>
    <n v="5573.2"/>
    <n v="0.54200000000000004"/>
    <n v="6.3"/>
  </r>
  <r>
    <x v="122"/>
    <x v="3"/>
    <x v="2"/>
    <n v="30511"/>
    <n v="64269.34"/>
    <n v="6.58"/>
    <n v="4695.8999999999996"/>
    <n v="0.4"/>
    <n v="7.2"/>
  </r>
  <r>
    <x v="122"/>
    <x v="4"/>
    <x v="0"/>
    <n v="39126"/>
    <n v="87482.54"/>
    <n v="6.59"/>
    <n v="6020.6"/>
    <n v="0.42299999999999999"/>
    <n v="7.3"/>
  </r>
  <r>
    <x v="122"/>
    <x v="5"/>
    <x v="9"/>
    <n v="21442"/>
    <n v="47153.9"/>
    <n v="6.47"/>
    <n v="3374.2"/>
    <n v="0.35299999999999998"/>
    <n v="7.7"/>
  </r>
  <r>
    <x v="122"/>
    <x v="6"/>
    <x v="14"/>
    <n v="22253"/>
    <n v="48632.84"/>
    <n v="6.47"/>
    <n v="3488.7"/>
    <n v="0.26700000000000002"/>
    <n v="6.2"/>
  </r>
  <r>
    <x v="122"/>
    <x v="7"/>
    <x v="12"/>
    <n v="29501"/>
    <n v="62139.4"/>
    <n v="6.55"/>
    <n v="4527.5"/>
    <n v="0.44400000000000001"/>
    <n v="6.7"/>
  </r>
  <r>
    <x v="122"/>
    <x v="8"/>
    <x v="6"/>
    <n v="30935"/>
    <n v="62115.06"/>
    <n v="6.39"/>
    <n v="4829.3"/>
    <n v="0.57099999999999995"/>
    <n v="7.4"/>
  </r>
  <r>
    <x v="122"/>
    <x v="9"/>
    <x v="12"/>
    <n v="29019"/>
    <n v="60415.18"/>
    <n v="6.53"/>
    <n v="4399.3999999999996"/>
    <n v="0.77800000000000002"/>
    <n v="6.9"/>
  </r>
  <r>
    <x v="122"/>
    <x v="10"/>
    <x v="17"/>
    <n v="38223"/>
    <n v="74105.13"/>
    <n v="6.76"/>
    <n v="5720.3"/>
    <n v="0.32"/>
    <n v="7.3"/>
  </r>
  <r>
    <x v="122"/>
    <x v="11"/>
    <x v="3"/>
    <n v="31074"/>
    <n v="69861.009999999995"/>
    <n v="6.51"/>
    <n v="4781.3"/>
    <n v="0.52600000000000002"/>
    <n v="6.4"/>
  </r>
  <r>
    <x v="122"/>
    <x v="12"/>
    <x v="13"/>
    <n v="37090"/>
    <n v="75695.38"/>
    <n v="6.61"/>
    <n v="5630.9"/>
    <n v="0.318"/>
    <n v="7.5"/>
  </r>
  <r>
    <x v="122"/>
    <x v="13"/>
    <x v="5"/>
    <n v="18887"/>
    <n v="45168.85"/>
    <n v="6.54"/>
    <n v="2958.5"/>
    <n v="0.61499999999999999"/>
    <n v="8.1"/>
  </r>
  <r>
    <x v="122"/>
    <x v="14"/>
    <x v="0"/>
    <n v="43426"/>
    <n v="101864.33"/>
    <n v="6.51"/>
    <n v="6777.9"/>
    <n v="0.5"/>
    <n v="7.3"/>
  </r>
  <r>
    <x v="122"/>
    <x v="15"/>
    <x v="15"/>
    <n v="26260"/>
    <n v="51841.39"/>
    <n v="6.44"/>
    <n v="4070.3"/>
    <n v="0.47799999999999998"/>
    <n v="6.6"/>
  </r>
  <r>
    <x v="122"/>
    <x v="16"/>
    <x v="15"/>
    <n v="34346"/>
    <n v="75187.69"/>
    <n v="6.56"/>
    <n v="5321.2"/>
    <n v="0.47799999999999998"/>
    <n v="6.6"/>
  </r>
  <r>
    <x v="122"/>
    <x v="17"/>
    <x v="12"/>
    <n v="25614"/>
    <n v="50319.839999999997"/>
    <n v="6.56"/>
    <n v="3880.4"/>
    <n v="0.5"/>
    <n v="6.8"/>
  </r>
  <r>
    <x v="122"/>
    <x v="18"/>
    <x v="14"/>
    <n v="18026"/>
    <n v="36811.279999999999"/>
    <n v="6.38"/>
    <n v="2808.9"/>
    <n v="0.46700000000000003"/>
    <n v="8.4"/>
  </r>
  <r>
    <x v="122"/>
    <x v="19"/>
    <x v="6"/>
    <n v="32594"/>
    <n v="67652.12"/>
    <n v="6.35"/>
    <n v="5194.6000000000004"/>
    <n v="0.28599999999999998"/>
    <n v="7"/>
  </r>
  <r>
    <x v="122"/>
    <x v="20"/>
    <x v="14"/>
    <n v="21501"/>
    <n v="44400.160000000003"/>
    <n v="6.43"/>
    <n v="3290.2"/>
    <n v="0.46700000000000003"/>
    <n v="7.2"/>
  </r>
  <r>
    <x v="122"/>
    <x v="21"/>
    <x v="13"/>
    <n v="34443"/>
    <n v="75939.91"/>
    <n v="6.37"/>
    <n v="5401.9"/>
    <n v="0.59099999999999997"/>
    <n v="6.6"/>
  </r>
  <r>
    <x v="122"/>
    <x v="22"/>
    <x v="3"/>
    <n v="30303"/>
    <n v="64021.51"/>
    <n v="6.58"/>
    <n v="4586.3999999999996"/>
    <n v="0.316"/>
    <n v="7.6"/>
  </r>
  <r>
    <x v="122"/>
    <x v="23"/>
    <x v="9"/>
    <n v="23896"/>
    <n v="54056.79"/>
    <n v="6.39"/>
    <n v="3772.9"/>
    <n v="0.35299999999999998"/>
    <n v="7.7"/>
  </r>
  <r>
    <x v="122"/>
    <x v="24"/>
    <x v="14"/>
    <n v="26939"/>
    <n v="64812.22"/>
    <n v="6.57"/>
    <n v="4129.5"/>
    <n v="0.73299999999999998"/>
    <n v="7"/>
  </r>
  <r>
    <x v="122"/>
    <x v="25"/>
    <x v="12"/>
    <n v="23693"/>
    <n v="53205.2"/>
    <n v="6.47"/>
    <n v="3723.7"/>
    <n v="0.44400000000000001"/>
    <n v="6.4"/>
  </r>
  <r>
    <x v="122"/>
    <x v="26"/>
    <x v="3"/>
    <n v="24398"/>
    <n v="53508.44"/>
    <n v="6.43"/>
    <n v="3793.2"/>
    <n v="0.57899999999999996"/>
    <n v="5.8"/>
  </r>
  <r>
    <x v="122"/>
    <x v="27"/>
    <x v="2"/>
    <n v="33635"/>
    <n v="72848.69"/>
    <n v="6.21"/>
    <n v="5504.8"/>
    <n v="0.25"/>
    <n v="7"/>
  </r>
  <r>
    <x v="122"/>
    <x v="28"/>
    <x v="12"/>
    <n v="28677"/>
    <n v="64982.13"/>
    <n v="6.68"/>
    <n v="4257.2"/>
    <n v="0.44400000000000001"/>
    <n v="7.4"/>
  </r>
  <r>
    <x v="122"/>
    <x v="29"/>
    <x v="13"/>
    <n v="24895"/>
    <n v="58160.81"/>
    <n v="6.51"/>
    <n v="3819.8"/>
    <n v="0.36399999999999999"/>
    <n v="7.2"/>
  </r>
  <r>
    <x v="122"/>
    <x v="30"/>
    <x v="4"/>
    <n v="19108"/>
    <n v="38235.32"/>
    <n v="6.36"/>
    <n v="3070.1"/>
    <n v="0.57099999999999995"/>
    <n v="5.9"/>
  </r>
  <r>
    <x v="122"/>
    <x v="31"/>
    <x v="23"/>
    <n v="47406"/>
    <n v="107864.5"/>
    <n v="6.67"/>
    <n v="7187"/>
    <n v="0.5"/>
    <n v="7.5"/>
  </r>
  <r>
    <x v="122"/>
    <x v="32"/>
    <x v="14"/>
    <n v="20731"/>
    <n v="41692.949999999997"/>
    <n v="6.6"/>
    <n v="3220.3"/>
    <n v="0.46700000000000003"/>
    <n v="6.2"/>
  </r>
  <r>
    <x v="122"/>
    <x v="33"/>
    <x v="17"/>
    <n v="33180"/>
    <n v="69461.25"/>
    <n v="6.4"/>
    <n v="5307.4"/>
    <n v="0.32"/>
    <n v="6"/>
  </r>
  <r>
    <x v="122"/>
    <x v="34"/>
    <x v="12"/>
    <n v="29063"/>
    <n v="61880.59"/>
    <n v="6.62"/>
    <n v="4392.1000000000004"/>
    <n v="0.27800000000000002"/>
    <n v="7.4"/>
  </r>
  <r>
    <x v="122"/>
    <x v="35"/>
    <x v="10"/>
    <n v="31643"/>
    <n v="65579.289999999994"/>
    <n v="6.33"/>
    <n v="5033.2"/>
    <n v="0.51900000000000002"/>
    <n v="7.2"/>
  </r>
  <r>
    <x v="123"/>
    <x v="0"/>
    <x v="2"/>
    <n v="25025"/>
    <n v="57254.66"/>
    <n v="6.49"/>
    <n v="3872"/>
    <n v="0.45"/>
    <n v="8.1"/>
  </r>
  <r>
    <x v="123"/>
    <x v="1"/>
    <x v="4"/>
    <n v="19866"/>
    <n v="42706.18"/>
    <n v="6.35"/>
    <n v="3090.2"/>
    <n v="0.5"/>
    <n v="6"/>
  </r>
  <r>
    <x v="123"/>
    <x v="2"/>
    <x v="4"/>
    <n v="16593"/>
    <n v="35619.9"/>
    <n v="6.41"/>
    <n v="2601.1"/>
    <n v="0.78600000000000003"/>
    <n v="7.4"/>
  </r>
  <r>
    <x v="123"/>
    <x v="3"/>
    <x v="11"/>
    <n v="30042"/>
    <n v="63418.74"/>
    <n v="6.33"/>
    <n v="4664.3"/>
    <n v="0.33300000000000002"/>
    <n v="7"/>
  </r>
  <r>
    <x v="123"/>
    <x v="4"/>
    <x v="4"/>
    <n v="15635"/>
    <n v="34383.83"/>
    <n v="6.14"/>
    <n v="2578.8000000000002"/>
    <n v="0.35699999999999998"/>
    <n v="7.8"/>
  </r>
  <r>
    <x v="123"/>
    <x v="5"/>
    <x v="13"/>
    <n v="30480"/>
    <n v="62918.35"/>
    <n v="6.41"/>
    <n v="4768.8"/>
    <n v="0.45500000000000002"/>
    <n v="7.3"/>
  </r>
  <r>
    <x v="123"/>
    <x v="6"/>
    <x v="3"/>
    <n v="27303"/>
    <n v="52514.68"/>
    <n v="6.41"/>
    <n v="4377"/>
    <n v="0.36799999999999999"/>
    <n v="7.9"/>
  </r>
  <r>
    <x v="123"/>
    <x v="7"/>
    <x v="6"/>
    <n v="27662"/>
    <n v="55969.13"/>
    <n v="6.47"/>
    <n v="4357.1000000000004"/>
    <n v="0.33300000000000002"/>
    <n v="6.6"/>
  </r>
  <r>
    <x v="123"/>
    <x v="8"/>
    <x v="6"/>
    <n v="28517"/>
    <n v="66930.61"/>
    <n v="6.39"/>
    <n v="4466.1000000000004"/>
    <n v="0.57099999999999995"/>
    <n v="6.4"/>
  </r>
  <r>
    <x v="123"/>
    <x v="9"/>
    <x v="2"/>
    <n v="28296"/>
    <n v="54300.82"/>
    <n v="6.6"/>
    <n v="4325.1000000000004"/>
    <n v="0.25"/>
    <n v="7.4"/>
  </r>
  <r>
    <x v="123"/>
    <x v="10"/>
    <x v="3"/>
    <n v="26131"/>
    <n v="56255.61"/>
    <n v="6.2"/>
    <n v="4234.3999999999996"/>
    <n v="0.47399999999999998"/>
    <n v="6.3"/>
  </r>
  <r>
    <x v="123"/>
    <x v="11"/>
    <x v="13"/>
    <n v="25077"/>
    <n v="52389.5"/>
    <n v="6.34"/>
    <n v="4020.5"/>
    <n v="0.40899999999999997"/>
    <n v="7.5"/>
  </r>
  <r>
    <x v="123"/>
    <x v="12"/>
    <x v="25"/>
    <n v="43837"/>
    <n v="91065.59"/>
    <n v="6.51"/>
    <n v="6781"/>
    <n v="0.41899999999999998"/>
    <n v="7.2"/>
  </r>
  <r>
    <x v="123"/>
    <x v="13"/>
    <x v="3"/>
    <n v="26847"/>
    <n v="56364.81"/>
    <n v="6.55"/>
    <n v="4238.6000000000004"/>
    <n v="0.36799999999999999"/>
    <n v="7.9"/>
  </r>
  <r>
    <x v="123"/>
    <x v="14"/>
    <x v="5"/>
    <n v="20083"/>
    <n v="37466.82"/>
    <n v="6.61"/>
    <n v="3121.8"/>
    <n v="0.308"/>
    <n v="6.8"/>
  </r>
  <r>
    <x v="123"/>
    <x v="15"/>
    <x v="5"/>
    <n v="20016"/>
    <n v="36733.949999999997"/>
    <n v="6.5"/>
    <n v="3170.9"/>
    <n v="0.53800000000000003"/>
    <n v="6.6"/>
  </r>
  <r>
    <x v="123"/>
    <x v="16"/>
    <x v="15"/>
    <n v="35404"/>
    <n v="75424.81"/>
    <n v="6.49"/>
    <n v="5538.7"/>
    <n v="0.435"/>
    <n v="7.2"/>
  </r>
  <r>
    <x v="123"/>
    <x v="17"/>
    <x v="6"/>
    <n v="33302"/>
    <n v="77280.88"/>
    <n v="6.47"/>
    <n v="5291.2"/>
    <n v="0.33300000000000002"/>
    <n v="6.3"/>
  </r>
  <r>
    <x v="123"/>
    <x v="18"/>
    <x v="3"/>
    <n v="25903"/>
    <n v="58003.65"/>
    <n v="6.33"/>
    <n v="4143.3999999999996"/>
    <n v="0.26300000000000001"/>
    <n v="7.7"/>
  </r>
  <r>
    <x v="123"/>
    <x v="19"/>
    <x v="12"/>
    <n v="23997"/>
    <n v="52503.76"/>
    <n v="6.63"/>
    <n v="3652.5"/>
    <n v="0.55600000000000005"/>
    <n v="6.5"/>
  </r>
  <r>
    <x v="123"/>
    <x v="20"/>
    <x v="6"/>
    <n v="24115"/>
    <n v="55329.37"/>
    <n v="6.44"/>
    <n v="3751.8"/>
    <n v="0.42899999999999999"/>
    <n v="6.6"/>
  </r>
  <r>
    <x v="123"/>
    <x v="21"/>
    <x v="12"/>
    <n v="28504"/>
    <n v="62697.53"/>
    <n v="6.56"/>
    <n v="4278.8999999999996"/>
    <n v="0.61099999999999999"/>
    <n v="7.2"/>
  </r>
  <r>
    <x v="123"/>
    <x v="22"/>
    <x v="12"/>
    <n v="31107"/>
    <n v="65357.49"/>
    <n v="6.37"/>
    <n v="4895.5"/>
    <n v="0.33300000000000002"/>
    <n v="7.1"/>
  </r>
  <r>
    <x v="123"/>
    <x v="23"/>
    <x v="9"/>
    <n v="20773"/>
    <n v="45522.86"/>
    <n v="6.52"/>
    <n v="3153.4"/>
    <n v="0.41199999999999998"/>
    <n v="7.5"/>
  </r>
  <r>
    <x v="123"/>
    <x v="24"/>
    <x v="13"/>
    <n v="31255"/>
    <n v="71849.58"/>
    <n v="6.37"/>
    <n v="4881.6000000000004"/>
    <n v="0.27300000000000002"/>
    <n v="7.3"/>
  </r>
  <r>
    <x v="123"/>
    <x v="25"/>
    <x v="9"/>
    <n v="20400"/>
    <n v="43211.23"/>
    <n v="6.04"/>
    <n v="3367.2"/>
    <n v="0.52900000000000003"/>
    <n v="7.7"/>
  </r>
  <r>
    <x v="123"/>
    <x v="26"/>
    <x v="2"/>
    <n v="25414"/>
    <n v="58562.59"/>
    <n v="6.28"/>
    <n v="4029.3"/>
    <n v="0.5"/>
    <n v="6"/>
  </r>
  <r>
    <x v="123"/>
    <x v="27"/>
    <x v="9"/>
    <n v="26412"/>
    <n v="58272.78"/>
    <n v="6.58"/>
    <n v="4056.4"/>
    <n v="0.41199999999999998"/>
    <n v="8.4"/>
  </r>
  <r>
    <x v="123"/>
    <x v="28"/>
    <x v="11"/>
    <n v="32777"/>
    <n v="70544.25"/>
    <n v="6.68"/>
    <n v="4874.8999999999996"/>
    <n v="0.45800000000000002"/>
    <n v="6.9"/>
  </r>
  <r>
    <x v="123"/>
    <x v="29"/>
    <x v="3"/>
    <n v="26309"/>
    <n v="56655.79"/>
    <n v="6.89"/>
    <n v="3850.4"/>
    <n v="0.63200000000000001"/>
    <n v="7.5"/>
  </r>
  <r>
    <x v="123"/>
    <x v="30"/>
    <x v="3"/>
    <n v="20232"/>
    <n v="41836.35"/>
    <n v="6.65"/>
    <n v="3094.3"/>
    <n v="0.26300000000000001"/>
    <n v="5.8"/>
  </r>
  <r>
    <x v="123"/>
    <x v="31"/>
    <x v="13"/>
    <n v="33432"/>
    <n v="68220.59"/>
    <n v="6.56"/>
    <n v="5163.7"/>
    <n v="0.59099999999999997"/>
    <n v="7.4"/>
  </r>
  <r>
    <x v="123"/>
    <x v="32"/>
    <x v="17"/>
    <n v="38537"/>
    <n v="73609.789999999994"/>
    <n v="6.34"/>
    <n v="6195.5"/>
    <n v="0.36"/>
    <n v="7"/>
  </r>
  <r>
    <x v="123"/>
    <x v="33"/>
    <x v="10"/>
    <n v="38919"/>
    <n v="86802.35"/>
    <n v="6.53"/>
    <n v="6044.6"/>
    <n v="0.37"/>
    <n v="6.5"/>
  </r>
  <r>
    <x v="123"/>
    <x v="34"/>
    <x v="3"/>
    <n v="24256"/>
    <n v="51483.57"/>
    <n v="6.63"/>
    <n v="3708.8"/>
    <n v="0.36799999999999999"/>
    <n v="6.2"/>
  </r>
  <r>
    <x v="123"/>
    <x v="35"/>
    <x v="4"/>
    <n v="21484"/>
    <n v="45774.78"/>
    <n v="6.33"/>
    <n v="3420.9"/>
    <n v="0.42899999999999999"/>
    <n v="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INC00000001"/>
    <s v="TRIP00036079"/>
    <s v="TRK00006"/>
    <x v="0"/>
    <d v="2023-04-09T14:00:00"/>
    <x v="0"/>
    <s v="Columbus"/>
    <s v="PA"/>
    <x v="0"/>
    <b v="0"/>
    <n v="12629.26"/>
    <n v="0"/>
    <n v="12629.26"/>
    <x v="0"/>
    <s v="Severe incident involving equipment"/>
  </r>
  <r>
    <s v="INC00000002"/>
    <s v="TRIP00032462"/>
    <s v="TRK00084"/>
    <x v="0"/>
    <d v="2023-02-19T11:00:00"/>
    <x v="0"/>
    <s v="Columbus"/>
    <s v="NC"/>
    <x v="1"/>
    <b v="0"/>
    <n v="2700.7"/>
    <n v="14284.24"/>
    <n v="16984.939999999999"/>
    <x v="1"/>
    <s v="Severe incident involving weather"/>
  </r>
  <r>
    <s v="INC00000003"/>
    <s v="TRIP00067583"/>
    <s v="TRK00106"/>
    <x v="1"/>
    <d v="2024-05-20T01:00:00"/>
    <x v="1"/>
    <s v="Seattle"/>
    <s v="OK"/>
    <x v="0"/>
    <b v="0"/>
    <n v="24302.32"/>
    <n v="0"/>
    <n v="24302.32"/>
    <x v="0"/>
    <s v="Minor incident involving traffic"/>
  </r>
  <r>
    <s v="INC00000004"/>
    <s v="TRIP00049128"/>
    <s v="TRK00085"/>
    <x v="2"/>
    <d v="2023-09-26T03:00:00"/>
    <x v="2"/>
    <s v="Kansas City"/>
    <s v="TN"/>
    <x v="0"/>
    <b v="0"/>
    <n v="4879.13"/>
    <n v="0"/>
    <n v="4879.13"/>
    <x v="0"/>
    <s v="Moderate incident involving equipment"/>
  </r>
  <r>
    <s v="INC00000005"/>
    <s v="TRIP00062884"/>
    <s v="TRK00014"/>
    <x v="3"/>
    <d v="2024-03-20T14:00:00"/>
    <x v="3"/>
    <s v="Las Vegas"/>
    <s v="IN"/>
    <x v="1"/>
    <b v="0"/>
    <n v="14951.4"/>
    <n v="0"/>
    <n v="14951.4"/>
    <x v="1"/>
    <s v="Minor incident involving other driver"/>
  </r>
  <r>
    <s v="INC00000006"/>
    <s v="TRIP00004361"/>
    <s v="TRK00007"/>
    <x v="4"/>
    <d v="2022-02-27T18:00:00"/>
    <x v="2"/>
    <s v="Oklahoma City"/>
    <s v="CO"/>
    <x v="1"/>
    <b v="1"/>
    <n v="0"/>
    <n v="0"/>
    <n v="0"/>
    <x v="1"/>
    <s v="Minor incident involving weather"/>
  </r>
  <r>
    <s v="INC00000007"/>
    <s v="TRIP00012773"/>
    <s v="TRK00007"/>
    <x v="5"/>
    <d v="2022-06-13T02:00:00"/>
    <x v="3"/>
    <s v="Portland"/>
    <s v="TX"/>
    <x v="0"/>
    <b v="0"/>
    <n v="12589.05"/>
    <n v="28315.16"/>
    <n v="40904.21"/>
    <x v="0"/>
    <s v="Moderate incident involving traffic"/>
  </r>
  <r>
    <s v="INC00000008"/>
    <s v="TRIP00072329"/>
    <s v="TRK00115"/>
    <x v="6"/>
    <d v="2024-07-17T20:00:00"/>
    <x v="4"/>
    <s v="Phoenix"/>
    <s v="TX"/>
    <x v="1"/>
    <b v="0"/>
    <n v="15572.01"/>
    <n v="0"/>
    <n v="15572.01"/>
    <x v="1"/>
    <s v="Moderate incident involving equipment"/>
  </r>
  <r>
    <s v="INC00000009"/>
    <s v="TRIP00043143"/>
    <s v="TRK00107"/>
    <x v="7"/>
    <d v="2023-07-08T02:00:00"/>
    <x v="1"/>
    <s v="Oklahoma City"/>
    <s v="TX"/>
    <x v="1"/>
    <b v="1"/>
    <n v="22283.17"/>
    <n v="379.1"/>
    <n v="22662.27"/>
    <x v="1"/>
    <s v="Moderate incident involving traffic"/>
  </r>
  <r>
    <s v="INC00000010"/>
    <s v="TRIP00068700"/>
    <s v="TRK00074"/>
    <x v="8"/>
    <d v="2024-06-03T04:00:00"/>
    <x v="2"/>
    <s v="Detroit"/>
    <s v="PA"/>
    <x v="1"/>
    <b v="0"/>
    <n v="0"/>
    <n v="33901.9"/>
    <n v="33901.9"/>
    <x v="1"/>
    <s v="Severe incident involving equipment"/>
  </r>
  <r>
    <s v="INC00000011"/>
    <s v="TRIP00022792"/>
    <s v="TRK00007"/>
    <x v="9"/>
    <d v="2022-10-18T02:00:00"/>
    <x v="2"/>
    <s v="Milwaukee"/>
    <s v="NE"/>
    <x v="0"/>
    <b v="0"/>
    <n v="18252.77"/>
    <n v="0"/>
    <n v="18252.77"/>
    <x v="0"/>
    <s v="Severe incident involving weather"/>
  </r>
  <r>
    <s v="INC00000012"/>
    <s v="TRIP00048458"/>
    <s v="TRK00007"/>
    <x v="10"/>
    <d v="2023-09-16T03:00:00"/>
    <x v="1"/>
    <s v="Omaha"/>
    <s v="AZ"/>
    <x v="1"/>
    <b v="0"/>
    <n v="0"/>
    <n v="0"/>
    <n v="0"/>
    <x v="0"/>
    <s v="Severe incident involving equipment"/>
  </r>
  <r>
    <s v="INC00000013"/>
    <s v="TRIP00055475"/>
    <s v="TRK00040"/>
    <x v="11"/>
    <d v="2023-12-16T18:00:00"/>
    <x v="1"/>
    <s v="Indianapolis"/>
    <s v="TX"/>
    <x v="1"/>
    <b v="1"/>
    <n v="0"/>
    <n v="0"/>
    <n v="0"/>
    <x v="0"/>
    <s v="Moderate incident involving equipment"/>
  </r>
  <r>
    <s v="INC00000014"/>
    <s v="TRIP00045572"/>
    <s v="TRK00058"/>
    <x v="12"/>
    <d v="2023-08-10T17:00:00"/>
    <x v="3"/>
    <s v="Portland"/>
    <s v="TN"/>
    <x v="1"/>
    <b v="0"/>
    <n v="0"/>
    <n v="0"/>
    <n v="0"/>
    <x v="1"/>
    <s v="Minor incident involving weather"/>
  </r>
  <r>
    <s v="INC00000015"/>
    <s v="TRIP00043170"/>
    <s v="TRK00026"/>
    <x v="13"/>
    <d v="2023-07-08T02:00:00"/>
    <x v="4"/>
    <s v="Atlanta"/>
    <s v="TN"/>
    <x v="1"/>
    <b v="0"/>
    <n v="4497.67"/>
    <n v="0"/>
    <n v="4497.67"/>
    <x v="0"/>
    <s v="Moderate incident involving traffic"/>
  </r>
  <r>
    <s v="INC00000016"/>
    <s v="TRIP00033560"/>
    <s v="TRK00099"/>
    <x v="14"/>
    <d v="2023-03-07T03:00:00"/>
    <x v="3"/>
    <s v="Chicago"/>
    <s v="AZ"/>
    <x v="0"/>
    <b v="0"/>
    <n v="3082.44"/>
    <n v="0"/>
    <n v="3082.44"/>
    <x v="1"/>
    <s v="Moderate incident involving weather"/>
  </r>
  <r>
    <s v="INC00000017"/>
    <s v="TRIP00078434"/>
    <s v="TRK00007"/>
    <x v="15"/>
    <d v="2024-10-05T04:00:00"/>
    <x v="1"/>
    <s v="Salt Lake City"/>
    <s v="NY"/>
    <x v="1"/>
    <b v="1"/>
    <n v="0"/>
    <n v="0"/>
    <n v="0"/>
    <x v="0"/>
    <s v="Severe incident involving equipment"/>
  </r>
  <r>
    <s v="INC00000018"/>
    <s v="TRIP00051688"/>
    <s v="TRK00039"/>
    <x v="8"/>
    <d v="2023-10-27T13:00:00"/>
    <x v="3"/>
    <s v="Miami"/>
    <s v="WI"/>
    <x v="1"/>
    <b v="1"/>
    <n v="9695.9500000000007"/>
    <n v="0"/>
    <n v="9695.9500000000007"/>
    <x v="0"/>
    <s v="Severe incident involving weather"/>
  </r>
  <r>
    <s v="INC00000019"/>
    <s v="TRIP00064255"/>
    <s v="TRK00020"/>
    <x v="1"/>
    <d v="2024-04-05T09:00:00"/>
    <x v="4"/>
    <s v="Miami"/>
    <s v="TN"/>
    <x v="1"/>
    <b v="0"/>
    <n v="5672.35"/>
    <n v="0"/>
    <n v="5672.35"/>
    <x v="0"/>
    <s v="Severe incident involving traffic"/>
  </r>
  <r>
    <s v="INC00000020"/>
    <s v="TRIP00005520"/>
    <s v="TRK00108"/>
    <x v="16"/>
    <d v="2022-03-11T09:00:00"/>
    <x v="4"/>
    <s v="Milwaukee"/>
    <s v="WI"/>
    <x v="1"/>
    <b v="0"/>
    <n v="12824.5"/>
    <n v="0"/>
    <n v="12824.5"/>
    <x v="1"/>
    <s v="Moderate incident involving weather"/>
  </r>
  <r>
    <s v="INC00000021"/>
    <s v="TRIP00028811"/>
    <s v="TRK00086"/>
    <x v="17"/>
    <d v="2023-01-06T04:00:00"/>
    <x v="0"/>
    <s v="Portland"/>
    <s v="AZ"/>
    <x v="1"/>
    <b v="0"/>
    <n v="0"/>
    <n v="0"/>
    <n v="0"/>
    <x v="0"/>
    <s v="Minor incident involving other driver"/>
  </r>
  <r>
    <s v="INC00000022"/>
    <s v="TRIP00030106"/>
    <s v="TRK00061"/>
    <x v="13"/>
    <d v="2023-01-20T04:00:00"/>
    <x v="4"/>
    <s v="Houston"/>
    <s v="NY"/>
    <x v="1"/>
    <b v="0"/>
    <n v="19400.810000000001"/>
    <n v="0"/>
    <n v="19400.810000000001"/>
    <x v="0"/>
    <s v="Minor incident involving traffic"/>
  </r>
  <r>
    <s v="INC00000023"/>
    <s v="TRIP00006542"/>
    <s v="TRK00057"/>
    <x v="18"/>
    <d v="2022-03-25T12:00:00"/>
    <x v="4"/>
    <s v="Detroit"/>
    <s v="OH"/>
    <x v="1"/>
    <b v="0"/>
    <n v="3931.12"/>
    <n v="40113.96"/>
    <n v="44045.08"/>
    <x v="1"/>
    <s v="Minor incident involving equipment"/>
  </r>
  <r>
    <s v="INC00000024"/>
    <s v="TRIP00016403"/>
    <s v="TRK00116"/>
    <x v="19"/>
    <d v="2022-07-30T12:00:00"/>
    <x v="1"/>
    <s v="Charlotte"/>
    <s v="PA"/>
    <x v="1"/>
    <b v="0"/>
    <n v="2870.01"/>
    <n v="0"/>
    <n v="2870.01"/>
    <x v="1"/>
    <s v="Moderate incident involving traffic"/>
  </r>
  <r>
    <s v="INC00000025"/>
    <s v="TRIP00074001"/>
    <s v="TRK00025"/>
    <x v="20"/>
    <d v="2024-08-07T10:00:00"/>
    <x v="2"/>
    <s v="Memphis"/>
    <s v="PA"/>
    <x v="1"/>
    <b v="1"/>
    <n v="22117.89"/>
    <n v="0"/>
    <n v="22117.89"/>
    <x v="1"/>
    <s v="Moderate incident involving weather"/>
  </r>
  <r>
    <s v="INC00000026"/>
    <s v="TRIP00064319"/>
    <s v="TRK00082"/>
    <x v="21"/>
    <d v="2024-04-08T06:00:00"/>
    <x v="3"/>
    <s v="Los Angeles"/>
    <s v="CO"/>
    <x v="0"/>
    <b v="1"/>
    <n v="18303.46"/>
    <n v="0"/>
    <n v="18303.46"/>
    <x v="1"/>
    <s v="Minor incident involving traffic"/>
  </r>
  <r>
    <s v="INC00000027"/>
    <s v="TRIP00012626"/>
    <s v="TRK00013"/>
    <x v="11"/>
    <d v="2022-06-12T10:00:00"/>
    <x v="1"/>
    <s v="Phoenix"/>
    <s v="GA"/>
    <x v="0"/>
    <b v="0"/>
    <n v="13379.62"/>
    <n v="2259.73"/>
    <n v="15639.35"/>
    <x v="0"/>
    <s v="Minor incident involving equipment"/>
  </r>
  <r>
    <s v="INC00000028"/>
    <s v="TRIP00079288"/>
    <s v="TRK00054"/>
    <x v="22"/>
    <d v="2024-10-13T16:00:00"/>
    <x v="1"/>
    <s v="Portland"/>
    <s v="MO"/>
    <x v="1"/>
    <b v="0"/>
    <n v="10006.92"/>
    <n v="0"/>
    <n v="10006.92"/>
    <x v="1"/>
    <s v="Minor incident involving other driver"/>
  </r>
  <r>
    <s v="INC00000029"/>
    <s v="TRIP00019840"/>
    <s v="TRK00039"/>
    <x v="23"/>
    <d v="2022-09-12T03:00:00"/>
    <x v="2"/>
    <s v="Los Angeles"/>
    <s v="FL"/>
    <x v="1"/>
    <b v="1"/>
    <n v="6121.59"/>
    <n v="24601.040000000001"/>
    <n v="30722.63"/>
    <x v="1"/>
    <s v="Severe incident involving other driver"/>
  </r>
  <r>
    <s v="INC00000030"/>
    <s v="TRIP00033018"/>
    <s v="TRK00024"/>
    <x v="24"/>
    <d v="2023-02-28T03:00:00"/>
    <x v="1"/>
    <s v="Dallas"/>
    <s v="TN"/>
    <x v="1"/>
    <b v="0"/>
    <n v="3783.54"/>
    <n v="0"/>
    <n v="3783.54"/>
    <x v="1"/>
    <s v="Severe incident involving traffic"/>
  </r>
  <r>
    <s v="INC00000031"/>
    <s v="TRIP00051725"/>
    <s v="TRK00045"/>
    <x v="25"/>
    <d v="2023-10-27T02:00:00"/>
    <x v="2"/>
    <s v="Minneapolis"/>
    <s v="IN"/>
    <x v="1"/>
    <b v="0"/>
    <n v="23296.79"/>
    <n v="0"/>
    <n v="23296.79"/>
    <x v="1"/>
    <s v="Severe incident involving weather"/>
  </r>
  <r>
    <s v="INC00000032"/>
    <s v="TRIP00068238"/>
    <s v="TRK00020"/>
    <x v="26"/>
    <d v="2024-05-27T06:00:00"/>
    <x v="4"/>
    <s v="Philadelphia"/>
    <s v="WA"/>
    <x v="0"/>
    <b v="0"/>
    <n v="24614.16"/>
    <n v="0"/>
    <n v="24614.16"/>
    <x v="1"/>
    <s v="Severe incident involving other driver"/>
  </r>
  <r>
    <s v="INC00000033"/>
    <s v="TRIP00016176"/>
    <s v="TRK00010"/>
    <x v="27"/>
    <d v="2022-07-28T12:00:00"/>
    <x v="3"/>
    <s v="Seattle"/>
    <s v="TX"/>
    <x v="1"/>
    <b v="0"/>
    <n v="17729.8"/>
    <n v="8080.5"/>
    <n v="25810.3"/>
    <x v="0"/>
    <s v="Minor incident involving equipment"/>
  </r>
  <r>
    <s v="INC00000034"/>
    <s v="TRIP00021253"/>
    <s v="TRK00016"/>
    <x v="28"/>
    <d v="2022-09-29T10:00:00"/>
    <x v="3"/>
    <s v="Chicago"/>
    <s v="PA"/>
    <x v="1"/>
    <b v="0"/>
    <n v="14994.22"/>
    <n v="49251.5"/>
    <n v="64245.72"/>
    <x v="1"/>
    <s v="Minor incident involving other driver"/>
  </r>
  <r>
    <s v="INC00000035"/>
    <s v="TRIP00019719"/>
    <s v="TRK00026"/>
    <x v="0"/>
    <d v="2022-09-10T06:00:00"/>
    <x v="2"/>
    <s v="New York"/>
    <s v="TN"/>
    <x v="1"/>
    <b v="0"/>
    <n v="19624.96"/>
    <n v="0"/>
    <n v="19624.96"/>
    <x v="1"/>
    <s v="Severe incident involving equipment"/>
  </r>
  <r>
    <s v="INC00000036"/>
    <s v="TRIP00030657"/>
    <s v="TRK00114"/>
    <x v="27"/>
    <d v="2023-01-27T16:00:00"/>
    <x v="3"/>
    <s v="New York"/>
    <s v="NC"/>
    <x v="1"/>
    <b v="0"/>
    <n v="22477.63"/>
    <n v="0"/>
    <n v="22477.63"/>
    <x v="1"/>
    <s v="Minor incident involving equipment"/>
  </r>
  <r>
    <s v="INC00000037"/>
    <s v="TRIP00042776"/>
    <s v="TRK00031"/>
    <x v="29"/>
    <d v="2023-07-04T01:00:00"/>
    <x v="1"/>
    <s v="Miami"/>
    <s v="WI"/>
    <x v="0"/>
    <b v="0"/>
    <n v="22667.73"/>
    <n v="0"/>
    <n v="22667.73"/>
    <x v="1"/>
    <s v="Severe incident involving traffic"/>
  </r>
  <r>
    <s v="INC00000038"/>
    <s v="TRIP00022838"/>
    <s v="TRK00092"/>
    <x v="30"/>
    <d v="2022-10-19T12:00:00"/>
    <x v="4"/>
    <s v="Chicago"/>
    <s v="MO"/>
    <x v="1"/>
    <b v="1"/>
    <n v="0"/>
    <n v="0"/>
    <n v="0"/>
    <x v="1"/>
    <s v="Moderate incident involving traffic"/>
  </r>
  <r>
    <s v="INC00000039"/>
    <s v="TRIP00080961"/>
    <s v="TRK00112"/>
    <x v="31"/>
    <d v="2024-11-05T23:00:00"/>
    <x v="1"/>
    <s v="Charlotte"/>
    <s v="CA"/>
    <x v="1"/>
    <b v="0"/>
    <n v="13425.42"/>
    <n v="376.13"/>
    <n v="13801.55"/>
    <x v="0"/>
    <s v="Moderate incident involving equipment"/>
  </r>
  <r>
    <s v="INC00000040"/>
    <s v="TRIP00021010"/>
    <s v="TRK00008"/>
    <x v="32"/>
    <d v="2022-09-27T07:00:00"/>
    <x v="1"/>
    <s v="Denver"/>
    <s v="CO"/>
    <x v="0"/>
    <b v="1"/>
    <n v="19633.39"/>
    <n v="0"/>
    <n v="19633.39"/>
    <x v="1"/>
    <s v="Moderate incident involving equipment"/>
  </r>
  <r>
    <s v="INC00000041"/>
    <s v="TRIP00043932"/>
    <s v="TRK00053"/>
    <x v="33"/>
    <d v="2023-07-19T19:00:00"/>
    <x v="1"/>
    <s v="Minneapolis"/>
    <s v="NC"/>
    <x v="1"/>
    <b v="0"/>
    <n v="24060.67"/>
    <n v="10999.07"/>
    <n v="35059.74"/>
    <x v="1"/>
    <s v="Moderate incident involving weather"/>
  </r>
  <r>
    <s v="INC00000042"/>
    <s v="TRIP00018651"/>
    <s v="TRK00054"/>
    <x v="34"/>
    <d v="2022-08-27T05:00:00"/>
    <x v="0"/>
    <s v="Memphis"/>
    <s v="TX"/>
    <x v="1"/>
    <b v="0"/>
    <n v="6561.35"/>
    <n v="36910.92"/>
    <n v="43472.27"/>
    <x v="1"/>
    <s v="Severe incident involving other driver"/>
  </r>
  <r>
    <s v="INC00000043"/>
    <s v="TRIP00081463"/>
    <s v="TRK00099"/>
    <x v="35"/>
    <d v="2024-11-12T09:00:00"/>
    <x v="0"/>
    <s v="Nashville"/>
    <s v="NV"/>
    <x v="1"/>
    <b v="0"/>
    <n v="16514.689999999999"/>
    <n v="0"/>
    <n v="16514.689999999999"/>
    <x v="1"/>
    <s v="Minor incident involving weather"/>
  </r>
  <r>
    <s v="INC00000044"/>
    <s v="TRIP00043850"/>
    <s v="TRK00062"/>
    <x v="11"/>
    <d v="2023-07-17T13:00:00"/>
    <x v="3"/>
    <s v="Chicago"/>
    <s v="MI"/>
    <x v="0"/>
    <b v="0"/>
    <n v="13299.51"/>
    <n v="0"/>
    <n v="13299.51"/>
    <x v="0"/>
    <s v="Minor incident involving weather"/>
  </r>
  <r>
    <s v="INC00000045"/>
    <s v="TRIP00068665"/>
    <s v="TRK00033"/>
    <x v="13"/>
    <d v="2024-06-03T03:00:00"/>
    <x v="3"/>
    <s v="Columbus"/>
    <s v="TN"/>
    <x v="0"/>
    <b v="1"/>
    <n v="0"/>
    <n v="0"/>
    <n v="0"/>
    <x v="1"/>
    <s v="Moderate incident involving other driver"/>
  </r>
  <r>
    <s v="INC00000046"/>
    <s v="TRIP00013936"/>
    <s v="TRK00095"/>
    <x v="36"/>
    <d v="2022-06-28T09:00:00"/>
    <x v="3"/>
    <s v="Chicago"/>
    <s v="MO"/>
    <x v="1"/>
    <b v="0"/>
    <n v="0"/>
    <n v="0"/>
    <n v="0"/>
    <x v="1"/>
    <s v="Moderate incident involving weather"/>
  </r>
  <r>
    <s v="INC00000047"/>
    <s v="TRIP00014635"/>
    <s v="TRK00031"/>
    <x v="9"/>
    <d v="2022-07-09T18:00:00"/>
    <x v="2"/>
    <s v="Columbus"/>
    <s v="TN"/>
    <x v="0"/>
    <b v="1"/>
    <n v="12202.8"/>
    <n v="0"/>
    <n v="12202.8"/>
    <x v="1"/>
    <s v="Minor incident involving equipment"/>
  </r>
  <r>
    <s v="INC00000048"/>
    <s v="TRIP00073076"/>
    <s v="TRK00105"/>
    <x v="17"/>
    <d v="2024-07-27T12:00:00"/>
    <x v="1"/>
    <s v="Phoenix"/>
    <s v="IL"/>
    <x v="1"/>
    <b v="0"/>
    <n v="0"/>
    <n v="0"/>
    <n v="0"/>
    <x v="1"/>
    <s v="Moderate incident involving equipment"/>
  </r>
  <r>
    <s v="INC00000049"/>
    <s v="TRIP00056337"/>
    <s v="TRK00110"/>
    <x v="13"/>
    <d v="2023-12-26T16:00:00"/>
    <x v="2"/>
    <s v="Memphis"/>
    <s v="GA"/>
    <x v="0"/>
    <b v="1"/>
    <n v="23165.07"/>
    <n v="0"/>
    <n v="23165.07"/>
    <x v="1"/>
    <s v="Severe incident involving equipment"/>
  </r>
  <r>
    <s v="INC00000050"/>
    <s v="TRIP00039757"/>
    <s v="TRK00067"/>
    <x v="37"/>
    <d v="2023-05-27T22:00:00"/>
    <x v="2"/>
    <s v="Houston"/>
    <s v="NV"/>
    <x v="0"/>
    <b v="0"/>
    <n v="0"/>
    <n v="0"/>
    <n v="0"/>
    <x v="0"/>
    <s v="Severe incident involving other driver"/>
  </r>
  <r>
    <s v="INC00000051"/>
    <s v="TRIP00016308"/>
    <s v="TRK00018"/>
    <x v="38"/>
    <d v="2022-07-29T10:00:00"/>
    <x v="4"/>
    <s v="Los Angeles"/>
    <s v="NV"/>
    <x v="1"/>
    <b v="0"/>
    <n v="5214.8100000000004"/>
    <n v="0"/>
    <n v="5214.8100000000004"/>
    <x v="0"/>
    <s v="Minor incident involving other driver"/>
  </r>
  <r>
    <s v="INC00000052"/>
    <s v="TRIP00080811"/>
    <s v="TRK00067"/>
    <x v="25"/>
    <d v="2024-11-03T08:00:00"/>
    <x v="4"/>
    <s v="Los Angeles"/>
    <s v="NE"/>
    <x v="1"/>
    <b v="0"/>
    <n v="0"/>
    <n v="0"/>
    <n v="0"/>
    <x v="1"/>
    <s v="Minor incident involving other driver"/>
  </r>
  <r>
    <s v="INC00000053"/>
    <s v="TRIP00036732"/>
    <s v="TRK00009"/>
    <x v="39"/>
    <d v="2023-04-15T02:00:00"/>
    <x v="4"/>
    <s v="Houston"/>
    <s v="NV"/>
    <x v="1"/>
    <b v="0"/>
    <n v="852.1"/>
    <n v="0"/>
    <n v="852.1"/>
    <x v="1"/>
    <s v="Minor incident involving equipment"/>
  </r>
  <r>
    <s v="INC00000054"/>
    <s v="TRIP00022029"/>
    <s v="TRK00105"/>
    <x v="40"/>
    <d v="2022-10-10T23:00:00"/>
    <x v="4"/>
    <s v="Miami"/>
    <s v="UT"/>
    <x v="1"/>
    <b v="0"/>
    <n v="18809.169999999998"/>
    <n v="0"/>
    <n v="18809.169999999998"/>
    <x v="1"/>
    <s v="Moderate incident involving traffic"/>
  </r>
  <r>
    <s v="INC00000055"/>
    <s v="TRIP00000271"/>
    <s v="TRK00093"/>
    <x v="41"/>
    <d v="2022-01-06T15:00:00"/>
    <x v="2"/>
    <s v="Phoenix"/>
    <s v="NY"/>
    <x v="0"/>
    <b v="1"/>
    <n v="23366.57"/>
    <n v="0"/>
    <n v="23366.57"/>
    <x v="1"/>
    <s v="Severe incident involving equipment"/>
  </r>
  <r>
    <s v="INC00000056"/>
    <s v="TRIP00069367"/>
    <s v="TRK00055"/>
    <x v="33"/>
    <d v="2024-06-11T15:00:00"/>
    <x v="3"/>
    <s v="Chicago"/>
    <s v="NE"/>
    <x v="0"/>
    <b v="0"/>
    <n v="0"/>
    <n v="17112.080000000002"/>
    <n v="17112.080000000002"/>
    <x v="1"/>
    <s v="Minor incident involving other driver"/>
  </r>
  <r>
    <s v="INC00000057"/>
    <s v="TRIP00052380"/>
    <s v="TRK00103"/>
    <x v="42"/>
    <d v="2023-11-05T17:00:00"/>
    <x v="0"/>
    <s v="Charlotte"/>
    <s v="TN"/>
    <x v="0"/>
    <b v="1"/>
    <n v="0"/>
    <n v="0"/>
    <n v="0"/>
    <x v="0"/>
    <s v="Minor incident involving other driver"/>
  </r>
  <r>
    <s v="INC00000058"/>
    <s v="TRIP00077372"/>
    <s v="TRK00024"/>
    <x v="43"/>
    <d v="2024-09-22T04:00:00"/>
    <x v="3"/>
    <s v="Memphis"/>
    <s v="MN"/>
    <x v="0"/>
    <b v="1"/>
    <n v="24102.19"/>
    <n v="0"/>
    <n v="24102.19"/>
    <x v="1"/>
    <s v="Minor incident involving other driver"/>
  </r>
  <r>
    <s v="INC00000059"/>
    <s v="TRIP00068506"/>
    <s v="TRK00060"/>
    <x v="44"/>
    <d v="2024-05-29T11:00:00"/>
    <x v="2"/>
    <s v="Salt Lake City"/>
    <s v="NC"/>
    <x v="0"/>
    <b v="1"/>
    <n v="15019.37"/>
    <n v="0"/>
    <n v="15019.37"/>
    <x v="0"/>
    <s v="Minor incident involving equipment"/>
  </r>
  <r>
    <s v="INC00000060"/>
    <s v="TRIP00067707"/>
    <s v=""/>
    <x v="45"/>
    <d v="2024-05-21T07:00:00"/>
    <x v="4"/>
    <s v="Atlanta"/>
    <s v="IL"/>
    <x v="0"/>
    <b v="0"/>
    <n v="13414.05"/>
    <n v="0"/>
    <n v="13414.05"/>
    <x v="1"/>
    <s v="Severe incident involving equipment"/>
  </r>
  <r>
    <s v="INC00000061"/>
    <s v="TRIP00079871"/>
    <s v="TRK00011"/>
    <x v="1"/>
    <d v="2024-10-22T20:00:00"/>
    <x v="0"/>
    <s v="Salt Lake City"/>
    <s v="OR"/>
    <x v="1"/>
    <b v="0"/>
    <n v="18400.91"/>
    <n v="0"/>
    <n v="18400.91"/>
    <x v="1"/>
    <s v="Moderate incident involving weather"/>
  </r>
  <r>
    <s v="INC00000062"/>
    <s v="TRIP00075973"/>
    <s v="TRK00001"/>
    <x v="46"/>
    <d v="2024-09-04T21:00:00"/>
    <x v="3"/>
    <s v="Salt Lake City"/>
    <s v="WA"/>
    <x v="1"/>
    <b v="0"/>
    <n v="7737.05"/>
    <n v="0"/>
    <n v="7737.05"/>
    <x v="0"/>
    <s v="Minor incident involving other driver"/>
  </r>
  <r>
    <s v="INC00000063"/>
    <s v="TRIP00008117"/>
    <s v="TRK00019"/>
    <x v="47"/>
    <d v="2022-04-17T17:00:00"/>
    <x v="2"/>
    <s v="Seattle"/>
    <s v="CA"/>
    <x v="0"/>
    <b v="0"/>
    <n v="6476.75"/>
    <n v="43698.11"/>
    <n v="50174.86"/>
    <x v="1"/>
    <s v="Minor incident involving equipment"/>
  </r>
  <r>
    <s v="INC00000064"/>
    <s v="TRIP00036527"/>
    <s v="TRK00040"/>
    <x v="48"/>
    <d v="2023-04-13T17:00:00"/>
    <x v="3"/>
    <s v="Milwaukee"/>
    <s v="OH"/>
    <x v="1"/>
    <b v="0"/>
    <n v="0"/>
    <n v="0"/>
    <n v="0"/>
    <x v="1"/>
    <s v="Moderate incident involving traffic"/>
  </r>
  <r>
    <s v="INC00000065"/>
    <s v="TRIP00084686"/>
    <s v="TRK00006"/>
    <x v="41"/>
    <d v="2024-12-24T09:00:00"/>
    <x v="4"/>
    <s v="Phoenix"/>
    <s v="OK"/>
    <x v="0"/>
    <b v="0"/>
    <n v="17783.759999999998"/>
    <n v="0"/>
    <n v="17783.759999999998"/>
    <x v="0"/>
    <s v="Severe incident involving weather"/>
  </r>
  <r>
    <s v="INC00000066"/>
    <s v="TRIP00010156"/>
    <s v="TRK00002"/>
    <x v="49"/>
    <d v="2022-05-10T12:00:00"/>
    <x v="3"/>
    <s v="Salt Lake City"/>
    <s v="TN"/>
    <x v="1"/>
    <b v="0"/>
    <n v="18964.84"/>
    <n v="42214.25"/>
    <n v="61179.09"/>
    <x v="0"/>
    <s v="Minor incident involving other driver"/>
  </r>
  <r>
    <s v="INC00000067"/>
    <s v="TRIP00018047"/>
    <s v="TRK00031"/>
    <x v="17"/>
    <d v="2022-08-18T02:00:00"/>
    <x v="3"/>
    <s v="Columbus"/>
    <s v="IN"/>
    <x v="0"/>
    <b v="0"/>
    <n v="0"/>
    <n v="0"/>
    <n v="0"/>
    <x v="0"/>
    <s v="Minor incident involving equipment"/>
  </r>
  <r>
    <s v="INC00000068"/>
    <s v="TRIP00083177"/>
    <s v="TRK00092"/>
    <x v="50"/>
    <d v="2024-12-02T08:00:00"/>
    <x v="0"/>
    <s v="Denver"/>
    <s v="FL"/>
    <x v="0"/>
    <b v="0"/>
    <n v="16566.78"/>
    <n v="0"/>
    <n v="16566.78"/>
    <x v="1"/>
    <s v="Minor incident involving weather"/>
  </r>
  <r>
    <s v="INC00000069"/>
    <s v="TRIP00075012"/>
    <s v="TRK00061"/>
    <x v="51"/>
    <d v="2024-08-21T06:00:00"/>
    <x v="3"/>
    <s v="Los Angeles"/>
    <s v="GA"/>
    <x v="0"/>
    <b v="0"/>
    <n v="15399.79"/>
    <n v="0"/>
    <n v="15399.79"/>
    <x v="0"/>
    <s v="Minor incident involving traffic"/>
  </r>
  <r>
    <s v="INC00000070"/>
    <s v="TRIP00035290"/>
    <s v="TRK00069"/>
    <x v="52"/>
    <d v="2023-03-31T00:00:00"/>
    <x v="2"/>
    <s v="Charlotte"/>
    <s v="MI"/>
    <x v="1"/>
    <b v="0"/>
    <n v="0"/>
    <n v="47959.360000000001"/>
    <n v="47959.360000000001"/>
    <x v="1"/>
    <s v="Moderate incident involving traffic"/>
  </r>
  <r>
    <s v="INC00000071"/>
    <s v="TRIP00057741"/>
    <s v="TRK00105"/>
    <x v="49"/>
    <d v="2024-01-15T17:00:00"/>
    <x v="4"/>
    <s v="Chicago"/>
    <s v="GA"/>
    <x v="1"/>
    <b v="0"/>
    <n v="0"/>
    <n v="0"/>
    <n v="0"/>
    <x v="0"/>
    <s v="Minor incident involving traffic"/>
  </r>
  <r>
    <s v="INC00000072"/>
    <s v="TRIP00042350"/>
    <s v="TRK00057"/>
    <x v="53"/>
    <d v="2023-06-29T19:00:00"/>
    <x v="3"/>
    <s v="Nashville"/>
    <s v="MN"/>
    <x v="1"/>
    <b v="0"/>
    <n v="0"/>
    <n v="0"/>
    <n v="0"/>
    <x v="0"/>
    <s v="Severe incident involving weather"/>
  </r>
  <r>
    <s v="INC00000073"/>
    <s v="TRIP00074311"/>
    <s v="TRK00053"/>
    <x v="22"/>
    <d v="2024-08-11T07:00:00"/>
    <x v="2"/>
    <s v="Miami"/>
    <s v="CA"/>
    <x v="0"/>
    <b v="0"/>
    <n v="0"/>
    <n v="0"/>
    <n v="0"/>
    <x v="1"/>
    <s v="Moderate incident involving weather"/>
  </r>
  <r>
    <s v="INC00000074"/>
    <s v="TRIP00010516"/>
    <s v="TRK00103"/>
    <x v="45"/>
    <d v="2022-05-17T09:00:00"/>
    <x v="1"/>
    <s v="Seattle"/>
    <s v="NE"/>
    <x v="0"/>
    <b v="0"/>
    <n v="0"/>
    <n v="0"/>
    <n v="0"/>
    <x v="0"/>
    <s v="Severe incident involving traffic"/>
  </r>
  <r>
    <s v="INC00000075"/>
    <s v="TRIP00029280"/>
    <s v="TRK00050"/>
    <x v="7"/>
    <d v="2023-01-11T08:00:00"/>
    <x v="3"/>
    <s v="Salt Lake City"/>
    <s v="MO"/>
    <x v="0"/>
    <b v="0"/>
    <n v="0"/>
    <n v="0"/>
    <n v="0"/>
    <x v="1"/>
    <s v="Minor incident involving equipment"/>
  </r>
  <r>
    <s v="INC00000076"/>
    <s v="TRIP00025439"/>
    <s v="TRK00054"/>
    <x v="54"/>
    <d v="2022-11-21T16:00:00"/>
    <x v="2"/>
    <s v="Phoenix"/>
    <s v="AZ"/>
    <x v="1"/>
    <b v="1"/>
    <n v="23775.81"/>
    <n v="0"/>
    <n v="23775.81"/>
    <x v="1"/>
    <s v="Severe incident involving equipment"/>
  </r>
  <r>
    <s v="INC00000077"/>
    <s v="TRIP00039355"/>
    <s v="TRK00083"/>
    <x v="55"/>
    <d v="2023-05-21T11:00:00"/>
    <x v="2"/>
    <s v="Memphis"/>
    <s v="UT"/>
    <x v="1"/>
    <b v="1"/>
    <n v="18884.39"/>
    <n v="29755.82"/>
    <n v="48640.21"/>
    <x v="1"/>
    <s v="Moderate incident involving equipment"/>
  </r>
  <r>
    <s v="INC00000078"/>
    <s v="TRIP00036751"/>
    <s v="TRK00093"/>
    <x v="56"/>
    <d v="2023-04-18T07:00:00"/>
    <x v="0"/>
    <s v="Las Vegas"/>
    <s v="GA"/>
    <x v="1"/>
    <b v="0"/>
    <n v="0"/>
    <n v="0"/>
    <n v="0"/>
    <x v="1"/>
    <s v="Severe incident involving other driver"/>
  </r>
  <r>
    <s v="INC00000079"/>
    <s v="TRIP00017986"/>
    <s v="TRK00055"/>
    <x v="57"/>
    <d v="2022-08-18T01:00:00"/>
    <x v="1"/>
    <s v="Miami"/>
    <s v="IL"/>
    <x v="1"/>
    <b v="0"/>
    <n v="19373.439999999999"/>
    <n v="0"/>
    <n v="19373.439999999999"/>
    <x v="1"/>
    <s v="Severe incident involving weather"/>
  </r>
  <r>
    <s v="INC00000080"/>
    <s v="TRIP00001528"/>
    <s v="TRK00004"/>
    <x v="19"/>
    <d v="2022-01-21T17:00:00"/>
    <x v="0"/>
    <s v="Memphis"/>
    <s v="NC"/>
    <x v="1"/>
    <b v="0"/>
    <n v="1898.17"/>
    <n v="0"/>
    <n v="1898.17"/>
    <x v="1"/>
    <s v="Minor incident involving equipment"/>
  </r>
  <r>
    <s v="INC00000081"/>
    <s v="TRIP00000543"/>
    <s v="TRK00014"/>
    <x v="51"/>
    <d v="2022-01-08T22:00:00"/>
    <x v="4"/>
    <s v="Seattle"/>
    <s v="CO"/>
    <x v="1"/>
    <b v="0"/>
    <n v="10725.67"/>
    <n v="0"/>
    <n v="10725.67"/>
    <x v="1"/>
    <s v="Moderate incident involving weather"/>
  </r>
  <r>
    <s v="INC00000082"/>
    <s v="TRIP00049352"/>
    <s v="TRK00012"/>
    <x v="58"/>
    <d v="2023-09-27T18:00:00"/>
    <x v="0"/>
    <s v="Philadelphia"/>
    <s v="CO"/>
    <x v="1"/>
    <b v="0"/>
    <n v="3391.18"/>
    <n v="35893"/>
    <n v="39284.18"/>
    <x v="0"/>
    <s v="Minor incident involving equipment"/>
  </r>
  <r>
    <s v="INC00000083"/>
    <s v="TRIP00014340"/>
    <s v="TRK00007"/>
    <x v="59"/>
    <d v="2022-07-04T02:00:00"/>
    <x v="2"/>
    <s v="Dallas"/>
    <s v="OH"/>
    <x v="1"/>
    <b v="0"/>
    <n v="0"/>
    <n v="8606.98"/>
    <n v="8606.98"/>
    <x v="0"/>
    <s v="Moderate incident involving equipment"/>
  </r>
  <r>
    <s v="INC00000084"/>
    <s v="TRIP00081150"/>
    <s v="TRK00059"/>
    <x v="60"/>
    <d v="2024-11-08T05:00:00"/>
    <x v="2"/>
    <s v="Salt Lake City"/>
    <s v="OR"/>
    <x v="0"/>
    <b v="0"/>
    <n v="0"/>
    <n v="0"/>
    <n v="0"/>
    <x v="1"/>
    <s v="Minor incident involving equipment"/>
  </r>
  <r>
    <s v="INC00000085"/>
    <s v="TRIP00045060"/>
    <s v="TRK00015"/>
    <x v="61"/>
    <d v="2023-08-03T19:00:00"/>
    <x v="4"/>
    <s v="Los Angeles"/>
    <s v="OH"/>
    <x v="1"/>
    <b v="0"/>
    <n v="0"/>
    <n v="0"/>
    <n v="0"/>
    <x v="0"/>
    <s v="Moderate incident involving traffic"/>
  </r>
  <r>
    <s v="INC00000086"/>
    <s v="TRIP00078852"/>
    <s v="TRK00120"/>
    <x v="62"/>
    <d v="2024-10-10T15:00:00"/>
    <x v="3"/>
    <s v="Columbus"/>
    <s v="WI"/>
    <x v="1"/>
    <b v="0"/>
    <n v="0"/>
    <n v="0"/>
    <n v="0"/>
    <x v="0"/>
    <s v="Severe incident involving weather"/>
  </r>
  <r>
    <s v="INC00000087"/>
    <s v="TRIP00031278"/>
    <s v="TRK00062"/>
    <x v="30"/>
    <d v="2023-02-04T09:00:00"/>
    <x v="1"/>
    <s v="Indianapolis"/>
    <s v="TX"/>
    <x v="1"/>
    <b v="0"/>
    <n v="0"/>
    <n v="0"/>
    <n v="0"/>
    <x v="1"/>
    <s v="Minor incident involving traffic"/>
  </r>
  <r>
    <s v="INC00000088"/>
    <s v="TRIP00030480"/>
    <s v="TRK00080"/>
    <x v="63"/>
    <d v="2023-01-26T03:00:00"/>
    <x v="1"/>
    <s v="Los Angeles"/>
    <s v="NC"/>
    <x v="1"/>
    <b v="1"/>
    <n v="12833.93"/>
    <n v="0"/>
    <n v="12833.93"/>
    <x v="0"/>
    <s v="Moderate incident involving equipment"/>
  </r>
  <r>
    <s v="INC00000089"/>
    <s v="TRIP00008529"/>
    <s v="TRK00089"/>
    <x v="64"/>
    <d v="2022-04-20T23:00:00"/>
    <x v="3"/>
    <s v="Chicago"/>
    <s v="IL"/>
    <x v="1"/>
    <b v="0"/>
    <n v="4569.66"/>
    <n v="45853.75"/>
    <n v="50423.41"/>
    <x v="1"/>
    <s v="Severe incident involving equipment"/>
  </r>
  <r>
    <s v="INC00000090"/>
    <s v="TRIP00056229"/>
    <s v="TRK00040"/>
    <x v="65"/>
    <d v="2023-12-26T10:00:00"/>
    <x v="4"/>
    <s v="Philadelphia"/>
    <s v="PA"/>
    <x v="1"/>
    <b v="0"/>
    <n v="0"/>
    <n v="0"/>
    <n v="0"/>
    <x v="1"/>
    <s v="Severe incident involving weather"/>
  </r>
  <r>
    <s v="INC00000091"/>
    <s v="TRIP00070088"/>
    <s v="TRK00062"/>
    <x v="40"/>
    <d v="2024-06-18T15:00:00"/>
    <x v="4"/>
    <s v="Milwaukee"/>
    <s v="NC"/>
    <x v="0"/>
    <b v="0"/>
    <n v="17306.77"/>
    <n v="0"/>
    <n v="17306.77"/>
    <x v="0"/>
    <s v="Moderate incident involving weather"/>
  </r>
  <r>
    <s v="INC00000092"/>
    <s v="TRIP00082508"/>
    <s v="TRK00067"/>
    <x v="66"/>
    <d v="2024-11-25T13:00:00"/>
    <x v="4"/>
    <s v="Omaha"/>
    <s v="MO"/>
    <x v="1"/>
    <b v="0"/>
    <n v="21157.62"/>
    <n v="5222.46"/>
    <n v="26380.080000000002"/>
    <x v="1"/>
    <s v="Moderate incident involving equipment"/>
  </r>
  <r>
    <s v="INC00000093"/>
    <s v="TRIP00073906"/>
    <s v="TRK00069"/>
    <x v="67"/>
    <d v="2024-08-07T17:00:00"/>
    <x v="2"/>
    <s v="Dallas"/>
    <s v="OK"/>
    <x v="1"/>
    <b v="0"/>
    <n v="14119.63"/>
    <n v="0"/>
    <n v="14119.63"/>
    <x v="0"/>
    <s v="Minor incident involving other driver"/>
  </r>
  <r>
    <s v="INC00000094"/>
    <s v="TRIP00030254"/>
    <s v="TRK00057"/>
    <x v="68"/>
    <d v="2023-01-23T10:00:00"/>
    <x v="0"/>
    <s v="Columbus"/>
    <s v="OH"/>
    <x v="1"/>
    <b v="0"/>
    <n v="9874.61"/>
    <n v="214.41"/>
    <n v="10089.02"/>
    <x v="1"/>
    <s v="Severe incident involving equipment"/>
  </r>
  <r>
    <s v="INC00000095"/>
    <s v="TRIP00082248"/>
    <s v="TRK00002"/>
    <x v="26"/>
    <d v="2024-11-21T16:00:00"/>
    <x v="4"/>
    <s v="Memphis"/>
    <s v="NC"/>
    <x v="0"/>
    <b v="0"/>
    <n v="1279.18"/>
    <n v="0"/>
    <n v="1279.18"/>
    <x v="1"/>
    <s v="Moderate incident involving other driver"/>
  </r>
  <r>
    <s v="INC00000096"/>
    <s v="TRIP00072443"/>
    <s v="TRK00067"/>
    <x v="69"/>
    <d v="2024-07-18T17:00:00"/>
    <x v="4"/>
    <s v="Atlanta"/>
    <s v="NE"/>
    <x v="1"/>
    <b v="1"/>
    <n v="3427.03"/>
    <n v="0"/>
    <n v="3427.03"/>
    <x v="1"/>
    <s v="Moderate incident involving weather"/>
  </r>
  <r>
    <s v="INC00000097"/>
    <s v="TRIP00082429"/>
    <s v="TRK00068"/>
    <x v="57"/>
    <d v="2024-11-24T11:00:00"/>
    <x v="0"/>
    <s v="Minneapolis"/>
    <s v="TX"/>
    <x v="1"/>
    <b v="0"/>
    <n v="9235.6299999999992"/>
    <n v="0"/>
    <n v="9235.6299999999992"/>
    <x v="1"/>
    <s v="Moderate incident involving other driver"/>
  </r>
  <r>
    <s v="INC00000098"/>
    <s v="TRIP00066619"/>
    <s v="TRK00060"/>
    <x v="16"/>
    <d v="2024-05-07T13:00:00"/>
    <x v="1"/>
    <s v="Portland"/>
    <s v="TN"/>
    <x v="1"/>
    <b v="0"/>
    <n v="8200.77"/>
    <n v="9329.09"/>
    <n v="17529.86"/>
    <x v="0"/>
    <s v="Minor incident involving weather"/>
  </r>
  <r>
    <s v="INC00000099"/>
    <s v="TRIP00033943"/>
    <s v="TRK00058"/>
    <x v="70"/>
    <d v="2023-03-11T14:00:00"/>
    <x v="3"/>
    <s v="Columbus"/>
    <s v="AZ"/>
    <x v="1"/>
    <b v="0"/>
    <n v="0"/>
    <n v="0"/>
    <n v="0"/>
    <x v="0"/>
    <s v="Severe incident involving traffic"/>
  </r>
  <r>
    <s v="INC00000100"/>
    <s v="TRIP00081124"/>
    <s v="TRK00067"/>
    <x v="71"/>
    <d v="2024-11-07T13:00:00"/>
    <x v="3"/>
    <s v="Minneapolis"/>
    <s v="PA"/>
    <x v="1"/>
    <b v="0"/>
    <n v="0"/>
    <n v="0"/>
    <n v="0"/>
    <x v="0"/>
    <s v="Moderate incident involving other driver"/>
  </r>
  <r>
    <s v="INC00000101"/>
    <s v="TRIP00039856"/>
    <s v="TRK00029"/>
    <x v="33"/>
    <d v="2023-05-27T01:00:00"/>
    <x v="4"/>
    <s v="Portland"/>
    <s v="NY"/>
    <x v="1"/>
    <b v="0"/>
    <n v="14754.02"/>
    <n v="15205.91"/>
    <n v="29959.93"/>
    <x v="1"/>
    <s v="Severe incident involving weather"/>
  </r>
  <r>
    <s v="INC00000102"/>
    <s v="TRIP00014527"/>
    <s v="TRK00120"/>
    <x v="53"/>
    <d v="2022-07-07T17:00:00"/>
    <x v="2"/>
    <s v="Oklahoma City"/>
    <s v="IN"/>
    <x v="0"/>
    <b v="0"/>
    <n v="21112.58"/>
    <n v="0"/>
    <n v="21112.58"/>
    <x v="1"/>
    <s v="Severe incident involving other driver"/>
  </r>
  <r>
    <s v="INC00000103"/>
    <s v="TRIP00059851"/>
    <s v="TRK00101"/>
    <x v="70"/>
    <d v="2024-02-11T03:00:00"/>
    <x v="4"/>
    <s v="Phoenix"/>
    <s v="TX"/>
    <x v="1"/>
    <b v="0"/>
    <n v="0"/>
    <n v="0"/>
    <n v="0"/>
    <x v="0"/>
    <s v="Moderate incident involving weather"/>
  </r>
  <r>
    <s v="INC00000104"/>
    <s v="TRIP00004735"/>
    <s v="TRK00072"/>
    <x v="66"/>
    <d v="2022-03-03T16:00:00"/>
    <x v="0"/>
    <s v="Oklahoma City"/>
    <s v="MI"/>
    <x v="0"/>
    <b v="0"/>
    <n v="3683.8"/>
    <n v="383.06"/>
    <n v="4066.86"/>
    <x v="0"/>
    <s v="Severe incident involving other driver"/>
  </r>
  <r>
    <s v="INC00000105"/>
    <s v="TRIP00073231"/>
    <s v="TRK00068"/>
    <x v="7"/>
    <d v="2024-07-30T21:00:00"/>
    <x v="4"/>
    <s v="Salt Lake City"/>
    <s v="GA"/>
    <x v="1"/>
    <b v="0"/>
    <n v="9156.0300000000007"/>
    <n v="0"/>
    <n v="9156.0300000000007"/>
    <x v="0"/>
    <s v="Severe incident involving other driver"/>
  </r>
  <r>
    <s v="INC00000106"/>
    <s v="TRIP00061915"/>
    <s v="TRK00116"/>
    <x v="72"/>
    <d v="2024-03-09T07:00:00"/>
    <x v="3"/>
    <s v="Detroit"/>
    <s v="IL"/>
    <x v="1"/>
    <b v="0"/>
    <n v="0"/>
    <n v="0"/>
    <n v="0"/>
    <x v="0"/>
    <s v="Minor incident involving other driver"/>
  </r>
  <r>
    <s v="INC00000107"/>
    <s v="TRIP00017437"/>
    <s v="TRK00030"/>
    <x v="73"/>
    <d v="2022-08-12T19:00:00"/>
    <x v="0"/>
    <s v="Indianapolis"/>
    <s v="OH"/>
    <x v="0"/>
    <b v="0"/>
    <n v="0"/>
    <n v="0"/>
    <n v="0"/>
    <x v="0"/>
    <s v="Moderate incident involving traffic"/>
  </r>
  <r>
    <s v="INC00000108"/>
    <s v="TRIP00058951"/>
    <s v="TRK00058"/>
    <x v="69"/>
    <d v="2024-01-30T18:00:00"/>
    <x v="4"/>
    <s v="Kansas City"/>
    <s v="TN"/>
    <x v="0"/>
    <b v="0"/>
    <n v="2738.59"/>
    <n v="0"/>
    <n v="2738.59"/>
    <x v="1"/>
    <s v="Moderate incident involving traffic"/>
  </r>
  <r>
    <s v="INC00000109"/>
    <s v="TRIP00077861"/>
    <s v="TRK00023"/>
    <x v="70"/>
    <d v="2024-09-27T21:00:00"/>
    <x v="4"/>
    <s v="Omaha"/>
    <s v="UT"/>
    <x v="1"/>
    <b v="1"/>
    <n v="0"/>
    <n v="49744.07"/>
    <n v="49744.07"/>
    <x v="0"/>
    <s v="Severe incident involving other driver"/>
  </r>
  <r>
    <s v="INC00000110"/>
    <s v="TRIP00046270"/>
    <s v="TRK00031"/>
    <x v="4"/>
    <d v="2023-08-17T09:00:00"/>
    <x v="0"/>
    <s v="Miami"/>
    <s v="PA"/>
    <x v="1"/>
    <b v="0"/>
    <n v="6524.27"/>
    <n v="0"/>
    <n v="6524.27"/>
    <x v="1"/>
    <s v="Moderate incident involving traffic"/>
  </r>
  <r>
    <s v="INC00000111"/>
    <s v="TRIP00038286"/>
    <s v="TRK00074"/>
    <x v="31"/>
    <d v="2023-05-08T20:00:00"/>
    <x v="2"/>
    <s v="Los Angeles"/>
    <s v="TN"/>
    <x v="1"/>
    <b v="0"/>
    <n v="14176.42"/>
    <n v="32.85"/>
    <n v="14209.27"/>
    <x v="1"/>
    <s v="Moderate incident involving traffic"/>
  </r>
  <r>
    <s v="INC00000112"/>
    <s v="TRIP00026765"/>
    <s v="TRK00083"/>
    <x v="74"/>
    <d v="2022-12-10T20:00:00"/>
    <x v="0"/>
    <s v="Dallas"/>
    <s v="MN"/>
    <x v="1"/>
    <b v="0"/>
    <n v="8635.8700000000008"/>
    <n v="0"/>
    <n v="8635.8700000000008"/>
    <x v="0"/>
    <s v="Moderate incident involving weather"/>
  </r>
  <r>
    <s v="INC00000113"/>
    <s v="TRIP00016392"/>
    <s v="TRK00096"/>
    <x v="43"/>
    <d v="2022-08-01T00:00:00"/>
    <x v="3"/>
    <s v="Detroit"/>
    <s v="UT"/>
    <x v="0"/>
    <b v="0"/>
    <n v="837.51"/>
    <n v="0"/>
    <n v="837.51"/>
    <x v="0"/>
    <s v="Moderate incident involving equipment"/>
  </r>
  <r>
    <s v="INC00000114"/>
    <s v="TRIP00001736"/>
    <s v="TRK00019"/>
    <x v="30"/>
    <d v="2022-01-23T04:00:00"/>
    <x v="3"/>
    <s v="Houston"/>
    <s v="FL"/>
    <x v="0"/>
    <b v="0"/>
    <n v="11269.86"/>
    <n v="0"/>
    <n v="11269.86"/>
    <x v="0"/>
    <s v="Minor incident involving traffic"/>
  </r>
  <r>
    <s v="INC00000115"/>
    <s v="TRIP00017173"/>
    <s v="TRK00019"/>
    <x v="56"/>
    <d v="2022-08-09T17:00:00"/>
    <x v="1"/>
    <s v="Detroit"/>
    <s v="TX"/>
    <x v="1"/>
    <b v="0"/>
    <n v="6982.35"/>
    <n v="0"/>
    <n v="6982.35"/>
    <x v="1"/>
    <s v="Severe incident involving weather"/>
  </r>
  <r>
    <s v="INC00000116"/>
    <s v="TRIP00008718"/>
    <s v="TRK00020"/>
    <x v="7"/>
    <d v="2022-04-22T01:00:00"/>
    <x v="1"/>
    <s v="Portland"/>
    <s v="TN"/>
    <x v="1"/>
    <b v="0"/>
    <n v="4300.84"/>
    <n v="0"/>
    <n v="4300.84"/>
    <x v="1"/>
    <s v="Moderate incident involving weather"/>
  </r>
  <r>
    <s v="INC00000117"/>
    <s v="TRIP00020003"/>
    <s v="TRK00061"/>
    <x v="75"/>
    <d v="2022-09-14T22:00:00"/>
    <x v="0"/>
    <s v="Kansas City"/>
    <s v="NY"/>
    <x v="1"/>
    <b v="0"/>
    <n v="0"/>
    <n v="0"/>
    <n v="0"/>
    <x v="1"/>
    <s v="Minor incident involving traffic"/>
  </r>
  <r>
    <s v="INC00000118"/>
    <s v="TRIP00009673"/>
    <s v="TRK00065"/>
    <x v="76"/>
    <d v="2022-05-04T02:00:00"/>
    <x v="3"/>
    <s v="Phoenix"/>
    <s v="OH"/>
    <x v="1"/>
    <b v="0"/>
    <n v="3594.57"/>
    <n v="0"/>
    <n v="3594.57"/>
    <x v="0"/>
    <s v="Moderate incident involving weather"/>
  </r>
  <r>
    <s v="INC00000119"/>
    <s v="TRIP00081672"/>
    <s v="TRK00036"/>
    <x v="77"/>
    <d v="2024-11-14T11:00:00"/>
    <x v="1"/>
    <s v="Indianapolis"/>
    <s v="FL"/>
    <x v="1"/>
    <b v="1"/>
    <n v="19126.05"/>
    <n v="0"/>
    <n v="19126.05"/>
    <x v="1"/>
    <s v="Severe incident involving weather"/>
  </r>
  <r>
    <s v="INC00000120"/>
    <s v="TRIP00013764"/>
    <s v="TRK00065"/>
    <x v="78"/>
    <d v="2022-06-27T16:00:00"/>
    <x v="1"/>
    <s v="Seattle"/>
    <s v="TX"/>
    <x v="0"/>
    <b v="0"/>
    <n v="21722.31"/>
    <n v="0"/>
    <n v="21722.31"/>
    <x v="1"/>
    <s v="Minor incident involving equipment"/>
  </r>
  <r>
    <s v="INC00000121"/>
    <s v="TRIP00028932"/>
    <s v="TRK00097"/>
    <x v="13"/>
    <d v="2023-01-05T03:00:00"/>
    <x v="2"/>
    <s v="New York"/>
    <s v="TX"/>
    <x v="1"/>
    <b v="0"/>
    <n v="15928.79"/>
    <n v="0"/>
    <n v="15928.79"/>
    <x v="1"/>
    <s v="Severe incident involving traffic"/>
  </r>
  <r>
    <s v="INC00000122"/>
    <s v="TRIP00013542"/>
    <s v="TRK00036"/>
    <x v="15"/>
    <d v="2022-06-23T16:00:00"/>
    <x v="3"/>
    <s v="Atlanta"/>
    <s v="MN"/>
    <x v="1"/>
    <b v="1"/>
    <n v="18614.97"/>
    <n v="0"/>
    <n v="18614.97"/>
    <x v="1"/>
    <s v="Severe incident involving weather"/>
  </r>
  <r>
    <s v="INC00000123"/>
    <s v="TRIP00013736"/>
    <s v="TRK00103"/>
    <x v="13"/>
    <d v="2022-06-26T10:00:00"/>
    <x v="4"/>
    <s v="Seattle"/>
    <s v="OR"/>
    <x v="1"/>
    <b v="0"/>
    <n v="21920.959999999999"/>
    <n v="15568.53"/>
    <n v="37489.49"/>
    <x v="0"/>
    <s v="Severe incident involving traffic"/>
  </r>
  <r>
    <s v="INC00000124"/>
    <s v="TRIP00013427"/>
    <s v="TRK00095"/>
    <x v="48"/>
    <d v="2022-06-23T00:00:00"/>
    <x v="4"/>
    <s v="Omaha"/>
    <s v="MI"/>
    <x v="1"/>
    <b v="0"/>
    <n v="24566.39"/>
    <n v="0"/>
    <n v="24566.39"/>
    <x v="0"/>
    <s v="Moderate incident involving equipment"/>
  </r>
  <r>
    <s v="INC00000125"/>
    <s v="TRIP00057239"/>
    <s v="TRK00079"/>
    <x v="79"/>
    <d v="2024-01-09T16:00:00"/>
    <x v="2"/>
    <s v="Chicago"/>
    <s v="NE"/>
    <x v="0"/>
    <b v="0"/>
    <n v="2103.69"/>
    <n v="37531.43"/>
    <n v="39635.120000000003"/>
    <x v="1"/>
    <s v="Severe incident involving weather"/>
  </r>
  <r>
    <s v="INC00000126"/>
    <s v="TRIP00060013"/>
    <s v="TRK00108"/>
    <x v="80"/>
    <d v="2024-02-12T03:00:00"/>
    <x v="1"/>
    <s v="Seattle"/>
    <s v="OR"/>
    <x v="1"/>
    <b v="0"/>
    <n v="9648.15"/>
    <n v="0"/>
    <n v="9648.15"/>
    <x v="0"/>
    <s v="Moderate incident involving traffic"/>
  </r>
  <r>
    <s v="INC00000127"/>
    <s v="TRIP00042516"/>
    <s v="TRK00073"/>
    <x v="2"/>
    <d v="2023-07-01T07:00:00"/>
    <x v="4"/>
    <s v="Chicago"/>
    <s v="TN"/>
    <x v="1"/>
    <b v="0"/>
    <n v="18690.009999999998"/>
    <n v="0"/>
    <n v="18690.009999999998"/>
    <x v="1"/>
    <s v="Minor incident involving other driver"/>
  </r>
  <r>
    <s v="INC00000128"/>
    <s v="TRIP00026426"/>
    <s v="TRK00036"/>
    <x v="12"/>
    <d v="2022-12-05T12:00:00"/>
    <x v="0"/>
    <s v="Phoenix"/>
    <s v="CO"/>
    <x v="0"/>
    <b v="1"/>
    <n v="19385.57"/>
    <n v="0"/>
    <n v="19385.57"/>
    <x v="1"/>
    <s v="Moderate incident involving traffic"/>
  </r>
  <r>
    <s v="INC00000129"/>
    <s v="TRIP00053071"/>
    <s v="TRK00073"/>
    <x v="52"/>
    <d v="2023-11-15T21:00:00"/>
    <x v="3"/>
    <s v="Dallas"/>
    <s v="NY"/>
    <x v="1"/>
    <b v="0"/>
    <n v="4321.13"/>
    <n v="34662.46"/>
    <n v="38983.589999999997"/>
    <x v="0"/>
    <s v="Severe incident involving traffic"/>
  </r>
  <r>
    <s v="INC00000130"/>
    <s v="TRIP00054280"/>
    <s v="TRK00065"/>
    <x v="60"/>
    <d v="2023-11-30T10:00:00"/>
    <x v="0"/>
    <s v="Dallas"/>
    <s v="AZ"/>
    <x v="0"/>
    <b v="0"/>
    <n v="19681.98"/>
    <n v="0"/>
    <n v="19681.98"/>
    <x v="1"/>
    <s v="Moderate incident involving other driver"/>
  </r>
  <r>
    <s v="INC00000131"/>
    <s v="TRIP00003278"/>
    <s v="TRK00078"/>
    <x v="13"/>
    <d v="2022-02-13T17:00:00"/>
    <x v="2"/>
    <s v="Columbus"/>
    <s v="FL"/>
    <x v="1"/>
    <b v="0"/>
    <n v="17099.919999999998"/>
    <n v="0"/>
    <n v="17099.919999999998"/>
    <x v="1"/>
    <s v="Moderate incident involving other driver"/>
  </r>
  <r>
    <s v="INC00000132"/>
    <s v="TRIP00077187"/>
    <s v="TRK00050"/>
    <x v="10"/>
    <d v="2024-09-18T08:00:00"/>
    <x v="3"/>
    <s v="Memphis"/>
    <s v="NE"/>
    <x v="0"/>
    <b v="0"/>
    <n v="8811.67"/>
    <n v="41316.050000000003"/>
    <n v="50127.72"/>
    <x v="1"/>
    <s v="Moderate incident involving equipment"/>
  </r>
  <r>
    <s v="INC00000133"/>
    <s v="TRIP00056589"/>
    <s v="TRK00004"/>
    <x v="81"/>
    <d v="2023-12-30T00:00:00"/>
    <x v="2"/>
    <s v="Detroit"/>
    <s v="TN"/>
    <x v="1"/>
    <b v="1"/>
    <n v="20190.09"/>
    <n v="0"/>
    <n v="20190.09"/>
    <x v="1"/>
    <s v="Moderate incident involving other driver"/>
  </r>
  <r>
    <s v="INC00000134"/>
    <s v="TRIP00073902"/>
    <s v="TRK00010"/>
    <x v="82"/>
    <d v="2024-08-08T22:00:00"/>
    <x v="2"/>
    <s v="Dallas"/>
    <s v="MO"/>
    <x v="1"/>
    <b v="0"/>
    <n v="19578.75"/>
    <n v="18583.37"/>
    <n v="38162.120000000003"/>
    <x v="1"/>
    <s v="Moderate incident involving other driver"/>
  </r>
  <r>
    <s v="INC00000135"/>
    <s v="TRIP00024824"/>
    <s v="TRK00079"/>
    <x v="45"/>
    <d v="2022-11-13T15:00:00"/>
    <x v="0"/>
    <s v="Milwaukee"/>
    <s v="TX"/>
    <x v="0"/>
    <b v="0"/>
    <n v="17077.38"/>
    <n v="31507.48"/>
    <n v="48584.86"/>
    <x v="0"/>
    <s v="Severe incident involving equipment"/>
  </r>
  <r>
    <s v="INC00000136"/>
    <s v="TRIP00051721"/>
    <s v="TRK00024"/>
    <x v="20"/>
    <d v="2023-10-28T12:00:00"/>
    <x v="0"/>
    <s v="Chicago"/>
    <s v="MO"/>
    <x v="1"/>
    <b v="0"/>
    <n v="0"/>
    <n v="33681.19"/>
    <n v="33681.19"/>
    <x v="0"/>
    <s v="Moderate incident involving equipment"/>
  </r>
  <r>
    <s v="INC00000137"/>
    <s v="TRIP00021335"/>
    <s v="TRK00110"/>
    <x v="7"/>
    <d v="2022-10-02T21:00:00"/>
    <x v="1"/>
    <s v="Salt Lake City"/>
    <s v="CA"/>
    <x v="1"/>
    <b v="1"/>
    <n v="0"/>
    <n v="6225.41"/>
    <n v="6225.41"/>
    <x v="0"/>
    <s v="Minor incident involving other driver"/>
  </r>
  <r>
    <s v="INC00000138"/>
    <s v="TRIP00037168"/>
    <s v="TRK00098"/>
    <x v="37"/>
    <d v="2023-04-21T08:00:00"/>
    <x v="1"/>
    <s v="Philadelphia"/>
    <s v="TN"/>
    <x v="1"/>
    <b v="0"/>
    <n v="24239.68"/>
    <n v="0"/>
    <n v="24239.68"/>
    <x v="1"/>
    <s v="Minor incident involving weather"/>
  </r>
  <r>
    <s v="INC00000139"/>
    <s v="TRIP00018684"/>
    <s v="TRK00095"/>
    <x v="35"/>
    <d v="2022-08-29T18:00:00"/>
    <x v="1"/>
    <s v="Omaha"/>
    <s v="OH"/>
    <x v="1"/>
    <b v="1"/>
    <n v="0"/>
    <n v="4379.68"/>
    <n v="4379.68"/>
    <x v="1"/>
    <s v="Moderate incident involving weather"/>
  </r>
  <r>
    <s v="INC00000140"/>
    <s v="TRIP00065805"/>
    <s v="TRK00062"/>
    <x v="83"/>
    <d v="2024-04-26T15:00:00"/>
    <x v="0"/>
    <s v="Los Angeles"/>
    <s v="TX"/>
    <x v="1"/>
    <b v="0"/>
    <n v="17565.57"/>
    <n v="0"/>
    <n v="17565.57"/>
    <x v="1"/>
    <s v="Severe incident involving traffic"/>
  </r>
  <r>
    <s v="INC00000141"/>
    <s v="TRIP00057477"/>
    <s v="TRK00019"/>
    <x v="56"/>
    <d v="2024-01-10T21:00:00"/>
    <x v="3"/>
    <s v="Miami"/>
    <s v="OH"/>
    <x v="0"/>
    <b v="0"/>
    <n v="0"/>
    <n v="4607.3"/>
    <n v="4607.3"/>
    <x v="1"/>
    <s v="Minor incident involving traffic"/>
  </r>
  <r>
    <s v="INC00000142"/>
    <s v="TRIP00030945"/>
    <s v="TRK00024"/>
    <x v="60"/>
    <d v="2023-01-31T03:00:00"/>
    <x v="3"/>
    <s v="Charlotte"/>
    <s v="TN"/>
    <x v="0"/>
    <b v="0"/>
    <n v="7087.59"/>
    <n v="7470.49"/>
    <n v="14558.08"/>
    <x v="1"/>
    <s v="Minor incident involving weather"/>
  </r>
  <r>
    <s v="INC00000143"/>
    <s v="TRIP00059853"/>
    <s v="TRK00069"/>
    <x v="59"/>
    <d v="2024-02-09T15:00:00"/>
    <x v="1"/>
    <s v="Omaha"/>
    <s v="MO"/>
    <x v="1"/>
    <b v="0"/>
    <n v="21803.47"/>
    <n v="0"/>
    <n v="21803.47"/>
    <x v="0"/>
    <s v="Moderate incident involving weather"/>
  </r>
  <r>
    <s v="INC00000144"/>
    <s v="TRIP00061847"/>
    <s v="TRK00031"/>
    <x v="49"/>
    <d v="2024-03-08T21:00:00"/>
    <x v="4"/>
    <s v="Miami"/>
    <s v="MI"/>
    <x v="1"/>
    <b v="0"/>
    <n v="0"/>
    <n v="0"/>
    <n v="0"/>
    <x v="0"/>
    <s v="Severe incident involving other driver"/>
  </r>
  <r>
    <s v="INC00000145"/>
    <s v="TRIP00062754"/>
    <s v="TRK00019"/>
    <x v="84"/>
    <d v="2024-03-17T04:00:00"/>
    <x v="0"/>
    <s v="Omaha"/>
    <s v="UT"/>
    <x v="1"/>
    <b v="0"/>
    <n v="14995.98"/>
    <n v="0"/>
    <n v="14995.98"/>
    <x v="1"/>
    <s v="Minor incident involving traffic"/>
  </r>
  <r>
    <s v="INC00000146"/>
    <s v="TRIP00033475"/>
    <s v="TRK00049"/>
    <x v="54"/>
    <d v="2023-03-05T21:00:00"/>
    <x v="1"/>
    <s v="Seattle"/>
    <s v="NE"/>
    <x v="1"/>
    <b v="0"/>
    <n v="0"/>
    <n v="0"/>
    <n v="0"/>
    <x v="0"/>
    <s v="Severe incident involving weather"/>
  </r>
  <r>
    <s v="INC00000147"/>
    <s v="TRIP00001341"/>
    <s v="TRK00025"/>
    <x v="80"/>
    <d v="2022-01-18T06:00:00"/>
    <x v="3"/>
    <s v="Atlanta"/>
    <s v="CO"/>
    <x v="1"/>
    <b v="0"/>
    <n v="12831.58"/>
    <n v="0"/>
    <n v="12831.58"/>
    <x v="1"/>
    <s v="Minor incident involving other driver"/>
  </r>
  <r>
    <s v="INC00000148"/>
    <s v="TRIP00077827"/>
    <s v="TRK00048"/>
    <x v="76"/>
    <d v="2024-09-28T00:00:00"/>
    <x v="2"/>
    <s v="Detroit"/>
    <s v="FL"/>
    <x v="1"/>
    <b v="0"/>
    <n v="7869.76"/>
    <n v="0"/>
    <n v="7869.76"/>
    <x v="1"/>
    <s v="Minor incident involving weather"/>
  </r>
  <r>
    <s v="INC00000149"/>
    <s v="TRIP00018371"/>
    <s v="TRK00061"/>
    <x v="52"/>
    <d v="2022-08-23T23:00:00"/>
    <x v="3"/>
    <s v="Kansas City"/>
    <s v="OR"/>
    <x v="1"/>
    <b v="0"/>
    <n v="15647.86"/>
    <n v="2310.73"/>
    <n v="17958.59"/>
    <x v="0"/>
    <s v="Moderate incident involving traffic"/>
  </r>
  <r>
    <s v="INC00000150"/>
    <s v="TRIP00007345"/>
    <s v="TRK00038"/>
    <x v="85"/>
    <d v="2022-04-07T23:00:00"/>
    <x v="1"/>
    <s v="Oklahoma City"/>
    <s v="OR"/>
    <x v="1"/>
    <b v="0"/>
    <n v="0"/>
    <n v="18410.14"/>
    <n v="18410.14"/>
    <x v="1"/>
    <s v="Severe incident involving weather"/>
  </r>
  <r>
    <s v="INC00000151"/>
    <s v="TRIP00058423"/>
    <s v="TRK00082"/>
    <x v="6"/>
    <d v="2024-01-23T01:00:00"/>
    <x v="4"/>
    <s v="Milwaukee"/>
    <s v="WA"/>
    <x v="1"/>
    <b v="1"/>
    <n v="5762.54"/>
    <n v="0"/>
    <n v="5762.54"/>
    <x v="1"/>
    <s v="Severe incident involving traffic"/>
  </r>
  <r>
    <s v="INC00000152"/>
    <s v="TRIP00024903"/>
    <s v="TRK00001"/>
    <x v="86"/>
    <d v="2022-11-15T00:00:00"/>
    <x v="2"/>
    <s v="Milwaukee"/>
    <s v="OH"/>
    <x v="0"/>
    <b v="0"/>
    <n v="0"/>
    <n v="0"/>
    <n v="0"/>
    <x v="1"/>
    <s v="Minor incident involving weather"/>
  </r>
  <r>
    <s v="INC00000153"/>
    <s v="TRIP00038790"/>
    <s v="TRK00011"/>
    <x v="87"/>
    <d v="2023-05-13T08:00:00"/>
    <x v="1"/>
    <s v="Seattle"/>
    <s v="PA"/>
    <x v="0"/>
    <b v="1"/>
    <n v="15640.06"/>
    <n v="28390.39"/>
    <n v="44030.45"/>
    <x v="1"/>
    <s v="Severe incident involving weather"/>
  </r>
  <r>
    <s v="INC00000154"/>
    <s v="TRIP00065647"/>
    <s v="TRK00014"/>
    <x v="34"/>
    <d v="2024-04-25T03:00:00"/>
    <x v="4"/>
    <s v="Miami"/>
    <s v="GA"/>
    <x v="0"/>
    <b v="0"/>
    <n v="21868.6"/>
    <n v="23572.73"/>
    <n v="45441.33"/>
    <x v="1"/>
    <s v="Severe incident involving traffic"/>
  </r>
  <r>
    <s v="INC00000155"/>
    <s v="TRIP00023895"/>
    <s v="TRK00092"/>
    <x v="39"/>
    <d v="2022-11-02T18:00:00"/>
    <x v="2"/>
    <s v="Salt Lake City"/>
    <s v="IL"/>
    <x v="1"/>
    <b v="0"/>
    <n v="7673.56"/>
    <n v="0"/>
    <n v="7673.56"/>
    <x v="1"/>
    <s v="Moderate incident involving weather"/>
  </r>
  <r>
    <s v="INC00000156"/>
    <s v="TRIP00040023"/>
    <s v="TRK00063"/>
    <x v="58"/>
    <d v="2023-05-28T12:00:00"/>
    <x v="0"/>
    <s v="Indianapolis"/>
    <s v="IN"/>
    <x v="1"/>
    <b v="1"/>
    <n v="0"/>
    <n v="18911.939999999999"/>
    <n v="18911.939999999999"/>
    <x v="0"/>
    <s v="Minor incident involving traffic"/>
  </r>
  <r>
    <s v="INC00000157"/>
    <s v="TRIP00035196"/>
    <s v="TRK00057"/>
    <x v="74"/>
    <d v="2023-03-29T00:00:00"/>
    <x v="4"/>
    <s v="Columbus"/>
    <s v="MN"/>
    <x v="0"/>
    <b v="0"/>
    <n v="22050.560000000001"/>
    <n v="0"/>
    <n v="22050.560000000001"/>
    <x v="1"/>
    <s v="Minor incident involving other driver"/>
  </r>
  <r>
    <s v="INC00000158"/>
    <s v="TRIP00044214"/>
    <s v="TRK00023"/>
    <x v="74"/>
    <d v="2023-07-23T11:00:00"/>
    <x v="1"/>
    <s v="Denver"/>
    <s v="NC"/>
    <x v="1"/>
    <b v="0"/>
    <n v="18006.54"/>
    <n v="0"/>
    <n v="18006.54"/>
    <x v="1"/>
    <s v="Moderate incident involving weather"/>
  </r>
  <r>
    <s v="INC00000159"/>
    <s v="TRIP00016588"/>
    <s v="TRK00002"/>
    <x v="47"/>
    <d v="2022-08-03T01:00:00"/>
    <x v="2"/>
    <s v="Atlanta"/>
    <s v="OK"/>
    <x v="0"/>
    <b v="0"/>
    <n v="17785.05"/>
    <n v="44746.09"/>
    <n v="62531.14"/>
    <x v="0"/>
    <s v="Severe incident involving other driver"/>
  </r>
  <r>
    <s v="INC00000160"/>
    <s v="TRIP00074543"/>
    <s v="TRK00019"/>
    <x v="88"/>
    <d v="2024-08-17T07:00:00"/>
    <x v="2"/>
    <s v="Las Vegas"/>
    <s v="CA"/>
    <x v="1"/>
    <b v="0"/>
    <n v="10368.65"/>
    <n v="3080.69"/>
    <n v="13449.34"/>
    <x v="0"/>
    <s v="Severe incident involving other driver"/>
  </r>
  <r>
    <s v="INC00000161"/>
    <s v="TRIP00076246"/>
    <s v="TRK00035"/>
    <x v="89"/>
    <d v="2024-09-06T07:00:00"/>
    <x v="4"/>
    <s v="Minneapolis"/>
    <s v="IN"/>
    <x v="1"/>
    <b v="0"/>
    <n v="0"/>
    <n v="0"/>
    <n v="0"/>
    <x v="1"/>
    <s v="Moderate incident involving other driver"/>
  </r>
  <r>
    <s v="INC00000162"/>
    <s v="TRIP00063717"/>
    <s v="TRK00026"/>
    <x v="8"/>
    <d v="2024-04-01T14:00:00"/>
    <x v="1"/>
    <s v="Kansas City"/>
    <s v="OR"/>
    <x v="0"/>
    <b v="0"/>
    <n v="13452.82"/>
    <n v="0"/>
    <n v="13452.82"/>
    <x v="1"/>
    <s v="Severe incident involving weather"/>
  </r>
  <r>
    <s v="INC00000163"/>
    <s v="TRIP00057482"/>
    <s v="TRK00054"/>
    <x v="85"/>
    <d v="2024-01-12T22:00:00"/>
    <x v="1"/>
    <s v="Detroit"/>
    <s v="UT"/>
    <x v="1"/>
    <b v="1"/>
    <n v="0"/>
    <n v="0"/>
    <n v="0"/>
    <x v="1"/>
    <s v="Severe incident involving traffic"/>
  </r>
  <r>
    <s v="INC00000164"/>
    <s v="TRIP00000277"/>
    <s v="TRK00069"/>
    <x v="54"/>
    <d v="2022-01-05T02:00:00"/>
    <x v="3"/>
    <s v="Houston"/>
    <s v="NV"/>
    <x v="0"/>
    <b v="0"/>
    <n v="12983.51"/>
    <n v="0"/>
    <n v="12983.51"/>
    <x v="1"/>
    <s v="Moderate incident involving equipment"/>
  </r>
  <r>
    <s v="INC00000165"/>
    <s v="TRIP00050936"/>
    <s v="TRK00050"/>
    <x v="90"/>
    <d v="2023-10-18T01:00:00"/>
    <x v="0"/>
    <s v="Denver"/>
    <s v="OH"/>
    <x v="1"/>
    <b v="1"/>
    <n v="0"/>
    <n v="33733.85"/>
    <n v="33733.85"/>
    <x v="1"/>
    <s v="Minor incident involving equipment"/>
  </r>
  <r>
    <s v="INC00000166"/>
    <s v="TRIP00066718"/>
    <s v="TRK00063"/>
    <x v="31"/>
    <d v="2024-05-09T08:00:00"/>
    <x v="3"/>
    <s v="Houston"/>
    <s v="PA"/>
    <x v="1"/>
    <b v="0"/>
    <n v="0"/>
    <n v="0"/>
    <n v="0"/>
    <x v="1"/>
    <s v="Moderate incident involving traffic"/>
  </r>
  <r>
    <s v="INC00000167"/>
    <s v="TRIP00039570"/>
    <s v="TRK00061"/>
    <x v="21"/>
    <d v="2023-05-23T07:00:00"/>
    <x v="2"/>
    <s v="Miami"/>
    <s v="GA"/>
    <x v="1"/>
    <b v="0"/>
    <n v="0"/>
    <n v="20745.080000000002"/>
    <n v="20745.080000000002"/>
    <x v="1"/>
    <s v="Moderate incident involving other driver"/>
  </r>
  <r>
    <s v="INC00000168"/>
    <s v="TRIP00000532"/>
    <s v="TRK00071"/>
    <x v="7"/>
    <d v="2022-01-08T17:00:00"/>
    <x v="3"/>
    <s v="Kansas City"/>
    <s v="NV"/>
    <x v="1"/>
    <b v="0"/>
    <n v="6355.71"/>
    <n v="0"/>
    <n v="6355.71"/>
    <x v="1"/>
    <s v="Moderate incident involving traffic"/>
  </r>
  <r>
    <s v="INC00000169"/>
    <s v="TRIP00068312"/>
    <s v="TRK00020"/>
    <x v="91"/>
    <d v="2024-05-27T00:00:00"/>
    <x v="2"/>
    <s v="Dallas"/>
    <s v="MI"/>
    <x v="1"/>
    <b v="0"/>
    <n v="23060"/>
    <n v="19477.23"/>
    <n v="42537.23"/>
    <x v="0"/>
    <s v="Moderate incident involving equipment"/>
  </r>
  <r>
    <s v="INC00000170"/>
    <s v="TRIP00036297"/>
    <s v="TRK00013"/>
    <x v="92"/>
    <d v="2023-04-12T04:00:00"/>
    <x v="0"/>
    <s v="Memphis"/>
    <s v="NY"/>
    <x v="1"/>
    <b v="0"/>
    <n v="0"/>
    <n v="0"/>
    <n v="0"/>
    <x v="1"/>
    <s v="Severe incident involving other driv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30F85-C584-48BA-AEE9-6899CE83CED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riversID">
  <location ref="A3:B13" firstHeaderRow="1" firstDataRow="1" firstDataCol="1"/>
  <pivotFields count="9">
    <pivotField axis="axisRow" showAll="0" measureFilter="1" sortType="descending">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33">
        <item x="16"/>
        <item x="20"/>
        <item x="27"/>
        <item x="29"/>
        <item x="1"/>
        <item x="19"/>
        <item x="21"/>
        <item x="7"/>
        <item x="5"/>
        <item x="4"/>
        <item x="14"/>
        <item x="8"/>
        <item x="9"/>
        <item x="12"/>
        <item x="3"/>
        <item x="2"/>
        <item x="6"/>
        <item x="13"/>
        <item x="15"/>
        <item x="11"/>
        <item x="17"/>
        <item x="0"/>
        <item x="10"/>
        <item x="22"/>
        <item x="28"/>
        <item x="23"/>
        <item x="25"/>
        <item x="18"/>
        <item x="24"/>
        <item x="31"/>
        <item x="30"/>
        <item x="26"/>
        <item t="default"/>
      </items>
    </pivotField>
    <pivotField showAll="0"/>
    <pivotField dataField="1" numFmtId="43" showAll="0"/>
    <pivotField numFmtId="2" showAll="0"/>
    <pivotField numFmtId="1" showAll="0"/>
    <pivotField numFmtId="165" showAll="0"/>
    <pivotField numFmtId="2" showAll="0"/>
  </pivotFields>
  <rowFields count="1">
    <field x="0"/>
  </rowFields>
  <rowItems count="10">
    <i>
      <x v="41"/>
    </i>
    <i>
      <x v="88"/>
    </i>
    <i>
      <x v="48"/>
    </i>
    <i>
      <x v="13"/>
    </i>
    <i>
      <x v="16"/>
    </i>
    <i>
      <x v="105"/>
    </i>
    <i>
      <x v="122"/>
    </i>
    <i>
      <x v="120"/>
    </i>
    <i>
      <x v="69"/>
    </i>
    <i>
      <x v="70"/>
    </i>
  </rowItems>
  <colItems count="1">
    <i/>
  </colItems>
  <dataFields count="1">
    <dataField name="Total Revenue" fld="4" baseField="0" baseItem="0" numFmtId="4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177916-32B1-41C0-9A89-FD99FE461BA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DriverID">
  <location ref="A3:B13" firstHeaderRow="1" firstDataRow="1" firstDataCol="1"/>
  <pivotFields count="9">
    <pivotField axis="axisRow" showAll="0" measureFilter="1" sortType="ascending">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33">
        <item x="16"/>
        <item x="20"/>
        <item x="27"/>
        <item x="29"/>
        <item x="1"/>
        <item x="19"/>
        <item x="21"/>
        <item x="7"/>
        <item x="5"/>
        <item x="4"/>
        <item x="14"/>
        <item x="8"/>
        <item x="9"/>
        <item x="12"/>
        <item x="3"/>
        <item x="2"/>
        <item x="6"/>
        <item x="13"/>
        <item x="15"/>
        <item x="11"/>
        <item x="17"/>
        <item x="0"/>
        <item x="10"/>
        <item x="22"/>
        <item x="28"/>
        <item x="23"/>
        <item x="25"/>
        <item x="18"/>
        <item x="24"/>
        <item x="31"/>
        <item x="30"/>
        <item x="26"/>
        <item t="default"/>
      </items>
    </pivotField>
    <pivotField showAll="0"/>
    <pivotField numFmtId="43" showAll="0"/>
    <pivotField numFmtId="2" showAll="0"/>
    <pivotField numFmtId="1" showAll="0"/>
    <pivotField dataField="1" numFmtId="165" showAll="0"/>
    <pivotField numFmtId="2" showAll="0"/>
  </pivotFields>
  <rowFields count="1">
    <field x="0"/>
  </rowFields>
  <rowItems count="10">
    <i>
      <x v="88"/>
    </i>
    <i>
      <x v="85"/>
    </i>
    <i>
      <x v="92"/>
    </i>
    <i>
      <x v="49"/>
    </i>
    <i>
      <x v="18"/>
    </i>
    <i>
      <x v="17"/>
    </i>
    <i>
      <x v="81"/>
    </i>
    <i>
      <x v="93"/>
    </i>
    <i>
      <x v="30"/>
    </i>
    <i>
      <x v="98"/>
    </i>
  </rowItems>
  <colItems count="1">
    <i/>
  </colItems>
  <dataFields count="1">
    <dataField name="Time Delivery Rate" fld="7" subtotal="average" baseField="0" baseItem="98" numFmtId="165"/>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C411C6-BABC-451D-98D7-11891B0244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DriversID">
  <location ref="A3:B13" firstHeaderRow="1" firstDataRow="1" firstDataCol="1"/>
  <pivotFields count="9">
    <pivotField axis="axisRow" showAll="0" measureFilter="1" sortType="descending">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33">
        <item x="16"/>
        <item x="20"/>
        <item x="27"/>
        <item x="29"/>
        <item x="1"/>
        <item x="19"/>
        <item x="21"/>
        <item x="7"/>
        <item x="5"/>
        <item x="4"/>
        <item x="14"/>
        <item x="8"/>
        <item x="9"/>
        <item x="12"/>
        <item x="3"/>
        <item x="2"/>
        <item x="6"/>
        <item x="13"/>
        <item x="15"/>
        <item x="11"/>
        <item x="17"/>
        <item x="0"/>
        <item x="10"/>
        <item x="22"/>
        <item x="28"/>
        <item x="23"/>
        <item x="25"/>
        <item x="18"/>
        <item x="24"/>
        <item x="31"/>
        <item x="30"/>
        <item x="26"/>
        <item t="default"/>
      </items>
    </pivotField>
    <pivotField showAll="0"/>
    <pivotField numFmtId="43" showAll="0"/>
    <pivotField dataField="1" numFmtId="2" showAll="0"/>
    <pivotField numFmtId="1" showAll="0"/>
    <pivotField numFmtId="165" showAll="0"/>
    <pivotField numFmtId="2" showAll="0"/>
  </pivotFields>
  <rowFields count="1">
    <field x="0"/>
  </rowFields>
  <rowItems count="10">
    <i>
      <x v="86"/>
    </i>
    <i>
      <x v="84"/>
    </i>
    <i>
      <x v="89"/>
    </i>
    <i>
      <x v="79"/>
    </i>
    <i>
      <x v="39"/>
    </i>
    <i>
      <x v="32"/>
    </i>
    <i>
      <x v="114"/>
    </i>
    <i>
      <x v="46"/>
    </i>
    <i>
      <x v="65"/>
    </i>
    <i>
      <x v="19"/>
    </i>
  </rowItems>
  <colItems count="1">
    <i/>
  </colItems>
  <dataFields count="1">
    <dataField name="Average MPG" fld="5"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7E9130-1D6D-480D-8D97-BC2F6B4D0A5B}"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1" firstDataCol="1"/>
  <pivotFields count="15">
    <pivotField dataField="1" showAll="0"/>
    <pivotField showAll="0"/>
    <pivotField showAll="0"/>
    <pivotField showAll="0"/>
    <pivotField numFmtId="22"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numFmtId="164" showAll="0"/>
    <pivotField numFmtId="166" showAll="0"/>
    <pivotField showAll="0"/>
    <pivotField showAll="0">
      <items count="3">
        <item x="1"/>
        <item x="0"/>
        <item t="default"/>
      </items>
    </pivotField>
    <pivotField showAll="0"/>
  </pivotFields>
  <rowFields count="1">
    <field x="5"/>
  </rowFields>
  <rowItems count="5">
    <i>
      <x v="2"/>
    </i>
    <i>
      <x v="3"/>
    </i>
    <i>
      <x/>
    </i>
    <i>
      <x v="1"/>
    </i>
    <i>
      <x v="4"/>
    </i>
  </rowItems>
  <colItems count="1">
    <i/>
  </colItems>
  <dataFields count="1">
    <dataField name="Count of incident_id" fld="0"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2">
          <reference field="4294967294" count="1" selected="0">
            <x v="0"/>
          </reference>
          <reference field="5" count="1" selected="0">
            <x v="4"/>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7" format="20">
      <pivotArea type="data" outline="0" fieldPosition="0">
        <references count="2">
          <reference field="4294967294" count="1" selected="0">
            <x v="0"/>
          </reference>
          <reference field="5" count="1" selected="0">
            <x v="3"/>
          </reference>
        </references>
      </pivotArea>
    </chartFormat>
    <chartFormat chart="7" format="21">
      <pivotArea type="data" outline="0" fieldPosition="0">
        <references count="2">
          <reference field="4294967294" count="1" selected="0">
            <x v="0"/>
          </reference>
          <reference field="5" count="1" selected="0">
            <x v="0"/>
          </reference>
        </references>
      </pivotArea>
    </chartFormat>
    <chartFormat chart="7" format="22">
      <pivotArea type="data" outline="0" fieldPosition="0">
        <references count="2">
          <reference field="4294967294" count="1" selected="0">
            <x v="0"/>
          </reference>
          <reference field="5" count="1" selected="0">
            <x v="1"/>
          </reference>
        </references>
      </pivotArea>
    </chartFormat>
    <chartFormat chart="7" format="23">
      <pivotArea type="data" outline="0" fieldPosition="0">
        <references count="2">
          <reference field="4294967294" count="1" selected="0">
            <x v="0"/>
          </reference>
          <reference field="5" count="1" selected="0">
            <x v="4"/>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5" count="1" selected="0">
            <x v="2"/>
          </reference>
        </references>
      </pivotArea>
    </chartFormat>
    <chartFormat chart="8" format="26">
      <pivotArea type="data" outline="0" fieldPosition="0">
        <references count="2">
          <reference field="4294967294" count="1" selected="0">
            <x v="0"/>
          </reference>
          <reference field="5" count="1" selected="0">
            <x v="3"/>
          </reference>
        </references>
      </pivotArea>
    </chartFormat>
    <chartFormat chart="8" format="27">
      <pivotArea type="data" outline="0" fieldPosition="0">
        <references count="2">
          <reference field="4294967294" count="1" selected="0">
            <x v="0"/>
          </reference>
          <reference field="5" count="1" selected="0">
            <x v="0"/>
          </reference>
        </references>
      </pivotArea>
    </chartFormat>
    <chartFormat chart="8" format="28">
      <pivotArea type="data" outline="0" fieldPosition="0">
        <references count="2">
          <reference field="4294967294" count="1" selected="0">
            <x v="0"/>
          </reference>
          <reference field="5" count="1" selected="0">
            <x v="1"/>
          </reference>
        </references>
      </pivotArea>
    </chartFormat>
    <chartFormat chart="8" format="29">
      <pivotArea type="data" outline="0" fieldPosition="0">
        <references count="2">
          <reference field="4294967294" count="1" selected="0">
            <x v="0"/>
          </reference>
          <reference field="5"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5" count="1" selected="0">
            <x v="2"/>
          </reference>
        </references>
      </pivotArea>
    </chartFormat>
    <chartFormat chart="9" format="26">
      <pivotArea type="data" outline="0" fieldPosition="0">
        <references count="2">
          <reference field="4294967294" count="1" selected="0">
            <x v="0"/>
          </reference>
          <reference field="5" count="1" selected="0">
            <x v="3"/>
          </reference>
        </references>
      </pivotArea>
    </chartFormat>
    <chartFormat chart="9" format="27">
      <pivotArea type="data" outline="0" fieldPosition="0">
        <references count="2">
          <reference field="4294967294" count="1" selected="0">
            <x v="0"/>
          </reference>
          <reference field="5" count="1" selected="0">
            <x v="0"/>
          </reference>
        </references>
      </pivotArea>
    </chartFormat>
    <chartFormat chart="9" format="28">
      <pivotArea type="data" outline="0" fieldPosition="0">
        <references count="2">
          <reference field="4294967294" count="1" selected="0">
            <x v="0"/>
          </reference>
          <reference field="5" count="1" selected="0">
            <x v="1"/>
          </reference>
        </references>
      </pivotArea>
    </chartFormat>
    <chartFormat chart="9"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BCCEA95-A3AC-4624-9861-6DB2655C1DFF}" autoFormatId="16" applyNumberFormats="0" applyBorderFormats="0" applyFontFormats="0" applyPatternFormats="0" applyAlignmentFormats="0" applyWidthHeightFormats="0">
  <queryTableRefresh nextId="13">
    <queryTableFields count="12">
      <queryTableField id="1" name="driver_id" tableColumnId="1"/>
      <queryTableField id="2" name="first_name" tableColumnId="2"/>
      <queryTableField id="3" name="last_name" tableColumnId="3"/>
      <queryTableField id="4" name="hire_date" tableColumnId="4"/>
      <queryTableField id="5" name="termination_date" tableColumnId="5"/>
      <queryTableField id="6" name="license_number" tableColumnId="6"/>
      <queryTableField id="7" name="license_state" tableColumnId="7"/>
      <queryTableField id="8" name="date_of_birth" tableColumnId="8"/>
      <queryTableField id="9" name="home_terminal" tableColumnId="9"/>
      <queryTableField id="10" name="employment_status" tableColumnId="10"/>
      <queryTableField id="11" name="cdl_class" tableColumnId="11"/>
      <queryTableField id="12" name="years_experienc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28EF306-3674-4850-BE60-A4DD562868B6}" autoFormatId="16" applyNumberFormats="0" applyBorderFormats="0" applyFontFormats="0" applyPatternFormats="0" applyAlignmentFormats="0" applyWidthHeightFormats="0">
  <queryTableRefresh nextId="10">
    <queryTableFields count="9">
      <queryTableField id="1" name="driver_id" tableColumnId="1"/>
      <queryTableField id="2" name="month" tableColumnId="2"/>
      <queryTableField id="3" name="trips_completed" tableColumnId="3"/>
      <queryTableField id="4" name="total_miles" tableColumnId="4"/>
      <queryTableField id="5" name="total_revenue" tableColumnId="5"/>
      <queryTableField id="6" name="average_mpg" tableColumnId="6"/>
      <queryTableField id="7" name="total_fuel_gallons" tableColumnId="7"/>
      <queryTableField id="8" name="on_time_delivery_rate" tableColumnId="8"/>
      <queryTableField id="9" name="average_idle_hour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5AB6EDE-6086-4AAD-B9C4-A18330E2D900}" autoFormatId="16" applyNumberFormats="0" applyBorderFormats="0" applyFontFormats="0" applyPatternFormats="0" applyAlignmentFormats="0" applyWidthHeightFormats="0">
  <queryTableRefresh nextId="16">
    <queryTableFields count="15">
      <queryTableField id="1" name="incident_id" tableColumnId="1"/>
      <queryTableField id="2" name="trip_id" tableColumnId="2"/>
      <queryTableField id="3" name="truck_id" tableColumnId="3"/>
      <queryTableField id="4" name="driver_id" tableColumnId="4"/>
      <queryTableField id="5" name="incident_date" tableColumnId="5"/>
      <queryTableField id="6" name="incident_type" tableColumnId="6"/>
      <queryTableField id="7" name="location_city" tableColumnId="7"/>
      <queryTableField id="8" name="location_state" tableColumnId="8"/>
      <queryTableField id="9" name="at_fault_flag" tableColumnId="9"/>
      <queryTableField id="10" name="injury_flag" tableColumnId="10"/>
      <queryTableField id="11" name="vehicle_damage_cost" tableColumnId="11"/>
      <queryTableField id="12" name="cargo_damage_cost" tableColumnId="12"/>
      <queryTableField id="13" name="claim_amount" tableColumnId="13"/>
      <queryTableField id="14" name="preventable_flag" tableColumnId="14"/>
      <queryTableField id="15" name="descript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B5A448-E379-4BE6-81BC-4B91F082B40A}" sourceName="month">
  <pivotTables>
    <pivotTable tabId="7" name="PivotTable3"/>
    <pivotTable tabId="9" name="PivotTable5"/>
    <pivotTable tabId="8" name="PivotTable4"/>
  </pivotTables>
  <data>
    <tabular pivotCacheId="177230563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_fault_flag" xr10:uid="{D8ED0E24-FEF8-410A-AE59-9B19B98110E5}" sourceName="at_fault_flag">
  <pivotTables>
    <pivotTable tabId="11" name="PivotTable7"/>
  </pivotTables>
  <data>
    <tabular pivotCacheId="7381474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ventable_flag" xr10:uid="{D83C5520-6945-473E-BDAA-353BC7A3D2EF}" sourceName="preventable_flag">
  <pivotTables>
    <pivotTable tabId="11" name="PivotTable7"/>
  </pivotTables>
  <data>
    <tabular pivotCacheId="73814744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s_completed" xr10:uid="{7E07C25A-1574-457C-B572-4C52BB495A5C}" sourceName="trips_completed">
  <pivotTables>
    <pivotTable tabId="7" name="PivotTable3"/>
    <pivotTable tabId="9" name="PivotTable5"/>
    <pivotTable tabId="8" name="PivotTable4"/>
  </pivotTables>
  <data>
    <tabular pivotCacheId="1772305639">
      <items count="32">
        <i x="16" s="1"/>
        <i x="20" s="1"/>
        <i x="27" s="1"/>
        <i x="29" s="1"/>
        <i x="1" s="1"/>
        <i x="19" s="1"/>
        <i x="21" s="1"/>
        <i x="7" s="1"/>
        <i x="5" s="1"/>
        <i x="4" s="1"/>
        <i x="14" s="1"/>
        <i x="8" s="1"/>
        <i x="9" s="1"/>
        <i x="12" s="1"/>
        <i x="3" s="1"/>
        <i x="2" s="1"/>
        <i x="6" s="1"/>
        <i x="13" s="1"/>
        <i x="15" s="1"/>
        <i x="11" s="1"/>
        <i x="17" s="1"/>
        <i x="0" s="1"/>
        <i x="10" s="1"/>
        <i x="22" s="1"/>
        <i x="28" s="1"/>
        <i x="23" s="1"/>
        <i x="25" s="1"/>
        <i x="18" s="1"/>
        <i x="24" s="1"/>
        <i x="31" s="1"/>
        <i x="30"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0842AD3-2565-457E-B7E5-584D94475BE1}" cache="Slicer_month" caption="month" startItem="10" rowHeight="241300"/>
  <slicer name="at_fault_flag" xr10:uid="{06B52383-9F26-4F8B-9E7E-8DD6250A5B07}" cache="Slicer_at_fault_flag" caption="at_fault_flag" rowHeight="241300"/>
  <slicer name="preventable_flag" xr10:uid="{C44CB9EE-7042-424A-ABCC-EF48AEA59B0B}" cache="Slicer_preventable_flag" caption="preventable_flag" rowHeight="241300"/>
  <slicer name="trips_completed" xr10:uid="{A1029597-125C-463D-BDF8-BEA101C2ADBD}" cache="Slicer_trips_completed" caption="trips_complete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E9922-AD53-4D98-AC63-E190FE581D51}" name="drivers" displayName="drivers" ref="A1:L151" tableType="queryTable" totalsRowShown="0" dataDxfId="38">
  <autoFilter ref="A1:L151" xr:uid="{400E9922-AD53-4D98-AC63-E190FE581D51}"/>
  <tableColumns count="12">
    <tableColumn id="1" xr3:uid="{33D3177A-727E-4B2D-9D81-EC1038F774EB}" uniqueName="1" name="driver_id" queryTableFieldId="1" dataDxfId="37"/>
    <tableColumn id="2" xr3:uid="{6F3F1076-CDE1-482D-983C-58178535E9D9}" uniqueName="2" name="first_name" queryTableFieldId="2" dataDxfId="36"/>
    <tableColumn id="3" xr3:uid="{9EA3B5CC-9F42-4398-A555-2BD92CF42160}" uniqueName="3" name="last_name" queryTableFieldId="3" dataDxfId="35"/>
    <tableColumn id="4" xr3:uid="{D88520A6-E9FB-4FE3-BCA1-57A00CDB778A}" uniqueName="4" name="hire_date" queryTableFieldId="4" dataDxfId="34"/>
    <tableColumn id="5" xr3:uid="{019A0599-5D74-4AF7-88BA-6EC6D1EAF0E7}" uniqueName="5" name="termination_date" queryTableFieldId="5" dataDxfId="33"/>
    <tableColumn id="6" xr3:uid="{93985A95-C298-4BEE-A4F7-13313A5BF8A7}" uniqueName="6" name="license_number" queryTableFieldId="6" dataDxfId="32"/>
    <tableColumn id="7" xr3:uid="{DF0F0383-57FF-4ABF-AC3E-A40976D53EA5}" uniqueName="7" name="license_state" queryTableFieldId="7" dataDxfId="31"/>
    <tableColumn id="8" xr3:uid="{03A6301B-90AD-4DEA-A614-F70CD0D2F6A3}" uniqueName="8" name="date_of_birth" queryTableFieldId="8" dataDxfId="30"/>
    <tableColumn id="9" xr3:uid="{1E99FBEC-B0E6-4E68-A436-C7DD878099C3}" uniqueName="9" name="home_terminal" queryTableFieldId="9" dataDxfId="29"/>
    <tableColumn id="10" xr3:uid="{A2F39E05-2D09-4779-9B91-3B37310A0697}" uniqueName="10" name="employment_status" queryTableFieldId="10" dataDxfId="28"/>
    <tableColumn id="11" xr3:uid="{19E85F92-575B-4730-A714-1C463D718E68}" uniqueName="11" name="cdl_class" queryTableFieldId="11" dataDxfId="27"/>
    <tableColumn id="12" xr3:uid="{A71DBC27-031E-41FF-8FD7-CCFB0170F143}" uniqueName="12" name="years_experience" queryTableFieldId="12"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87AD87-1AB1-48E1-A3A5-C8A26FFDDD65}" name="driver_monthly_metrics" displayName="driver_monthly_metrics" ref="A1:I4465" tableType="queryTable" totalsRowShown="0" dataDxfId="25">
  <autoFilter ref="A1:I4465" xr:uid="{E387AD87-1AB1-48E1-A3A5-C8A26FFDDD65}"/>
  <tableColumns count="9">
    <tableColumn id="1" xr3:uid="{981A6F82-0C9F-436E-A54D-7D0E30E18DE3}" uniqueName="1" name="driver_id" queryTableFieldId="1" dataDxfId="24"/>
    <tableColumn id="2" xr3:uid="{42E41F46-68EC-4FA6-8D82-092E7ABC7D7F}" uniqueName="2" name="month" queryTableFieldId="2" dataDxfId="23"/>
    <tableColumn id="3" xr3:uid="{70238343-B7E9-42A6-A64D-0B4A7960778D}" uniqueName="3" name="trips_completed" queryTableFieldId="3" dataDxfId="22"/>
    <tableColumn id="4" xr3:uid="{F8823B48-8A00-4D4A-9B59-AD54CE86B38F}" uniqueName="4" name="total_miles" queryTableFieldId="4" dataDxfId="21"/>
    <tableColumn id="5" xr3:uid="{EA1F068D-4EB5-447A-8D87-FC44B793D1BF}" uniqueName="5" name="total_revenue" queryTableFieldId="5" dataDxfId="20" dataCellStyle="Comma"/>
    <tableColumn id="6" xr3:uid="{6ECD3DE5-36D3-42B0-88F2-37FBC042DD3B}" uniqueName="6" name="average_mpg" queryTableFieldId="6" dataDxfId="19"/>
    <tableColumn id="7" xr3:uid="{04CF463E-5AE5-42D0-ACDC-6A4828192905}" uniqueName="7" name="total_fuel_gallons" queryTableFieldId="7" dataDxfId="18"/>
    <tableColumn id="8" xr3:uid="{5CFBD6AD-B8D4-4D5A-9CDE-B50D770BDC84}" uniqueName="8" name="on_time_delivery_rate" queryTableFieldId="8" dataDxfId="17"/>
    <tableColumn id="9" xr3:uid="{B6FF2001-4B64-426B-B62E-CED2FAA55A12}" uniqueName="9" name="average_idle_hours" queryTableFieldId="9"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E13550-F9BB-4D19-A58E-DD3AD7418DB3}" name="safety_incidents" displayName="safety_incidents" ref="A1:O171" tableType="queryTable" totalsRowShown="0" dataDxfId="15">
  <autoFilter ref="A1:O171" xr:uid="{46E13550-F9BB-4D19-A58E-DD3AD7418DB3}"/>
  <tableColumns count="15">
    <tableColumn id="1" xr3:uid="{9097B9BF-B011-4A1B-82D2-A8F2719BE711}" uniqueName="1" name="incident_id" queryTableFieldId="1" dataDxfId="14"/>
    <tableColumn id="2" xr3:uid="{35DC593A-87EC-4B56-8EC6-92BF5C3C65D6}" uniqueName="2" name="trip_id" queryTableFieldId="2" dataDxfId="13"/>
    <tableColumn id="3" xr3:uid="{7F2FEB18-0AAD-44DA-94B2-D4499902BDEB}" uniqueName="3" name="truck_id" queryTableFieldId="3" dataDxfId="12"/>
    <tableColumn id="4" xr3:uid="{1F3AE6D9-F6ED-42F0-8464-C0E5027D28D7}" uniqueName="4" name="driver_id" queryTableFieldId="4" dataDxfId="11"/>
    <tableColumn id="5" xr3:uid="{DA34E5ED-9424-49A2-A796-1B47891BDDA8}" uniqueName="5" name="incident_date" queryTableFieldId="5" dataDxfId="10"/>
    <tableColumn id="6" xr3:uid="{D999C172-FFD1-4587-8D91-8FAE7747757D}" uniqueName="6" name="incident_type" queryTableFieldId="6" dataDxfId="9"/>
    <tableColumn id="7" xr3:uid="{03BBBB1F-F05F-4439-A768-51D7CE3638F4}" uniqueName="7" name="location_city" queryTableFieldId="7" dataDxfId="8"/>
    <tableColumn id="8" xr3:uid="{DD0E9E46-EC3D-4D0F-ABF1-94519B97EEE4}" uniqueName="8" name="location_state" queryTableFieldId="8" dataDxfId="7"/>
    <tableColumn id="9" xr3:uid="{BF9C5339-0D23-4C0A-AA95-B3E6C40A2002}" uniqueName="9" name="at_fault_flag" queryTableFieldId="9" dataDxfId="6"/>
    <tableColumn id="10" xr3:uid="{89C3A340-0C2E-41C1-AF07-5B9D3F9DCE9C}" uniqueName="10" name="injury_flag" queryTableFieldId="10" dataDxfId="5"/>
    <tableColumn id="11" xr3:uid="{3B81F3F4-3E1C-4FC1-BE30-FF1C8AEE297D}" uniqueName="11" name="vehicle_damage_cost" queryTableFieldId="11" dataDxfId="4" dataCellStyle="Currency"/>
    <tableColumn id="12" xr3:uid="{F7A3205F-3ED9-44B3-9152-22BB53009C62}" uniqueName="12" name="cargo_damage_cost" queryTableFieldId="12" dataDxfId="3"/>
    <tableColumn id="13" xr3:uid="{429F57FF-C804-480A-8F32-F7788E1A7F6E}" uniqueName="13" name="claim_amount" queryTableFieldId="13" dataDxfId="2"/>
    <tableColumn id="14" xr3:uid="{5D560935-1C25-480E-A56E-9E93F53160F4}" uniqueName="14" name="preventable_flag" queryTableFieldId="14" dataDxfId="1"/>
    <tableColumn id="15" xr3:uid="{491A3F05-A2E9-4F26-91D2-359214863C21}" uniqueName="15" name="description"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1CF45-B801-45B2-BDC9-DA62A8779EA7}">
  <dimension ref="A1:L151"/>
  <sheetViews>
    <sheetView workbookViewId="0"/>
  </sheetViews>
  <sheetFormatPr defaultRowHeight="14.5" x14ac:dyDescent="0.35"/>
  <cols>
    <col min="1" max="1" width="10.54296875" style="2" bestFit="1" customWidth="1"/>
    <col min="2" max="2" width="12.1796875" style="2" bestFit="1" customWidth="1"/>
    <col min="3" max="3" width="11.81640625" style="2" bestFit="1" customWidth="1"/>
    <col min="4" max="4" width="11.1796875" style="3" bestFit="1" customWidth="1"/>
    <col min="5" max="5" width="18" style="3" bestFit="1" customWidth="1"/>
    <col min="6" max="6" width="16.453125" style="2" bestFit="1" customWidth="1"/>
    <col min="7" max="7" width="14" style="2" bestFit="1" customWidth="1"/>
    <col min="8" max="8" width="14.7265625" style="3" bestFit="1" customWidth="1"/>
    <col min="9" max="9" width="16.08984375" style="2" bestFit="1" customWidth="1"/>
    <col min="10" max="10" width="20.08984375" style="2" bestFit="1" customWidth="1"/>
    <col min="11" max="11" width="10.36328125" style="2" bestFit="1" customWidth="1"/>
    <col min="12" max="12" width="17.7265625" style="2" bestFit="1" customWidth="1"/>
    <col min="13" max="16384" width="8.7265625" style="2"/>
  </cols>
  <sheetData>
    <row r="1" spans="1:12" customFormat="1" x14ac:dyDescent="0.35">
      <c r="A1" t="s">
        <v>0</v>
      </c>
      <c r="B1" t="s">
        <v>1</v>
      </c>
      <c r="C1" t="s">
        <v>2</v>
      </c>
      <c r="D1" s="1" t="s">
        <v>3</v>
      </c>
      <c r="E1" s="1" t="s">
        <v>4</v>
      </c>
      <c r="F1" t="s">
        <v>5</v>
      </c>
      <c r="G1" t="s">
        <v>6</v>
      </c>
      <c r="H1" s="1" t="s">
        <v>7</v>
      </c>
      <c r="I1" t="s">
        <v>8</v>
      </c>
      <c r="J1" t="s">
        <v>9</v>
      </c>
      <c r="K1" t="s">
        <v>10</v>
      </c>
      <c r="L1" t="s">
        <v>11</v>
      </c>
    </row>
    <row r="2" spans="1:12" x14ac:dyDescent="0.35">
      <c r="A2" s="2" t="s">
        <v>12</v>
      </c>
      <c r="B2" s="2" t="s">
        <v>13</v>
      </c>
      <c r="C2" s="2" t="s">
        <v>14</v>
      </c>
      <c r="D2" s="3">
        <v>41943</v>
      </c>
      <c r="F2" s="2" t="s">
        <v>15</v>
      </c>
      <c r="G2" s="2" t="s">
        <v>16</v>
      </c>
      <c r="H2" s="3">
        <v>26975</v>
      </c>
      <c r="I2" s="2" t="s">
        <v>17</v>
      </c>
      <c r="J2" s="2" t="s">
        <v>18</v>
      </c>
      <c r="K2" s="2" t="s">
        <v>19</v>
      </c>
      <c r="L2" s="2">
        <v>3</v>
      </c>
    </row>
    <row r="3" spans="1:12" x14ac:dyDescent="0.35">
      <c r="A3" s="2" t="s">
        <v>20</v>
      </c>
      <c r="B3" s="2" t="s">
        <v>21</v>
      </c>
      <c r="C3" s="2" t="s">
        <v>22</v>
      </c>
      <c r="D3" s="3">
        <v>44106</v>
      </c>
      <c r="F3" s="2" t="s">
        <v>23</v>
      </c>
      <c r="G3" s="2" t="s">
        <v>24</v>
      </c>
      <c r="H3" s="3">
        <v>28067</v>
      </c>
      <c r="I3" s="2" t="s">
        <v>25</v>
      </c>
      <c r="J3" s="2" t="s">
        <v>18</v>
      </c>
      <c r="K3" s="2" t="s">
        <v>19</v>
      </c>
      <c r="L3" s="2">
        <v>20</v>
      </c>
    </row>
    <row r="4" spans="1:12" x14ac:dyDescent="0.35">
      <c r="A4" s="2" t="s">
        <v>26</v>
      </c>
      <c r="B4" s="2" t="s">
        <v>27</v>
      </c>
      <c r="C4" s="2" t="s">
        <v>14</v>
      </c>
      <c r="D4" s="3">
        <v>44460</v>
      </c>
      <c r="F4" s="2" t="s">
        <v>28</v>
      </c>
      <c r="G4" s="2" t="s">
        <v>29</v>
      </c>
      <c r="H4" s="3">
        <v>25664</v>
      </c>
      <c r="I4" s="2" t="s">
        <v>30</v>
      </c>
      <c r="J4" s="2" t="s">
        <v>18</v>
      </c>
      <c r="K4" s="2" t="s">
        <v>19</v>
      </c>
      <c r="L4" s="2">
        <v>19</v>
      </c>
    </row>
    <row r="5" spans="1:12" x14ac:dyDescent="0.35">
      <c r="A5" s="2" t="s">
        <v>31</v>
      </c>
      <c r="B5" s="2" t="s">
        <v>32</v>
      </c>
      <c r="C5" s="2" t="s">
        <v>33</v>
      </c>
      <c r="D5" s="3">
        <v>41525</v>
      </c>
      <c r="F5" s="2" t="s">
        <v>34</v>
      </c>
      <c r="G5" s="2" t="s">
        <v>16</v>
      </c>
      <c r="H5" s="3">
        <v>34736</v>
      </c>
      <c r="I5" s="2" t="s">
        <v>17</v>
      </c>
      <c r="J5" s="2" t="s">
        <v>18</v>
      </c>
      <c r="K5" s="2" t="s">
        <v>19</v>
      </c>
      <c r="L5" s="2">
        <v>19</v>
      </c>
    </row>
    <row r="6" spans="1:12" x14ac:dyDescent="0.35">
      <c r="A6" s="2" t="s">
        <v>35</v>
      </c>
      <c r="B6" s="2" t="s">
        <v>36</v>
      </c>
      <c r="C6" s="2" t="s">
        <v>37</v>
      </c>
      <c r="D6" s="3">
        <v>43436</v>
      </c>
      <c r="F6" s="2" t="s">
        <v>38</v>
      </c>
      <c r="G6" s="2" t="s">
        <v>39</v>
      </c>
      <c r="H6" s="3">
        <v>22112</v>
      </c>
      <c r="I6" s="2" t="s">
        <v>40</v>
      </c>
      <c r="J6" s="2" t="s">
        <v>18</v>
      </c>
      <c r="K6" s="2" t="s">
        <v>19</v>
      </c>
      <c r="L6" s="2">
        <v>12</v>
      </c>
    </row>
    <row r="7" spans="1:12" x14ac:dyDescent="0.35">
      <c r="A7" s="2" t="s">
        <v>41</v>
      </c>
      <c r="B7" s="2" t="s">
        <v>42</v>
      </c>
      <c r="C7" s="2" t="s">
        <v>43</v>
      </c>
      <c r="D7" s="3">
        <v>43559</v>
      </c>
      <c r="F7" s="2" t="s">
        <v>44</v>
      </c>
      <c r="G7" s="2" t="s">
        <v>29</v>
      </c>
      <c r="H7" s="3">
        <v>32995</v>
      </c>
      <c r="I7" s="2" t="s">
        <v>45</v>
      </c>
      <c r="J7" s="2" t="s">
        <v>18</v>
      </c>
      <c r="K7" s="2" t="s">
        <v>19</v>
      </c>
      <c r="L7" s="2">
        <v>23</v>
      </c>
    </row>
    <row r="8" spans="1:12" x14ac:dyDescent="0.35">
      <c r="A8" s="2" t="s">
        <v>46</v>
      </c>
      <c r="B8" s="2" t="s">
        <v>47</v>
      </c>
      <c r="C8" s="2" t="s">
        <v>37</v>
      </c>
      <c r="D8" s="3">
        <v>43648</v>
      </c>
      <c r="E8" s="3">
        <v>44333</v>
      </c>
      <c r="F8" s="2" t="s">
        <v>48</v>
      </c>
      <c r="G8" s="2" t="s">
        <v>49</v>
      </c>
      <c r="H8" s="3">
        <v>27172</v>
      </c>
      <c r="I8" s="2" t="s">
        <v>50</v>
      </c>
      <c r="J8" s="2" t="s">
        <v>51</v>
      </c>
      <c r="K8" s="2" t="s">
        <v>19</v>
      </c>
      <c r="L8" s="2">
        <v>5</v>
      </c>
    </row>
    <row r="9" spans="1:12" x14ac:dyDescent="0.35">
      <c r="A9" s="2" t="s">
        <v>52</v>
      </c>
      <c r="B9" s="2" t="s">
        <v>32</v>
      </c>
      <c r="C9" s="2" t="s">
        <v>53</v>
      </c>
      <c r="D9" s="3">
        <v>43991</v>
      </c>
      <c r="E9" s="3">
        <v>44219</v>
      </c>
      <c r="F9" s="2" t="s">
        <v>54</v>
      </c>
      <c r="G9" s="2" t="s">
        <v>55</v>
      </c>
      <c r="H9" s="3">
        <v>28852</v>
      </c>
      <c r="I9" s="2" t="s">
        <v>56</v>
      </c>
      <c r="J9" s="2" t="s">
        <v>51</v>
      </c>
      <c r="K9" s="2" t="s">
        <v>19</v>
      </c>
      <c r="L9" s="2">
        <v>15</v>
      </c>
    </row>
    <row r="10" spans="1:12" x14ac:dyDescent="0.35">
      <c r="A10" s="2" t="s">
        <v>57</v>
      </c>
      <c r="B10" s="2" t="s">
        <v>58</v>
      </c>
      <c r="C10" s="2" t="s">
        <v>14</v>
      </c>
      <c r="D10" s="3">
        <v>41546</v>
      </c>
      <c r="F10" s="2" t="s">
        <v>59</v>
      </c>
      <c r="G10" s="2" t="s">
        <v>60</v>
      </c>
      <c r="H10" s="3">
        <v>32561</v>
      </c>
      <c r="I10" s="2" t="s">
        <v>61</v>
      </c>
      <c r="J10" s="2" t="s">
        <v>18</v>
      </c>
      <c r="K10" s="2" t="s">
        <v>19</v>
      </c>
      <c r="L10" s="2">
        <v>13</v>
      </c>
    </row>
    <row r="11" spans="1:12" x14ac:dyDescent="0.35">
      <c r="A11" s="2" t="s">
        <v>62</v>
      </c>
      <c r="B11" s="2" t="s">
        <v>63</v>
      </c>
      <c r="C11" s="2" t="s">
        <v>64</v>
      </c>
      <c r="D11" s="3">
        <v>44143</v>
      </c>
      <c r="F11" s="2" t="s">
        <v>65</v>
      </c>
      <c r="G11" s="2" t="s">
        <v>16</v>
      </c>
      <c r="H11" s="3">
        <v>27175</v>
      </c>
      <c r="I11" s="2" t="s">
        <v>66</v>
      </c>
      <c r="J11" s="2" t="s">
        <v>18</v>
      </c>
      <c r="K11" s="2" t="s">
        <v>19</v>
      </c>
      <c r="L11" s="2">
        <v>23</v>
      </c>
    </row>
    <row r="12" spans="1:12" x14ac:dyDescent="0.35">
      <c r="A12" s="2" t="s">
        <v>67</v>
      </c>
      <c r="B12" s="2" t="s">
        <v>68</v>
      </c>
      <c r="C12" s="2" t="s">
        <v>37</v>
      </c>
      <c r="D12" s="3">
        <v>41791</v>
      </c>
      <c r="F12" s="2" t="s">
        <v>69</v>
      </c>
      <c r="G12" s="2" t="s">
        <v>60</v>
      </c>
      <c r="H12" s="3">
        <v>26484</v>
      </c>
      <c r="I12" s="2" t="s">
        <v>70</v>
      </c>
      <c r="J12" s="2" t="s">
        <v>18</v>
      </c>
      <c r="K12" s="2" t="s">
        <v>19</v>
      </c>
      <c r="L12" s="2">
        <v>15</v>
      </c>
    </row>
    <row r="13" spans="1:12" x14ac:dyDescent="0.35">
      <c r="A13" s="2" t="s">
        <v>71</v>
      </c>
      <c r="B13" s="2" t="s">
        <v>42</v>
      </c>
      <c r="C13" s="2" t="s">
        <v>72</v>
      </c>
      <c r="D13" s="3">
        <v>41529</v>
      </c>
      <c r="F13" s="2" t="s">
        <v>73</v>
      </c>
      <c r="G13" s="2" t="s">
        <v>74</v>
      </c>
      <c r="H13" s="3">
        <v>34445</v>
      </c>
      <c r="I13" s="2" t="s">
        <v>75</v>
      </c>
      <c r="J13" s="2" t="s">
        <v>18</v>
      </c>
      <c r="K13" s="2" t="s">
        <v>19</v>
      </c>
      <c r="L13" s="2">
        <v>25</v>
      </c>
    </row>
    <row r="14" spans="1:12" x14ac:dyDescent="0.35">
      <c r="A14" s="2" t="s">
        <v>76</v>
      </c>
      <c r="B14" s="2" t="s">
        <v>77</v>
      </c>
      <c r="C14" s="2" t="s">
        <v>78</v>
      </c>
      <c r="D14" s="3">
        <v>42329</v>
      </c>
      <c r="F14" s="2" t="s">
        <v>79</v>
      </c>
      <c r="G14" s="2" t="s">
        <v>80</v>
      </c>
      <c r="H14" s="3">
        <v>25350</v>
      </c>
      <c r="I14" s="2" t="s">
        <v>56</v>
      </c>
      <c r="J14" s="2" t="s">
        <v>18</v>
      </c>
      <c r="K14" s="2" t="s">
        <v>19</v>
      </c>
      <c r="L14" s="2">
        <v>3</v>
      </c>
    </row>
    <row r="15" spans="1:12" x14ac:dyDescent="0.35">
      <c r="A15" s="2" t="s">
        <v>81</v>
      </c>
      <c r="B15" s="2" t="s">
        <v>82</v>
      </c>
      <c r="C15" s="2" t="s">
        <v>83</v>
      </c>
      <c r="D15" s="3">
        <v>44206</v>
      </c>
      <c r="F15" s="2" t="s">
        <v>84</v>
      </c>
      <c r="G15" s="2" t="s">
        <v>60</v>
      </c>
      <c r="H15" s="3">
        <v>25236</v>
      </c>
      <c r="I15" s="2" t="s">
        <v>30</v>
      </c>
      <c r="J15" s="2" t="s">
        <v>18</v>
      </c>
      <c r="K15" s="2" t="s">
        <v>19</v>
      </c>
      <c r="L15" s="2">
        <v>11</v>
      </c>
    </row>
    <row r="16" spans="1:12" x14ac:dyDescent="0.35">
      <c r="A16" s="2" t="s">
        <v>85</v>
      </c>
      <c r="B16" s="2" t="s">
        <v>86</v>
      </c>
      <c r="C16" s="2" t="s">
        <v>53</v>
      </c>
      <c r="D16" s="3">
        <v>42144</v>
      </c>
      <c r="F16" s="2" t="s">
        <v>87</v>
      </c>
      <c r="G16" s="2" t="s">
        <v>88</v>
      </c>
      <c r="H16" s="3">
        <v>25708</v>
      </c>
      <c r="I16" s="2" t="s">
        <v>30</v>
      </c>
      <c r="J16" s="2" t="s">
        <v>18</v>
      </c>
      <c r="K16" s="2" t="s">
        <v>19</v>
      </c>
      <c r="L16" s="2">
        <v>21</v>
      </c>
    </row>
    <row r="17" spans="1:12" x14ac:dyDescent="0.35">
      <c r="A17" s="2" t="s">
        <v>89</v>
      </c>
      <c r="B17" s="2" t="s">
        <v>90</v>
      </c>
      <c r="C17" s="2" t="s">
        <v>64</v>
      </c>
      <c r="D17" s="3">
        <v>42834</v>
      </c>
      <c r="F17" s="2" t="s">
        <v>91</v>
      </c>
      <c r="G17" s="2" t="s">
        <v>24</v>
      </c>
      <c r="H17" s="3">
        <v>28706</v>
      </c>
      <c r="I17" s="2" t="s">
        <v>92</v>
      </c>
      <c r="J17" s="2" t="s">
        <v>18</v>
      </c>
      <c r="K17" s="2" t="s">
        <v>19</v>
      </c>
      <c r="L17" s="2">
        <v>11</v>
      </c>
    </row>
    <row r="18" spans="1:12" x14ac:dyDescent="0.35">
      <c r="A18" s="2" t="s">
        <v>93</v>
      </c>
      <c r="B18" s="2" t="s">
        <v>21</v>
      </c>
      <c r="C18" s="2" t="s">
        <v>94</v>
      </c>
      <c r="D18" s="3">
        <v>44432</v>
      </c>
      <c r="F18" s="2" t="s">
        <v>95</v>
      </c>
      <c r="G18" s="2" t="s">
        <v>96</v>
      </c>
      <c r="H18" s="3">
        <v>32852</v>
      </c>
      <c r="I18" s="2" t="s">
        <v>97</v>
      </c>
      <c r="J18" s="2" t="s">
        <v>18</v>
      </c>
      <c r="K18" s="2" t="s">
        <v>19</v>
      </c>
      <c r="L18" s="2">
        <v>13</v>
      </c>
    </row>
    <row r="19" spans="1:12" x14ac:dyDescent="0.35">
      <c r="A19" s="2" t="s">
        <v>98</v>
      </c>
      <c r="B19" s="2" t="s">
        <v>99</v>
      </c>
      <c r="C19" s="2" t="s">
        <v>22</v>
      </c>
      <c r="D19" s="3">
        <v>44440</v>
      </c>
      <c r="F19" s="2" t="s">
        <v>100</v>
      </c>
      <c r="G19" s="2" t="s">
        <v>49</v>
      </c>
      <c r="H19" s="3">
        <v>31184</v>
      </c>
      <c r="I19" s="2" t="s">
        <v>40</v>
      </c>
      <c r="J19" s="2" t="s">
        <v>18</v>
      </c>
      <c r="K19" s="2" t="s">
        <v>19</v>
      </c>
      <c r="L19" s="2">
        <v>5</v>
      </c>
    </row>
    <row r="20" spans="1:12" x14ac:dyDescent="0.35">
      <c r="A20" s="2" t="s">
        <v>101</v>
      </c>
      <c r="B20" s="2" t="s">
        <v>42</v>
      </c>
      <c r="C20" s="2" t="s">
        <v>102</v>
      </c>
      <c r="D20" s="3">
        <v>44179</v>
      </c>
      <c r="F20" s="2" t="s">
        <v>103</v>
      </c>
      <c r="G20" s="2" t="s">
        <v>104</v>
      </c>
      <c r="H20" s="3">
        <v>34561</v>
      </c>
      <c r="I20" s="2" t="s">
        <v>105</v>
      </c>
      <c r="J20" s="2" t="s">
        <v>18</v>
      </c>
      <c r="K20" s="2" t="s">
        <v>19</v>
      </c>
      <c r="L20" s="2">
        <v>20</v>
      </c>
    </row>
    <row r="21" spans="1:12" x14ac:dyDescent="0.35">
      <c r="A21" s="2" t="s">
        <v>106</v>
      </c>
      <c r="B21" s="2" t="s">
        <v>107</v>
      </c>
      <c r="C21" s="2" t="s">
        <v>37</v>
      </c>
      <c r="D21" s="3">
        <v>43667</v>
      </c>
      <c r="F21" s="2" t="s">
        <v>108</v>
      </c>
      <c r="G21" s="2" t="s">
        <v>104</v>
      </c>
      <c r="H21" s="3">
        <v>24017</v>
      </c>
      <c r="I21" s="2" t="s">
        <v>109</v>
      </c>
      <c r="J21" s="2" t="s">
        <v>18</v>
      </c>
      <c r="K21" s="2" t="s">
        <v>19</v>
      </c>
      <c r="L21" s="2">
        <v>18</v>
      </c>
    </row>
    <row r="22" spans="1:12" x14ac:dyDescent="0.35">
      <c r="A22" s="2" t="s">
        <v>110</v>
      </c>
      <c r="B22" s="2" t="s">
        <v>99</v>
      </c>
      <c r="C22" s="2" t="s">
        <v>64</v>
      </c>
      <c r="D22" s="3">
        <v>43610</v>
      </c>
      <c r="E22" s="3">
        <v>44339</v>
      </c>
      <c r="F22" s="2" t="s">
        <v>111</v>
      </c>
      <c r="G22" s="2" t="s">
        <v>112</v>
      </c>
      <c r="H22" s="3">
        <v>32122</v>
      </c>
      <c r="I22" s="2" t="s">
        <v>113</v>
      </c>
      <c r="J22" s="2" t="s">
        <v>51</v>
      </c>
      <c r="K22" s="2" t="s">
        <v>19</v>
      </c>
      <c r="L22" s="2">
        <v>8</v>
      </c>
    </row>
    <row r="23" spans="1:12" x14ac:dyDescent="0.35">
      <c r="A23" s="2" t="s">
        <v>114</v>
      </c>
      <c r="B23" s="2" t="s">
        <v>27</v>
      </c>
      <c r="C23" s="2" t="s">
        <v>72</v>
      </c>
      <c r="D23" s="3">
        <v>42493</v>
      </c>
      <c r="F23" s="2" t="s">
        <v>115</v>
      </c>
      <c r="G23" s="2" t="s">
        <v>116</v>
      </c>
      <c r="H23" s="3">
        <v>27762</v>
      </c>
      <c r="I23" s="2" t="s">
        <v>117</v>
      </c>
      <c r="J23" s="2" t="s">
        <v>18</v>
      </c>
      <c r="K23" s="2" t="s">
        <v>19</v>
      </c>
      <c r="L23" s="2">
        <v>6</v>
      </c>
    </row>
    <row r="24" spans="1:12" x14ac:dyDescent="0.35">
      <c r="A24" s="2" t="s">
        <v>118</v>
      </c>
      <c r="B24" s="2" t="s">
        <v>119</v>
      </c>
      <c r="C24" s="2" t="s">
        <v>120</v>
      </c>
      <c r="D24" s="3">
        <v>42097</v>
      </c>
      <c r="F24" s="2" t="s">
        <v>121</v>
      </c>
      <c r="G24" s="2" t="s">
        <v>29</v>
      </c>
      <c r="H24" s="3">
        <v>27360</v>
      </c>
      <c r="I24" s="2" t="s">
        <v>56</v>
      </c>
      <c r="J24" s="2" t="s">
        <v>18</v>
      </c>
      <c r="K24" s="2" t="s">
        <v>19</v>
      </c>
      <c r="L24" s="2">
        <v>23</v>
      </c>
    </row>
    <row r="25" spans="1:12" x14ac:dyDescent="0.35">
      <c r="A25" s="2" t="s">
        <v>122</v>
      </c>
      <c r="B25" s="2" t="s">
        <v>32</v>
      </c>
      <c r="C25" s="2" t="s">
        <v>37</v>
      </c>
      <c r="D25" s="3">
        <v>44454</v>
      </c>
      <c r="F25" s="2" t="s">
        <v>123</v>
      </c>
      <c r="G25" s="2" t="s">
        <v>88</v>
      </c>
      <c r="H25" s="3">
        <v>22612</v>
      </c>
      <c r="I25" s="2" t="s">
        <v>70</v>
      </c>
      <c r="J25" s="2" t="s">
        <v>18</v>
      </c>
      <c r="K25" s="2" t="s">
        <v>19</v>
      </c>
      <c r="L25" s="2">
        <v>17</v>
      </c>
    </row>
    <row r="26" spans="1:12" x14ac:dyDescent="0.35">
      <c r="A26" s="2" t="s">
        <v>124</v>
      </c>
      <c r="B26" s="2" t="s">
        <v>77</v>
      </c>
      <c r="C26" s="2" t="s">
        <v>37</v>
      </c>
      <c r="D26" s="3">
        <v>42264</v>
      </c>
      <c r="F26" s="2" t="s">
        <v>125</v>
      </c>
      <c r="G26" s="2" t="s">
        <v>126</v>
      </c>
      <c r="H26" s="3">
        <v>28400</v>
      </c>
      <c r="I26" s="2" t="s">
        <v>127</v>
      </c>
      <c r="J26" s="2" t="s">
        <v>18</v>
      </c>
      <c r="K26" s="2" t="s">
        <v>19</v>
      </c>
      <c r="L26" s="2">
        <v>9</v>
      </c>
    </row>
    <row r="27" spans="1:12" x14ac:dyDescent="0.35">
      <c r="A27" s="2" t="s">
        <v>128</v>
      </c>
      <c r="B27" s="2" t="s">
        <v>27</v>
      </c>
      <c r="C27" s="2" t="s">
        <v>83</v>
      </c>
      <c r="D27" s="3">
        <v>43748</v>
      </c>
      <c r="F27" s="2" t="s">
        <v>129</v>
      </c>
      <c r="G27" s="2" t="s">
        <v>104</v>
      </c>
      <c r="H27" s="3">
        <v>26162</v>
      </c>
      <c r="I27" s="2" t="s">
        <v>25</v>
      </c>
      <c r="J27" s="2" t="s">
        <v>18</v>
      </c>
      <c r="K27" s="2" t="s">
        <v>19</v>
      </c>
      <c r="L27" s="2">
        <v>5</v>
      </c>
    </row>
    <row r="28" spans="1:12" x14ac:dyDescent="0.35">
      <c r="A28" s="2" t="s">
        <v>130</v>
      </c>
      <c r="B28" s="2" t="s">
        <v>58</v>
      </c>
      <c r="C28" s="2" t="s">
        <v>53</v>
      </c>
      <c r="D28" s="3">
        <v>41630</v>
      </c>
      <c r="E28" s="3">
        <v>42079</v>
      </c>
      <c r="F28" s="2" t="s">
        <v>131</v>
      </c>
      <c r="G28" s="2" t="s">
        <v>80</v>
      </c>
      <c r="H28" s="3">
        <v>32269</v>
      </c>
      <c r="I28" s="2" t="s">
        <v>56</v>
      </c>
      <c r="J28" s="2" t="s">
        <v>51</v>
      </c>
      <c r="K28" s="2" t="s">
        <v>19</v>
      </c>
      <c r="L28" s="2">
        <v>13</v>
      </c>
    </row>
    <row r="29" spans="1:12" x14ac:dyDescent="0.35">
      <c r="A29" s="2" t="s">
        <v>132</v>
      </c>
      <c r="B29" s="2" t="s">
        <v>86</v>
      </c>
      <c r="C29" s="2" t="s">
        <v>102</v>
      </c>
      <c r="D29" s="3">
        <v>41901</v>
      </c>
      <c r="F29" s="2" t="s">
        <v>133</v>
      </c>
      <c r="G29" s="2" t="s">
        <v>29</v>
      </c>
      <c r="H29" s="3">
        <v>32108</v>
      </c>
      <c r="I29" s="2" t="s">
        <v>117</v>
      </c>
      <c r="J29" s="2" t="s">
        <v>18</v>
      </c>
      <c r="K29" s="2" t="s">
        <v>19</v>
      </c>
      <c r="L29" s="2">
        <v>19</v>
      </c>
    </row>
    <row r="30" spans="1:12" x14ac:dyDescent="0.35">
      <c r="A30" s="2" t="s">
        <v>134</v>
      </c>
      <c r="B30" s="2" t="s">
        <v>47</v>
      </c>
      <c r="C30" s="2" t="s">
        <v>22</v>
      </c>
      <c r="D30" s="3">
        <v>41690</v>
      </c>
      <c r="F30" s="2" t="s">
        <v>135</v>
      </c>
      <c r="G30" s="2" t="s">
        <v>136</v>
      </c>
      <c r="H30" s="3">
        <v>33285</v>
      </c>
      <c r="I30" s="2" t="s">
        <v>56</v>
      </c>
      <c r="J30" s="2" t="s">
        <v>18</v>
      </c>
      <c r="K30" s="2" t="s">
        <v>19</v>
      </c>
      <c r="L30" s="2">
        <v>13</v>
      </c>
    </row>
    <row r="31" spans="1:12" x14ac:dyDescent="0.35">
      <c r="A31" s="2" t="s">
        <v>137</v>
      </c>
      <c r="B31" s="2" t="s">
        <v>77</v>
      </c>
      <c r="C31" s="2" t="s">
        <v>14</v>
      </c>
      <c r="D31" s="3">
        <v>42330</v>
      </c>
      <c r="F31" s="2" t="s">
        <v>138</v>
      </c>
      <c r="G31" s="2" t="s">
        <v>80</v>
      </c>
      <c r="H31" s="3">
        <v>30143</v>
      </c>
      <c r="I31" s="2" t="s">
        <v>109</v>
      </c>
      <c r="J31" s="2" t="s">
        <v>18</v>
      </c>
      <c r="K31" s="2" t="s">
        <v>19</v>
      </c>
      <c r="L31" s="2">
        <v>5</v>
      </c>
    </row>
    <row r="32" spans="1:12" x14ac:dyDescent="0.35">
      <c r="A32" s="2" t="s">
        <v>139</v>
      </c>
      <c r="B32" s="2" t="s">
        <v>27</v>
      </c>
      <c r="C32" s="2" t="s">
        <v>140</v>
      </c>
      <c r="D32" s="3">
        <v>42844</v>
      </c>
      <c r="E32" s="3">
        <v>43664</v>
      </c>
      <c r="F32" s="2" t="s">
        <v>141</v>
      </c>
      <c r="G32" s="2" t="s">
        <v>29</v>
      </c>
      <c r="H32" s="3">
        <v>29529</v>
      </c>
      <c r="I32" s="2" t="s">
        <v>105</v>
      </c>
      <c r="J32" s="2" t="s">
        <v>51</v>
      </c>
      <c r="K32" s="2" t="s">
        <v>19</v>
      </c>
      <c r="L32" s="2">
        <v>10</v>
      </c>
    </row>
    <row r="33" spans="1:12" x14ac:dyDescent="0.35">
      <c r="A33" s="2" t="s">
        <v>142</v>
      </c>
      <c r="B33" s="2" t="s">
        <v>68</v>
      </c>
      <c r="C33" s="2" t="s">
        <v>140</v>
      </c>
      <c r="D33" s="3">
        <v>43660</v>
      </c>
      <c r="F33" s="2" t="s">
        <v>143</v>
      </c>
      <c r="G33" s="2" t="s">
        <v>144</v>
      </c>
      <c r="H33" s="3">
        <v>25733</v>
      </c>
      <c r="I33" s="2" t="s">
        <v>127</v>
      </c>
      <c r="J33" s="2" t="s">
        <v>18</v>
      </c>
      <c r="K33" s="2" t="s">
        <v>19</v>
      </c>
      <c r="L33" s="2">
        <v>20</v>
      </c>
    </row>
    <row r="34" spans="1:12" x14ac:dyDescent="0.35">
      <c r="A34" s="2" t="s">
        <v>145</v>
      </c>
      <c r="B34" s="2" t="s">
        <v>21</v>
      </c>
      <c r="C34" s="2" t="s">
        <v>140</v>
      </c>
      <c r="D34" s="3">
        <v>42723</v>
      </c>
      <c r="F34" s="2" t="s">
        <v>146</v>
      </c>
      <c r="G34" s="2" t="s">
        <v>24</v>
      </c>
      <c r="H34" s="3">
        <v>33380</v>
      </c>
      <c r="I34" s="2" t="s">
        <v>113</v>
      </c>
      <c r="J34" s="2" t="s">
        <v>18</v>
      </c>
      <c r="K34" s="2" t="s">
        <v>19</v>
      </c>
      <c r="L34" s="2">
        <v>9</v>
      </c>
    </row>
    <row r="35" spans="1:12" x14ac:dyDescent="0.35">
      <c r="A35" s="2" t="s">
        <v>147</v>
      </c>
      <c r="B35" s="2" t="s">
        <v>90</v>
      </c>
      <c r="C35" s="2" t="s">
        <v>83</v>
      </c>
      <c r="D35" s="3">
        <v>42149</v>
      </c>
      <c r="F35" s="2" t="s">
        <v>148</v>
      </c>
      <c r="G35" s="2" t="s">
        <v>104</v>
      </c>
      <c r="H35" s="3">
        <v>31292</v>
      </c>
      <c r="I35" s="2" t="s">
        <v>92</v>
      </c>
      <c r="J35" s="2" t="s">
        <v>18</v>
      </c>
      <c r="K35" s="2" t="s">
        <v>19</v>
      </c>
      <c r="L35" s="2">
        <v>15</v>
      </c>
    </row>
    <row r="36" spans="1:12" x14ac:dyDescent="0.35">
      <c r="A36" s="2" t="s">
        <v>149</v>
      </c>
      <c r="B36" s="2" t="s">
        <v>68</v>
      </c>
      <c r="C36" s="2" t="s">
        <v>43</v>
      </c>
      <c r="D36" s="3">
        <v>43423</v>
      </c>
      <c r="F36" s="2" t="s">
        <v>150</v>
      </c>
      <c r="G36" s="2" t="s">
        <v>151</v>
      </c>
      <c r="H36" s="3">
        <v>32550</v>
      </c>
      <c r="I36" s="2" t="s">
        <v>97</v>
      </c>
      <c r="J36" s="2" t="s">
        <v>18</v>
      </c>
      <c r="K36" s="2" t="s">
        <v>19</v>
      </c>
      <c r="L36" s="2">
        <v>19</v>
      </c>
    </row>
    <row r="37" spans="1:12" x14ac:dyDescent="0.35">
      <c r="A37" s="2" t="s">
        <v>152</v>
      </c>
      <c r="B37" s="2" t="s">
        <v>68</v>
      </c>
      <c r="C37" s="2" t="s">
        <v>90</v>
      </c>
      <c r="D37" s="3">
        <v>41247</v>
      </c>
      <c r="F37" s="2" t="s">
        <v>153</v>
      </c>
      <c r="G37" s="2" t="s">
        <v>104</v>
      </c>
      <c r="H37" s="3">
        <v>27915</v>
      </c>
      <c r="I37" s="2" t="s">
        <v>50</v>
      </c>
      <c r="J37" s="2" t="s">
        <v>18</v>
      </c>
      <c r="K37" s="2" t="s">
        <v>19</v>
      </c>
      <c r="L37" s="2">
        <v>21</v>
      </c>
    </row>
    <row r="38" spans="1:12" x14ac:dyDescent="0.35">
      <c r="A38" s="2" t="s">
        <v>154</v>
      </c>
      <c r="B38" s="2" t="s">
        <v>77</v>
      </c>
      <c r="C38" s="2" t="s">
        <v>94</v>
      </c>
      <c r="D38" s="3">
        <v>41002</v>
      </c>
      <c r="F38" s="2" t="s">
        <v>155</v>
      </c>
      <c r="G38" s="2" t="s">
        <v>156</v>
      </c>
      <c r="H38" s="3">
        <v>31317</v>
      </c>
      <c r="I38" s="2" t="s">
        <v>113</v>
      </c>
      <c r="J38" s="2" t="s">
        <v>18</v>
      </c>
      <c r="K38" s="2" t="s">
        <v>19</v>
      </c>
      <c r="L38" s="2">
        <v>21</v>
      </c>
    </row>
    <row r="39" spans="1:12" x14ac:dyDescent="0.35">
      <c r="A39" s="2" t="s">
        <v>157</v>
      </c>
      <c r="B39" s="2" t="s">
        <v>21</v>
      </c>
      <c r="C39" s="2" t="s">
        <v>158</v>
      </c>
      <c r="D39" s="3">
        <v>44536</v>
      </c>
      <c r="F39" s="2" t="s">
        <v>159</v>
      </c>
      <c r="G39" s="2" t="s">
        <v>80</v>
      </c>
      <c r="H39" s="3">
        <v>22248</v>
      </c>
      <c r="I39" s="2" t="s">
        <v>113</v>
      </c>
      <c r="J39" s="2" t="s">
        <v>18</v>
      </c>
      <c r="K39" s="2" t="s">
        <v>19</v>
      </c>
      <c r="L39" s="2">
        <v>23</v>
      </c>
    </row>
    <row r="40" spans="1:12" x14ac:dyDescent="0.35">
      <c r="A40" s="2" t="s">
        <v>160</v>
      </c>
      <c r="B40" s="2" t="s">
        <v>90</v>
      </c>
      <c r="C40" s="2" t="s">
        <v>37</v>
      </c>
      <c r="D40" s="3">
        <v>41454</v>
      </c>
      <c r="F40" s="2" t="s">
        <v>161</v>
      </c>
      <c r="G40" s="2" t="s">
        <v>104</v>
      </c>
      <c r="H40" s="3">
        <v>34560</v>
      </c>
      <c r="I40" s="2" t="s">
        <v>25</v>
      </c>
      <c r="J40" s="2" t="s">
        <v>18</v>
      </c>
      <c r="K40" s="2" t="s">
        <v>19</v>
      </c>
      <c r="L40" s="2">
        <v>22</v>
      </c>
    </row>
    <row r="41" spans="1:12" x14ac:dyDescent="0.35">
      <c r="A41" s="2" t="s">
        <v>162</v>
      </c>
      <c r="B41" s="2" t="s">
        <v>27</v>
      </c>
      <c r="C41" s="2" t="s">
        <v>43</v>
      </c>
      <c r="D41" s="3">
        <v>41262</v>
      </c>
      <c r="E41" s="3">
        <v>41773</v>
      </c>
      <c r="F41" s="2" t="s">
        <v>163</v>
      </c>
      <c r="G41" s="2" t="s">
        <v>151</v>
      </c>
      <c r="H41" s="3">
        <v>23118</v>
      </c>
      <c r="I41" s="2" t="s">
        <v>50</v>
      </c>
      <c r="J41" s="2" t="s">
        <v>51</v>
      </c>
      <c r="K41" s="2" t="s">
        <v>19</v>
      </c>
      <c r="L41" s="2">
        <v>19</v>
      </c>
    </row>
    <row r="42" spans="1:12" x14ac:dyDescent="0.35">
      <c r="A42" s="2" t="s">
        <v>164</v>
      </c>
      <c r="B42" s="2" t="s">
        <v>58</v>
      </c>
      <c r="C42" s="2" t="s">
        <v>22</v>
      </c>
      <c r="D42" s="3">
        <v>43909</v>
      </c>
      <c r="F42" s="2" t="s">
        <v>165</v>
      </c>
      <c r="G42" s="2" t="s">
        <v>166</v>
      </c>
      <c r="H42" s="3">
        <v>30614</v>
      </c>
      <c r="I42" s="2" t="s">
        <v>167</v>
      </c>
      <c r="J42" s="2" t="s">
        <v>18</v>
      </c>
      <c r="K42" s="2" t="s">
        <v>19</v>
      </c>
      <c r="L42" s="2">
        <v>2</v>
      </c>
    </row>
    <row r="43" spans="1:12" x14ac:dyDescent="0.35">
      <c r="A43" s="2" t="s">
        <v>168</v>
      </c>
      <c r="B43" s="2" t="s">
        <v>82</v>
      </c>
      <c r="C43" s="2" t="s">
        <v>14</v>
      </c>
      <c r="D43" s="3">
        <v>41703</v>
      </c>
      <c r="E43" s="3">
        <v>42254</v>
      </c>
      <c r="F43" s="2" t="s">
        <v>169</v>
      </c>
      <c r="G43" s="2" t="s">
        <v>166</v>
      </c>
      <c r="H43" s="3">
        <v>33557</v>
      </c>
      <c r="I43" s="2" t="s">
        <v>61</v>
      </c>
      <c r="J43" s="2" t="s">
        <v>51</v>
      </c>
      <c r="K43" s="2" t="s">
        <v>19</v>
      </c>
      <c r="L43" s="2">
        <v>21</v>
      </c>
    </row>
    <row r="44" spans="1:12" x14ac:dyDescent="0.35">
      <c r="A44" s="2" t="s">
        <v>170</v>
      </c>
      <c r="B44" s="2" t="s">
        <v>36</v>
      </c>
      <c r="C44" s="2" t="s">
        <v>158</v>
      </c>
      <c r="D44" s="3">
        <v>42831</v>
      </c>
      <c r="F44" s="2" t="s">
        <v>171</v>
      </c>
      <c r="G44" s="2" t="s">
        <v>55</v>
      </c>
      <c r="H44" s="3">
        <v>23110</v>
      </c>
      <c r="I44" s="2" t="s">
        <v>75</v>
      </c>
      <c r="J44" s="2" t="s">
        <v>18</v>
      </c>
      <c r="K44" s="2" t="s">
        <v>19</v>
      </c>
      <c r="L44" s="2">
        <v>23</v>
      </c>
    </row>
    <row r="45" spans="1:12" x14ac:dyDescent="0.35">
      <c r="A45" s="2" t="s">
        <v>172</v>
      </c>
      <c r="B45" s="2" t="s">
        <v>82</v>
      </c>
      <c r="C45" s="2" t="s">
        <v>173</v>
      </c>
      <c r="D45" s="3">
        <v>43169</v>
      </c>
      <c r="F45" s="2" t="s">
        <v>174</v>
      </c>
      <c r="G45" s="2" t="s">
        <v>29</v>
      </c>
      <c r="H45" s="3">
        <v>34768</v>
      </c>
      <c r="I45" s="2" t="s">
        <v>97</v>
      </c>
      <c r="J45" s="2" t="s">
        <v>18</v>
      </c>
      <c r="K45" s="2" t="s">
        <v>19</v>
      </c>
      <c r="L45" s="2">
        <v>24</v>
      </c>
    </row>
    <row r="46" spans="1:12" x14ac:dyDescent="0.35">
      <c r="A46" s="2" t="s">
        <v>175</v>
      </c>
      <c r="B46" s="2" t="s">
        <v>90</v>
      </c>
      <c r="C46" s="2" t="s">
        <v>37</v>
      </c>
      <c r="D46" s="3">
        <v>43424</v>
      </c>
      <c r="F46" s="2" t="s">
        <v>176</v>
      </c>
      <c r="G46" s="2" t="s">
        <v>88</v>
      </c>
      <c r="H46" s="3">
        <v>32493</v>
      </c>
      <c r="I46" s="2" t="s">
        <v>113</v>
      </c>
      <c r="J46" s="2" t="s">
        <v>18</v>
      </c>
      <c r="K46" s="2" t="s">
        <v>19</v>
      </c>
      <c r="L46" s="2">
        <v>10</v>
      </c>
    </row>
    <row r="47" spans="1:12" x14ac:dyDescent="0.35">
      <c r="A47" s="2" t="s">
        <v>177</v>
      </c>
      <c r="B47" s="2" t="s">
        <v>86</v>
      </c>
      <c r="C47" s="2" t="s">
        <v>173</v>
      </c>
      <c r="D47" s="3">
        <v>43926</v>
      </c>
      <c r="E47" s="3">
        <v>44686</v>
      </c>
      <c r="F47" s="2" t="s">
        <v>178</v>
      </c>
      <c r="G47" s="2" t="s">
        <v>96</v>
      </c>
      <c r="H47" s="3">
        <v>24493</v>
      </c>
      <c r="I47" s="2" t="s">
        <v>97</v>
      </c>
      <c r="J47" s="2" t="s">
        <v>51</v>
      </c>
      <c r="K47" s="2" t="s">
        <v>19</v>
      </c>
      <c r="L47" s="2">
        <v>2</v>
      </c>
    </row>
    <row r="48" spans="1:12" x14ac:dyDescent="0.35">
      <c r="A48" s="2" t="s">
        <v>179</v>
      </c>
      <c r="B48" s="2" t="s">
        <v>180</v>
      </c>
      <c r="C48" s="2" t="s">
        <v>83</v>
      </c>
      <c r="D48" s="3">
        <v>43681</v>
      </c>
      <c r="F48" s="2" t="s">
        <v>181</v>
      </c>
      <c r="G48" s="2" t="s">
        <v>55</v>
      </c>
      <c r="H48" s="3">
        <v>27734</v>
      </c>
      <c r="I48" s="2" t="s">
        <v>17</v>
      </c>
      <c r="J48" s="2" t="s">
        <v>18</v>
      </c>
      <c r="K48" s="2" t="s">
        <v>19</v>
      </c>
      <c r="L48" s="2">
        <v>7</v>
      </c>
    </row>
    <row r="49" spans="1:12" x14ac:dyDescent="0.35">
      <c r="A49" s="2" t="s">
        <v>182</v>
      </c>
      <c r="B49" s="2" t="s">
        <v>90</v>
      </c>
      <c r="C49" s="2" t="s">
        <v>78</v>
      </c>
      <c r="D49" s="3">
        <v>41435</v>
      </c>
      <c r="E49" s="3">
        <v>42112</v>
      </c>
      <c r="F49" s="2" t="s">
        <v>183</v>
      </c>
      <c r="G49" s="2" t="s">
        <v>116</v>
      </c>
      <c r="H49" s="3">
        <v>29099</v>
      </c>
      <c r="I49" s="2" t="s">
        <v>109</v>
      </c>
      <c r="J49" s="2" t="s">
        <v>51</v>
      </c>
      <c r="K49" s="2" t="s">
        <v>19</v>
      </c>
      <c r="L49" s="2">
        <v>10</v>
      </c>
    </row>
    <row r="50" spans="1:12" x14ac:dyDescent="0.35">
      <c r="A50" s="2" t="s">
        <v>184</v>
      </c>
      <c r="B50" s="2" t="s">
        <v>185</v>
      </c>
      <c r="C50" s="2" t="s">
        <v>120</v>
      </c>
      <c r="D50" s="3">
        <v>43184</v>
      </c>
      <c r="F50" s="2" t="s">
        <v>186</v>
      </c>
      <c r="G50" s="2" t="s">
        <v>112</v>
      </c>
      <c r="H50" s="3">
        <v>34883</v>
      </c>
      <c r="I50" s="2" t="s">
        <v>117</v>
      </c>
      <c r="J50" s="2" t="s">
        <v>18</v>
      </c>
      <c r="K50" s="2" t="s">
        <v>19</v>
      </c>
      <c r="L50" s="2">
        <v>24</v>
      </c>
    </row>
    <row r="51" spans="1:12" x14ac:dyDescent="0.35">
      <c r="A51" s="2" t="s">
        <v>187</v>
      </c>
      <c r="B51" s="2" t="s">
        <v>42</v>
      </c>
      <c r="C51" s="2" t="s">
        <v>188</v>
      </c>
      <c r="D51" s="3">
        <v>44144</v>
      </c>
      <c r="F51" s="2" t="s">
        <v>189</v>
      </c>
      <c r="G51" s="2" t="s">
        <v>88</v>
      </c>
      <c r="H51" s="3">
        <v>27075</v>
      </c>
      <c r="I51" s="2" t="s">
        <v>105</v>
      </c>
      <c r="J51" s="2" t="s">
        <v>18</v>
      </c>
      <c r="K51" s="2" t="s">
        <v>19</v>
      </c>
      <c r="L51" s="2">
        <v>11</v>
      </c>
    </row>
    <row r="52" spans="1:12" x14ac:dyDescent="0.35">
      <c r="A52" s="2" t="s">
        <v>190</v>
      </c>
      <c r="B52" s="2" t="s">
        <v>191</v>
      </c>
      <c r="C52" s="2" t="s">
        <v>173</v>
      </c>
      <c r="D52" s="3">
        <v>44183</v>
      </c>
      <c r="F52" s="2" t="s">
        <v>192</v>
      </c>
      <c r="G52" s="2" t="s">
        <v>16</v>
      </c>
      <c r="H52" s="3">
        <v>24803</v>
      </c>
      <c r="I52" s="2" t="s">
        <v>97</v>
      </c>
      <c r="J52" s="2" t="s">
        <v>18</v>
      </c>
      <c r="K52" s="2" t="s">
        <v>19</v>
      </c>
      <c r="L52" s="2">
        <v>12</v>
      </c>
    </row>
    <row r="53" spans="1:12" x14ac:dyDescent="0.35">
      <c r="A53" s="2" t="s">
        <v>193</v>
      </c>
      <c r="B53" s="2" t="s">
        <v>90</v>
      </c>
      <c r="C53" s="2" t="s">
        <v>90</v>
      </c>
      <c r="D53" s="3">
        <v>43006</v>
      </c>
      <c r="E53" s="3">
        <v>43861</v>
      </c>
      <c r="F53" s="2" t="s">
        <v>194</v>
      </c>
      <c r="G53" s="2" t="s">
        <v>55</v>
      </c>
      <c r="H53" s="3">
        <v>25438</v>
      </c>
      <c r="I53" s="2" t="s">
        <v>167</v>
      </c>
      <c r="J53" s="2" t="s">
        <v>51</v>
      </c>
      <c r="K53" s="2" t="s">
        <v>19</v>
      </c>
      <c r="L53" s="2">
        <v>13</v>
      </c>
    </row>
    <row r="54" spans="1:12" x14ac:dyDescent="0.35">
      <c r="A54" s="2" t="s">
        <v>195</v>
      </c>
      <c r="B54" s="2" t="s">
        <v>185</v>
      </c>
      <c r="C54" s="2" t="s">
        <v>22</v>
      </c>
      <c r="D54" s="3">
        <v>44166</v>
      </c>
      <c r="F54" s="2" t="s">
        <v>196</v>
      </c>
      <c r="G54" s="2" t="s">
        <v>80</v>
      </c>
      <c r="H54" s="3">
        <v>28756</v>
      </c>
      <c r="I54" s="2" t="s">
        <v>50</v>
      </c>
      <c r="J54" s="2" t="s">
        <v>18</v>
      </c>
      <c r="K54" s="2" t="s">
        <v>19</v>
      </c>
      <c r="L54" s="2">
        <v>2</v>
      </c>
    </row>
    <row r="55" spans="1:12" x14ac:dyDescent="0.35">
      <c r="A55" s="2" t="s">
        <v>197</v>
      </c>
      <c r="B55" s="2" t="s">
        <v>47</v>
      </c>
      <c r="C55" s="2" t="s">
        <v>158</v>
      </c>
      <c r="D55" s="3">
        <v>43092</v>
      </c>
      <c r="F55" s="2" t="s">
        <v>198</v>
      </c>
      <c r="G55" s="2" t="s">
        <v>144</v>
      </c>
      <c r="H55" s="3">
        <v>28333</v>
      </c>
      <c r="I55" s="2" t="s">
        <v>40</v>
      </c>
      <c r="J55" s="2" t="s">
        <v>18</v>
      </c>
      <c r="K55" s="2" t="s">
        <v>19</v>
      </c>
      <c r="L55" s="2">
        <v>7</v>
      </c>
    </row>
    <row r="56" spans="1:12" x14ac:dyDescent="0.35">
      <c r="A56" s="2" t="s">
        <v>199</v>
      </c>
      <c r="B56" s="2" t="s">
        <v>36</v>
      </c>
      <c r="C56" s="2" t="s">
        <v>140</v>
      </c>
      <c r="D56" s="3">
        <v>41091</v>
      </c>
      <c r="F56" s="2" t="s">
        <v>200</v>
      </c>
      <c r="G56" s="2" t="s">
        <v>60</v>
      </c>
      <c r="H56" s="3">
        <v>33093</v>
      </c>
      <c r="I56" s="2" t="s">
        <v>113</v>
      </c>
      <c r="J56" s="2" t="s">
        <v>18</v>
      </c>
      <c r="K56" s="2" t="s">
        <v>19</v>
      </c>
      <c r="L56" s="2">
        <v>6</v>
      </c>
    </row>
    <row r="57" spans="1:12" x14ac:dyDescent="0.35">
      <c r="A57" s="2" t="s">
        <v>201</v>
      </c>
      <c r="B57" s="2" t="s">
        <v>21</v>
      </c>
      <c r="C57" s="2" t="s">
        <v>53</v>
      </c>
      <c r="D57" s="3">
        <v>43154</v>
      </c>
      <c r="F57" s="2" t="s">
        <v>202</v>
      </c>
      <c r="G57" s="2" t="s">
        <v>151</v>
      </c>
      <c r="H57" s="3">
        <v>32756</v>
      </c>
      <c r="I57" s="2" t="s">
        <v>203</v>
      </c>
      <c r="J57" s="2" t="s">
        <v>18</v>
      </c>
      <c r="K57" s="2" t="s">
        <v>19</v>
      </c>
      <c r="L57" s="2">
        <v>20</v>
      </c>
    </row>
    <row r="58" spans="1:12" x14ac:dyDescent="0.35">
      <c r="A58" s="2" t="s">
        <v>204</v>
      </c>
      <c r="B58" s="2" t="s">
        <v>90</v>
      </c>
      <c r="C58" s="2" t="s">
        <v>102</v>
      </c>
      <c r="D58" s="3">
        <v>42090</v>
      </c>
      <c r="F58" s="2" t="s">
        <v>205</v>
      </c>
      <c r="G58" s="2" t="s">
        <v>60</v>
      </c>
      <c r="H58" s="3">
        <v>30792</v>
      </c>
      <c r="I58" s="2" t="s">
        <v>206</v>
      </c>
      <c r="J58" s="2" t="s">
        <v>18</v>
      </c>
      <c r="K58" s="2" t="s">
        <v>19</v>
      </c>
      <c r="L58" s="2">
        <v>23</v>
      </c>
    </row>
    <row r="59" spans="1:12" x14ac:dyDescent="0.35">
      <c r="A59" s="2" t="s">
        <v>207</v>
      </c>
      <c r="B59" s="2" t="s">
        <v>119</v>
      </c>
      <c r="C59" s="2" t="s">
        <v>83</v>
      </c>
      <c r="D59" s="3">
        <v>43479</v>
      </c>
      <c r="F59" s="2" t="s">
        <v>208</v>
      </c>
      <c r="G59" s="2" t="s">
        <v>104</v>
      </c>
      <c r="H59" s="3">
        <v>33943</v>
      </c>
      <c r="I59" s="2" t="s">
        <v>209</v>
      </c>
      <c r="J59" s="2" t="s">
        <v>18</v>
      </c>
      <c r="K59" s="2" t="s">
        <v>19</v>
      </c>
      <c r="L59" s="2">
        <v>14</v>
      </c>
    </row>
    <row r="60" spans="1:12" x14ac:dyDescent="0.35">
      <c r="A60" s="2" t="s">
        <v>210</v>
      </c>
      <c r="B60" s="2" t="s">
        <v>32</v>
      </c>
      <c r="C60" s="2" t="s">
        <v>64</v>
      </c>
      <c r="D60" s="3">
        <v>41257</v>
      </c>
      <c r="F60" s="2" t="s">
        <v>211</v>
      </c>
      <c r="G60" s="2" t="s">
        <v>212</v>
      </c>
      <c r="H60" s="3">
        <v>23522</v>
      </c>
      <c r="I60" s="2" t="s">
        <v>61</v>
      </c>
      <c r="J60" s="2" t="s">
        <v>18</v>
      </c>
      <c r="K60" s="2" t="s">
        <v>19</v>
      </c>
      <c r="L60" s="2">
        <v>4</v>
      </c>
    </row>
    <row r="61" spans="1:12" x14ac:dyDescent="0.35">
      <c r="A61" s="2" t="s">
        <v>213</v>
      </c>
      <c r="B61" s="2" t="s">
        <v>77</v>
      </c>
      <c r="C61" s="2" t="s">
        <v>90</v>
      </c>
      <c r="D61" s="3">
        <v>44385</v>
      </c>
      <c r="F61" s="2" t="s">
        <v>214</v>
      </c>
      <c r="G61" s="2" t="s">
        <v>112</v>
      </c>
      <c r="H61" s="3">
        <v>31589</v>
      </c>
      <c r="I61" s="2" t="s">
        <v>203</v>
      </c>
      <c r="J61" s="2" t="s">
        <v>18</v>
      </c>
      <c r="K61" s="2" t="s">
        <v>19</v>
      </c>
      <c r="L61" s="2">
        <v>6</v>
      </c>
    </row>
    <row r="62" spans="1:12" x14ac:dyDescent="0.35">
      <c r="A62" s="2" t="s">
        <v>215</v>
      </c>
      <c r="B62" s="2" t="s">
        <v>191</v>
      </c>
      <c r="C62" s="2" t="s">
        <v>64</v>
      </c>
      <c r="D62" s="3">
        <v>41574</v>
      </c>
      <c r="F62" s="2" t="s">
        <v>216</v>
      </c>
      <c r="G62" s="2" t="s">
        <v>49</v>
      </c>
      <c r="H62" s="3">
        <v>33751</v>
      </c>
      <c r="I62" s="2" t="s">
        <v>70</v>
      </c>
      <c r="J62" s="2" t="s">
        <v>18</v>
      </c>
      <c r="K62" s="2" t="s">
        <v>19</v>
      </c>
      <c r="L62" s="2">
        <v>25</v>
      </c>
    </row>
    <row r="63" spans="1:12" x14ac:dyDescent="0.35">
      <c r="A63" s="2" t="s">
        <v>217</v>
      </c>
      <c r="B63" s="2" t="s">
        <v>77</v>
      </c>
      <c r="C63" s="2" t="s">
        <v>173</v>
      </c>
      <c r="D63" s="3">
        <v>42681</v>
      </c>
      <c r="F63" s="2" t="s">
        <v>218</v>
      </c>
      <c r="G63" s="2" t="s">
        <v>16</v>
      </c>
      <c r="H63" s="3">
        <v>22060</v>
      </c>
      <c r="I63" s="2" t="s">
        <v>219</v>
      </c>
      <c r="J63" s="2" t="s">
        <v>18</v>
      </c>
      <c r="K63" s="2" t="s">
        <v>19</v>
      </c>
      <c r="L63" s="2">
        <v>22</v>
      </c>
    </row>
    <row r="64" spans="1:12" x14ac:dyDescent="0.35">
      <c r="A64" s="2" t="s">
        <v>220</v>
      </c>
      <c r="B64" s="2" t="s">
        <v>47</v>
      </c>
      <c r="C64" s="2" t="s">
        <v>78</v>
      </c>
      <c r="D64" s="3">
        <v>42366</v>
      </c>
      <c r="F64" s="2" t="s">
        <v>221</v>
      </c>
      <c r="G64" s="2" t="s">
        <v>212</v>
      </c>
      <c r="H64" s="3">
        <v>29147</v>
      </c>
      <c r="I64" s="2" t="s">
        <v>66</v>
      </c>
      <c r="J64" s="2" t="s">
        <v>18</v>
      </c>
      <c r="K64" s="2" t="s">
        <v>19</v>
      </c>
      <c r="L64" s="2">
        <v>2</v>
      </c>
    </row>
    <row r="65" spans="1:12" x14ac:dyDescent="0.35">
      <c r="A65" s="2" t="s">
        <v>222</v>
      </c>
      <c r="B65" s="2" t="s">
        <v>68</v>
      </c>
      <c r="C65" s="2" t="s">
        <v>120</v>
      </c>
      <c r="D65" s="3">
        <v>44051</v>
      </c>
      <c r="F65" s="2" t="s">
        <v>223</v>
      </c>
      <c r="G65" s="2" t="s">
        <v>112</v>
      </c>
      <c r="H65" s="3">
        <v>33312</v>
      </c>
      <c r="I65" s="2" t="s">
        <v>127</v>
      </c>
      <c r="J65" s="2" t="s">
        <v>18</v>
      </c>
      <c r="K65" s="2" t="s">
        <v>19</v>
      </c>
      <c r="L65" s="2">
        <v>4</v>
      </c>
    </row>
    <row r="66" spans="1:12" x14ac:dyDescent="0.35">
      <c r="A66" s="2" t="s">
        <v>224</v>
      </c>
      <c r="B66" s="2" t="s">
        <v>42</v>
      </c>
      <c r="C66" s="2" t="s">
        <v>33</v>
      </c>
      <c r="D66" s="3">
        <v>43012</v>
      </c>
      <c r="F66" s="2" t="s">
        <v>225</v>
      </c>
      <c r="G66" s="2" t="s">
        <v>88</v>
      </c>
      <c r="H66" s="3">
        <v>34558</v>
      </c>
      <c r="I66" s="2" t="s">
        <v>17</v>
      </c>
      <c r="J66" s="2" t="s">
        <v>18</v>
      </c>
      <c r="K66" s="2" t="s">
        <v>19</v>
      </c>
      <c r="L66" s="2">
        <v>25</v>
      </c>
    </row>
    <row r="67" spans="1:12" x14ac:dyDescent="0.35">
      <c r="A67" s="2" t="s">
        <v>226</v>
      </c>
      <c r="B67" s="2" t="s">
        <v>21</v>
      </c>
      <c r="C67" s="2" t="s">
        <v>53</v>
      </c>
      <c r="D67" s="3">
        <v>44240</v>
      </c>
      <c r="F67" s="2" t="s">
        <v>227</v>
      </c>
      <c r="G67" s="2" t="s">
        <v>126</v>
      </c>
      <c r="H67" s="3">
        <v>29854</v>
      </c>
      <c r="I67" s="2" t="s">
        <v>209</v>
      </c>
      <c r="J67" s="2" t="s">
        <v>18</v>
      </c>
      <c r="K67" s="2" t="s">
        <v>19</v>
      </c>
      <c r="L67" s="2">
        <v>18</v>
      </c>
    </row>
    <row r="68" spans="1:12" x14ac:dyDescent="0.35">
      <c r="A68" s="2" t="s">
        <v>228</v>
      </c>
      <c r="B68" s="2" t="s">
        <v>77</v>
      </c>
      <c r="C68" s="2" t="s">
        <v>173</v>
      </c>
      <c r="D68" s="3">
        <v>42301</v>
      </c>
      <c r="E68" s="3">
        <v>42711</v>
      </c>
      <c r="F68" s="2" t="s">
        <v>229</v>
      </c>
      <c r="G68" s="2" t="s">
        <v>80</v>
      </c>
      <c r="H68" s="3">
        <v>34530</v>
      </c>
      <c r="I68" s="2" t="s">
        <v>117</v>
      </c>
      <c r="J68" s="2" t="s">
        <v>51</v>
      </c>
      <c r="K68" s="2" t="s">
        <v>19</v>
      </c>
      <c r="L68" s="2">
        <v>8</v>
      </c>
    </row>
    <row r="69" spans="1:12" x14ac:dyDescent="0.35">
      <c r="A69" s="2" t="s">
        <v>230</v>
      </c>
      <c r="B69" s="2" t="s">
        <v>185</v>
      </c>
      <c r="C69" s="2" t="s">
        <v>94</v>
      </c>
      <c r="D69" s="3">
        <v>43362</v>
      </c>
      <c r="E69" s="3">
        <v>43563</v>
      </c>
      <c r="F69" s="2" t="s">
        <v>231</v>
      </c>
      <c r="G69" s="2" t="s">
        <v>39</v>
      </c>
      <c r="H69" s="3">
        <v>29334</v>
      </c>
      <c r="I69" s="2" t="s">
        <v>61</v>
      </c>
      <c r="J69" s="2" t="s">
        <v>51</v>
      </c>
      <c r="K69" s="2" t="s">
        <v>19</v>
      </c>
      <c r="L69" s="2">
        <v>14</v>
      </c>
    </row>
    <row r="70" spans="1:12" x14ac:dyDescent="0.35">
      <c r="A70" s="2" t="s">
        <v>232</v>
      </c>
      <c r="B70" s="2" t="s">
        <v>99</v>
      </c>
      <c r="C70" s="2" t="s">
        <v>43</v>
      </c>
      <c r="D70" s="3">
        <v>41165</v>
      </c>
      <c r="F70" s="2" t="s">
        <v>233</v>
      </c>
      <c r="G70" s="2" t="s">
        <v>49</v>
      </c>
      <c r="H70" s="3">
        <v>27680</v>
      </c>
      <c r="I70" s="2" t="s">
        <v>66</v>
      </c>
      <c r="J70" s="2" t="s">
        <v>18</v>
      </c>
      <c r="K70" s="2" t="s">
        <v>19</v>
      </c>
      <c r="L70" s="2">
        <v>15</v>
      </c>
    </row>
    <row r="71" spans="1:12" x14ac:dyDescent="0.35">
      <c r="A71" s="2" t="s">
        <v>234</v>
      </c>
      <c r="B71" s="2" t="s">
        <v>63</v>
      </c>
      <c r="C71" s="2" t="s">
        <v>140</v>
      </c>
      <c r="D71" s="3">
        <v>41988</v>
      </c>
      <c r="F71" s="2" t="s">
        <v>235</v>
      </c>
      <c r="G71" s="2" t="s">
        <v>49</v>
      </c>
      <c r="H71" s="3">
        <v>27212</v>
      </c>
      <c r="I71" s="2" t="s">
        <v>209</v>
      </c>
      <c r="J71" s="2" t="s">
        <v>18</v>
      </c>
      <c r="K71" s="2" t="s">
        <v>19</v>
      </c>
      <c r="L71" s="2">
        <v>16</v>
      </c>
    </row>
    <row r="72" spans="1:12" x14ac:dyDescent="0.35">
      <c r="A72" s="2" t="s">
        <v>236</v>
      </c>
      <c r="B72" s="2" t="s">
        <v>77</v>
      </c>
      <c r="C72" s="2" t="s">
        <v>188</v>
      </c>
      <c r="D72" s="3">
        <v>42029</v>
      </c>
      <c r="F72" s="2" t="s">
        <v>237</v>
      </c>
      <c r="G72" s="2" t="s">
        <v>112</v>
      </c>
      <c r="H72" s="3">
        <v>29571</v>
      </c>
      <c r="I72" s="2" t="s">
        <v>109</v>
      </c>
      <c r="J72" s="2" t="s">
        <v>18</v>
      </c>
      <c r="K72" s="2" t="s">
        <v>19</v>
      </c>
      <c r="L72" s="2">
        <v>12</v>
      </c>
    </row>
    <row r="73" spans="1:12" x14ac:dyDescent="0.35">
      <c r="A73" s="2" t="s">
        <v>238</v>
      </c>
      <c r="B73" s="2" t="s">
        <v>21</v>
      </c>
      <c r="C73" s="2" t="s">
        <v>72</v>
      </c>
      <c r="D73" s="3">
        <v>40936</v>
      </c>
      <c r="E73" s="3">
        <v>41762</v>
      </c>
      <c r="F73" s="2" t="s">
        <v>239</v>
      </c>
      <c r="G73" s="2" t="s">
        <v>29</v>
      </c>
      <c r="H73" s="3">
        <v>30885</v>
      </c>
      <c r="I73" s="2" t="s">
        <v>92</v>
      </c>
      <c r="J73" s="2" t="s">
        <v>51</v>
      </c>
      <c r="K73" s="2" t="s">
        <v>19</v>
      </c>
      <c r="L73" s="2">
        <v>7</v>
      </c>
    </row>
    <row r="74" spans="1:12" x14ac:dyDescent="0.35">
      <c r="A74" s="2" t="s">
        <v>240</v>
      </c>
      <c r="B74" s="2" t="s">
        <v>191</v>
      </c>
      <c r="C74" s="2" t="s">
        <v>173</v>
      </c>
      <c r="D74" s="3">
        <v>41033</v>
      </c>
      <c r="E74" s="3">
        <v>41282</v>
      </c>
      <c r="F74" s="2" t="s">
        <v>241</v>
      </c>
      <c r="G74" s="2" t="s">
        <v>60</v>
      </c>
      <c r="H74" s="3">
        <v>25417</v>
      </c>
      <c r="I74" s="2" t="s">
        <v>40</v>
      </c>
      <c r="J74" s="2" t="s">
        <v>51</v>
      </c>
      <c r="K74" s="2" t="s">
        <v>19</v>
      </c>
      <c r="L74" s="2">
        <v>13</v>
      </c>
    </row>
    <row r="75" spans="1:12" x14ac:dyDescent="0.35">
      <c r="A75" s="2" t="s">
        <v>242</v>
      </c>
      <c r="B75" s="2" t="s">
        <v>21</v>
      </c>
      <c r="C75" s="2" t="s">
        <v>33</v>
      </c>
      <c r="D75" s="3">
        <v>43081</v>
      </c>
      <c r="F75" s="2" t="s">
        <v>243</v>
      </c>
      <c r="G75" s="2" t="s">
        <v>112</v>
      </c>
      <c r="H75" s="3">
        <v>25100</v>
      </c>
      <c r="I75" s="2" t="s">
        <v>203</v>
      </c>
      <c r="J75" s="2" t="s">
        <v>18</v>
      </c>
      <c r="K75" s="2" t="s">
        <v>19</v>
      </c>
      <c r="L75" s="2">
        <v>11</v>
      </c>
    </row>
    <row r="76" spans="1:12" x14ac:dyDescent="0.35">
      <c r="A76" s="2" t="s">
        <v>244</v>
      </c>
      <c r="B76" s="2" t="s">
        <v>185</v>
      </c>
      <c r="C76" s="2" t="s">
        <v>140</v>
      </c>
      <c r="D76" s="3">
        <v>42198</v>
      </c>
      <c r="F76" s="2" t="s">
        <v>245</v>
      </c>
      <c r="G76" s="2" t="s">
        <v>166</v>
      </c>
      <c r="H76" s="3">
        <v>29645</v>
      </c>
      <c r="I76" s="2" t="s">
        <v>75</v>
      </c>
      <c r="J76" s="2" t="s">
        <v>18</v>
      </c>
      <c r="K76" s="2" t="s">
        <v>19</v>
      </c>
      <c r="L76" s="2">
        <v>25</v>
      </c>
    </row>
    <row r="77" spans="1:12" x14ac:dyDescent="0.35">
      <c r="A77" s="2" t="s">
        <v>246</v>
      </c>
      <c r="B77" s="2" t="s">
        <v>27</v>
      </c>
      <c r="C77" s="2" t="s">
        <v>78</v>
      </c>
      <c r="D77" s="3">
        <v>43775</v>
      </c>
      <c r="E77" s="3">
        <v>44198</v>
      </c>
      <c r="F77" s="2" t="s">
        <v>247</v>
      </c>
      <c r="G77" s="2" t="s">
        <v>126</v>
      </c>
      <c r="H77" s="3">
        <v>32190</v>
      </c>
      <c r="I77" s="2" t="s">
        <v>209</v>
      </c>
      <c r="J77" s="2" t="s">
        <v>51</v>
      </c>
      <c r="K77" s="2" t="s">
        <v>19</v>
      </c>
      <c r="L77" s="2">
        <v>12</v>
      </c>
    </row>
    <row r="78" spans="1:12" x14ac:dyDescent="0.35">
      <c r="A78" s="2" t="s">
        <v>248</v>
      </c>
      <c r="B78" s="2" t="s">
        <v>99</v>
      </c>
      <c r="C78" s="2" t="s">
        <v>140</v>
      </c>
      <c r="D78" s="3">
        <v>41677</v>
      </c>
      <c r="F78" s="2" t="s">
        <v>249</v>
      </c>
      <c r="G78" s="2" t="s">
        <v>96</v>
      </c>
      <c r="H78" s="3">
        <v>32532</v>
      </c>
      <c r="I78" s="2" t="s">
        <v>250</v>
      </c>
      <c r="J78" s="2" t="s">
        <v>18</v>
      </c>
      <c r="K78" s="2" t="s">
        <v>19</v>
      </c>
      <c r="L78" s="2">
        <v>20</v>
      </c>
    </row>
    <row r="79" spans="1:12" x14ac:dyDescent="0.35">
      <c r="A79" s="2" t="s">
        <v>251</v>
      </c>
      <c r="B79" s="2" t="s">
        <v>185</v>
      </c>
      <c r="C79" s="2" t="s">
        <v>43</v>
      </c>
      <c r="D79" s="3">
        <v>44278</v>
      </c>
      <c r="F79" s="2" t="s">
        <v>252</v>
      </c>
      <c r="G79" s="2" t="s">
        <v>74</v>
      </c>
      <c r="H79" s="3">
        <v>25412</v>
      </c>
      <c r="I79" s="2" t="s">
        <v>66</v>
      </c>
      <c r="J79" s="2" t="s">
        <v>18</v>
      </c>
      <c r="K79" s="2" t="s">
        <v>19</v>
      </c>
      <c r="L79" s="2">
        <v>21</v>
      </c>
    </row>
    <row r="80" spans="1:12" x14ac:dyDescent="0.35">
      <c r="A80" s="2" t="s">
        <v>253</v>
      </c>
      <c r="B80" s="2" t="s">
        <v>99</v>
      </c>
      <c r="C80" s="2" t="s">
        <v>72</v>
      </c>
      <c r="D80" s="3">
        <v>44375</v>
      </c>
      <c r="F80" s="2" t="s">
        <v>254</v>
      </c>
      <c r="G80" s="2" t="s">
        <v>151</v>
      </c>
      <c r="H80" s="3">
        <v>25250</v>
      </c>
      <c r="I80" s="2" t="s">
        <v>30</v>
      </c>
      <c r="J80" s="2" t="s">
        <v>18</v>
      </c>
      <c r="K80" s="2" t="s">
        <v>19</v>
      </c>
      <c r="L80" s="2">
        <v>4</v>
      </c>
    </row>
    <row r="81" spans="1:12" x14ac:dyDescent="0.35">
      <c r="A81" s="2" t="s">
        <v>255</v>
      </c>
      <c r="B81" s="2" t="s">
        <v>82</v>
      </c>
      <c r="C81" s="2" t="s">
        <v>22</v>
      </c>
      <c r="D81" s="3">
        <v>41854</v>
      </c>
      <c r="F81" s="2" t="s">
        <v>256</v>
      </c>
      <c r="G81" s="2" t="s">
        <v>212</v>
      </c>
      <c r="H81" s="3">
        <v>27931</v>
      </c>
      <c r="I81" s="2" t="s">
        <v>97</v>
      </c>
      <c r="J81" s="2" t="s">
        <v>18</v>
      </c>
      <c r="K81" s="2" t="s">
        <v>19</v>
      </c>
      <c r="L81" s="2">
        <v>3</v>
      </c>
    </row>
    <row r="82" spans="1:12" x14ac:dyDescent="0.35">
      <c r="A82" s="2" t="s">
        <v>257</v>
      </c>
      <c r="B82" s="2" t="s">
        <v>107</v>
      </c>
      <c r="C82" s="2" t="s">
        <v>14</v>
      </c>
      <c r="D82" s="3">
        <v>43629</v>
      </c>
      <c r="F82" s="2" t="s">
        <v>258</v>
      </c>
      <c r="G82" s="2" t="s">
        <v>49</v>
      </c>
      <c r="H82" s="3">
        <v>31354</v>
      </c>
      <c r="I82" s="2" t="s">
        <v>40</v>
      </c>
      <c r="J82" s="2" t="s">
        <v>18</v>
      </c>
      <c r="K82" s="2" t="s">
        <v>19</v>
      </c>
      <c r="L82" s="2">
        <v>6</v>
      </c>
    </row>
    <row r="83" spans="1:12" x14ac:dyDescent="0.35">
      <c r="A83" s="2" t="s">
        <v>259</v>
      </c>
      <c r="B83" s="2" t="s">
        <v>68</v>
      </c>
      <c r="C83" s="2" t="s">
        <v>140</v>
      </c>
      <c r="D83" s="3">
        <v>41396</v>
      </c>
      <c r="F83" s="2" t="s">
        <v>260</v>
      </c>
      <c r="G83" s="2" t="s">
        <v>151</v>
      </c>
      <c r="H83" s="3">
        <v>29918</v>
      </c>
      <c r="I83" s="2" t="s">
        <v>219</v>
      </c>
      <c r="J83" s="2" t="s">
        <v>18</v>
      </c>
      <c r="K83" s="2" t="s">
        <v>19</v>
      </c>
      <c r="L83" s="2">
        <v>7</v>
      </c>
    </row>
    <row r="84" spans="1:12" x14ac:dyDescent="0.35">
      <c r="A84" s="2" t="s">
        <v>261</v>
      </c>
      <c r="B84" s="2" t="s">
        <v>99</v>
      </c>
      <c r="C84" s="2" t="s">
        <v>22</v>
      </c>
      <c r="D84" s="3">
        <v>43377</v>
      </c>
      <c r="F84" s="2" t="s">
        <v>262</v>
      </c>
      <c r="G84" s="2" t="s">
        <v>104</v>
      </c>
      <c r="H84" s="3">
        <v>34526</v>
      </c>
      <c r="I84" s="2" t="s">
        <v>45</v>
      </c>
      <c r="J84" s="2" t="s">
        <v>18</v>
      </c>
      <c r="K84" s="2" t="s">
        <v>19</v>
      </c>
      <c r="L84" s="2">
        <v>21</v>
      </c>
    </row>
    <row r="85" spans="1:12" x14ac:dyDescent="0.35">
      <c r="A85" s="2" t="s">
        <v>263</v>
      </c>
      <c r="B85" s="2" t="s">
        <v>77</v>
      </c>
      <c r="C85" s="2" t="s">
        <v>43</v>
      </c>
      <c r="D85" s="3">
        <v>44236</v>
      </c>
      <c r="F85" s="2" t="s">
        <v>264</v>
      </c>
      <c r="G85" s="2" t="s">
        <v>55</v>
      </c>
      <c r="H85" s="3">
        <v>33483</v>
      </c>
      <c r="I85" s="2" t="s">
        <v>206</v>
      </c>
      <c r="J85" s="2" t="s">
        <v>18</v>
      </c>
      <c r="K85" s="2" t="s">
        <v>19</v>
      </c>
      <c r="L85" s="2">
        <v>3</v>
      </c>
    </row>
    <row r="86" spans="1:12" x14ac:dyDescent="0.35">
      <c r="A86" s="2" t="s">
        <v>265</v>
      </c>
      <c r="B86" s="2" t="s">
        <v>191</v>
      </c>
      <c r="C86" s="2" t="s">
        <v>53</v>
      </c>
      <c r="D86" s="3">
        <v>41059</v>
      </c>
      <c r="F86" s="2" t="s">
        <v>266</v>
      </c>
      <c r="G86" s="2" t="s">
        <v>39</v>
      </c>
      <c r="H86" s="3">
        <v>23488</v>
      </c>
      <c r="I86" s="2" t="s">
        <v>75</v>
      </c>
      <c r="J86" s="2" t="s">
        <v>18</v>
      </c>
      <c r="K86" s="2" t="s">
        <v>19</v>
      </c>
      <c r="L86" s="2">
        <v>23</v>
      </c>
    </row>
    <row r="87" spans="1:12" x14ac:dyDescent="0.35">
      <c r="A87" s="2" t="s">
        <v>267</v>
      </c>
      <c r="B87" s="2" t="s">
        <v>58</v>
      </c>
      <c r="C87" s="2" t="s">
        <v>72</v>
      </c>
      <c r="D87" s="3">
        <v>43609</v>
      </c>
      <c r="E87" s="3">
        <v>44463</v>
      </c>
      <c r="F87" s="2" t="s">
        <v>268</v>
      </c>
      <c r="G87" s="2" t="s">
        <v>151</v>
      </c>
      <c r="H87" s="3">
        <v>28604</v>
      </c>
      <c r="I87" s="2" t="s">
        <v>61</v>
      </c>
      <c r="J87" s="2" t="s">
        <v>51</v>
      </c>
      <c r="K87" s="2" t="s">
        <v>19</v>
      </c>
      <c r="L87" s="2">
        <v>4</v>
      </c>
    </row>
    <row r="88" spans="1:12" x14ac:dyDescent="0.35">
      <c r="A88" s="2" t="s">
        <v>269</v>
      </c>
      <c r="B88" s="2" t="s">
        <v>21</v>
      </c>
      <c r="C88" s="2" t="s">
        <v>140</v>
      </c>
      <c r="D88" s="3">
        <v>41013</v>
      </c>
      <c r="F88" s="2" t="s">
        <v>270</v>
      </c>
      <c r="G88" s="2" t="s">
        <v>24</v>
      </c>
      <c r="H88" s="3">
        <v>23927</v>
      </c>
      <c r="I88" s="2" t="s">
        <v>219</v>
      </c>
      <c r="J88" s="2" t="s">
        <v>18</v>
      </c>
      <c r="K88" s="2" t="s">
        <v>19</v>
      </c>
      <c r="L88" s="2">
        <v>10</v>
      </c>
    </row>
    <row r="89" spans="1:12" x14ac:dyDescent="0.35">
      <c r="A89" s="2" t="s">
        <v>271</v>
      </c>
      <c r="B89" s="2" t="s">
        <v>107</v>
      </c>
      <c r="C89" s="2" t="s">
        <v>94</v>
      </c>
      <c r="D89" s="3">
        <v>44149</v>
      </c>
      <c r="F89" s="2" t="s">
        <v>272</v>
      </c>
      <c r="G89" s="2" t="s">
        <v>80</v>
      </c>
      <c r="H89" s="3">
        <v>24325</v>
      </c>
      <c r="I89" s="2" t="s">
        <v>273</v>
      </c>
      <c r="J89" s="2" t="s">
        <v>18</v>
      </c>
      <c r="K89" s="2" t="s">
        <v>19</v>
      </c>
      <c r="L89" s="2">
        <v>16</v>
      </c>
    </row>
    <row r="90" spans="1:12" x14ac:dyDescent="0.35">
      <c r="A90" s="2" t="s">
        <v>274</v>
      </c>
      <c r="B90" s="2" t="s">
        <v>119</v>
      </c>
      <c r="C90" s="2" t="s">
        <v>90</v>
      </c>
      <c r="D90" s="3">
        <v>43006</v>
      </c>
      <c r="F90" s="2" t="s">
        <v>275</v>
      </c>
      <c r="G90" s="2" t="s">
        <v>88</v>
      </c>
      <c r="H90" s="3">
        <v>28857</v>
      </c>
      <c r="I90" s="2" t="s">
        <v>66</v>
      </c>
      <c r="J90" s="2" t="s">
        <v>18</v>
      </c>
      <c r="K90" s="2" t="s">
        <v>19</v>
      </c>
      <c r="L90" s="2">
        <v>23</v>
      </c>
    </row>
    <row r="91" spans="1:12" x14ac:dyDescent="0.35">
      <c r="A91" s="2" t="s">
        <v>276</v>
      </c>
      <c r="B91" s="2" t="s">
        <v>119</v>
      </c>
      <c r="C91" s="2" t="s">
        <v>140</v>
      </c>
      <c r="D91" s="3">
        <v>43424</v>
      </c>
      <c r="F91" s="2" t="s">
        <v>277</v>
      </c>
      <c r="G91" s="2" t="s">
        <v>278</v>
      </c>
      <c r="H91" s="3">
        <v>29230</v>
      </c>
      <c r="I91" s="2" t="s">
        <v>70</v>
      </c>
      <c r="J91" s="2" t="s">
        <v>18</v>
      </c>
      <c r="K91" s="2" t="s">
        <v>19</v>
      </c>
      <c r="L91" s="2">
        <v>15</v>
      </c>
    </row>
    <row r="92" spans="1:12" x14ac:dyDescent="0.35">
      <c r="A92" s="2" t="s">
        <v>279</v>
      </c>
      <c r="B92" s="2" t="s">
        <v>191</v>
      </c>
      <c r="C92" s="2" t="s">
        <v>280</v>
      </c>
      <c r="D92" s="3">
        <v>42705</v>
      </c>
      <c r="F92" s="2" t="s">
        <v>281</v>
      </c>
      <c r="G92" s="2" t="s">
        <v>60</v>
      </c>
      <c r="H92" s="3">
        <v>30116</v>
      </c>
      <c r="I92" s="2" t="s">
        <v>70</v>
      </c>
      <c r="J92" s="2" t="s">
        <v>18</v>
      </c>
      <c r="K92" s="2" t="s">
        <v>19</v>
      </c>
      <c r="L92" s="2">
        <v>17</v>
      </c>
    </row>
    <row r="93" spans="1:12" x14ac:dyDescent="0.35">
      <c r="A93" s="2" t="s">
        <v>282</v>
      </c>
      <c r="B93" s="2" t="s">
        <v>47</v>
      </c>
      <c r="C93" s="2" t="s">
        <v>173</v>
      </c>
      <c r="D93" s="3">
        <v>41959</v>
      </c>
      <c r="F93" s="2" t="s">
        <v>283</v>
      </c>
      <c r="G93" s="2" t="s">
        <v>284</v>
      </c>
      <c r="H93" s="3">
        <v>25310</v>
      </c>
      <c r="I93" s="2" t="s">
        <v>105</v>
      </c>
      <c r="J93" s="2" t="s">
        <v>18</v>
      </c>
      <c r="K93" s="2" t="s">
        <v>19</v>
      </c>
      <c r="L93" s="2">
        <v>21</v>
      </c>
    </row>
    <row r="94" spans="1:12" x14ac:dyDescent="0.35">
      <c r="A94" s="2" t="s">
        <v>285</v>
      </c>
      <c r="B94" s="2" t="s">
        <v>119</v>
      </c>
      <c r="C94" s="2" t="s">
        <v>280</v>
      </c>
      <c r="D94" s="3">
        <v>41146</v>
      </c>
      <c r="E94" s="3">
        <v>41738</v>
      </c>
      <c r="F94" s="2" t="s">
        <v>286</v>
      </c>
      <c r="G94" s="2" t="s">
        <v>284</v>
      </c>
      <c r="H94" s="3">
        <v>31707</v>
      </c>
      <c r="I94" s="2" t="s">
        <v>92</v>
      </c>
      <c r="J94" s="2" t="s">
        <v>51</v>
      </c>
      <c r="K94" s="2" t="s">
        <v>19</v>
      </c>
      <c r="L94" s="2">
        <v>16</v>
      </c>
    </row>
    <row r="95" spans="1:12" x14ac:dyDescent="0.35">
      <c r="A95" s="2" t="s">
        <v>287</v>
      </c>
      <c r="B95" s="2" t="s">
        <v>36</v>
      </c>
      <c r="C95" s="2" t="s">
        <v>43</v>
      </c>
      <c r="D95" s="3">
        <v>43068</v>
      </c>
      <c r="F95" s="2" t="s">
        <v>288</v>
      </c>
      <c r="G95" s="2" t="s">
        <v>88</v>
      </c>
      <c r="H95" s="3">
        <v>25998</v>
      </c>
      <c r="I95" s="2" t="s">
        <v>113</v>
      </c>
      <c r="J95" s="2" t="s">
        <v>18</v>
      </c>
      <c r="K95" s="2" t="s">
        <v>19</v>
      </c>
      <c r="L95" s="2">
        <v>15</v>
      </c>
    </row>
    <row r="96" spans="1:12" x14ac:dyDescent="0.35">
      <c r="A96" s="2" t="s">
        <v>289</v>
      </c>
      <c r="B96" s="2" t="s">
        <v>191</v>
      </c>
      <c r="C96" s="2" t="s">
        <v>90</v>
      </c>
      <c r="D96" s="3">
        <v>43896</v>
      </c>
      <c r="F96" s="2" t="s">
        <v>290</v>
      </c>
      <c r="G96" s="2" t="s">
        <v>151</v>
      </c>
      <c r="H96" s="3">
        <v>24043</v>
      </c>
      <c r="I96" s="2" t="s">
        <v>70</v>
      </c>
      <c r="J96" s="2" t="s">
        <v>18</v>
      </c>
      <c r="K96" s="2" t="s">
        <v>19</v>
      </c>
      <c r="L96" s="2">
        <v>10</v>
      </c>
    </row>
    <row r="97" spans="1:12" x14ac:dyDescent="0.35">
      <c r="A97" s="2" t="s">
        <v>291</v>
      </c>
      <c r="B97" s="2" t="s">
        <v>107</v>
      </c>
      <c r="C97" s="2" t="s">
        <v>173</v>
      </c>
      <c r="D97" s="3">
        <v>43046</v>
      </c>
      <c r="E97" s="3">
        <v>43422</v>
      </c>
      <c r="F97" s="2" t="s">
        <v>292</v>
      </c>
      <c r="G97" s="2" t="s">
        <v>80</v>
      </c>
      <c r="H97" s="3">
        <v>30977</v>
      </c>
      <c r="I97" s="2" t="s">
        <v>113</v>
      </c>
      <c r="J97" s="2" t="s">
        <v>51</v>
      </c>
      <c r="K97" s="2" t="s">
        <v>19</v>
      </c>
      <c r="L97" s="2">
        <v>8</v>
      </c>
    </row>
    <row r="98" spans="1:12" x14ac:dyDescent="0.35">
      <c r="A98" s="2" t="s">
        <v>293</v>
      </c>
      <c r="B98" s="2" t="s">
        <v>90</v>
      </c>
      <c r="C98" s="2" t="s">
        <v>280</v>
      </c>
      <c r="D98" s="3">
        <v>43107</v>
      </c>
      <c r="F98" s="2" t="s">
        <v>294</v>
      </c>
      <c r="G98" s="2" t="s">
        <v>278</v>
      </c>
      <c r="H98" s="3">
        <v>27625</v>
      </c>
      <c r="I98" s="2" t="s">
        <v>50</v>
      </c>
      <c r="J98" s="2" t="s">
        <v>18</v>
      </c>
      <c r="K98" s="2" t="s">
        <v>19</v>
      </c>
      <c r="L98" s="2">
        <v>18</v>
      </c>
    </row>
    <row r="99" spans="1:12" x14ac:dyDescent="0.35">
      <c r="A99" s="2" t="s">
        <v>295</v>
      </c>
      <c r="B99" s="2" t="s">
        <v>119</v>
      </c>
      <c r="C99" s="2" t="s">
        <v>140</v>
      </c>
      <c r="D99" s="3">
        <v>43704</v>
      </c>
      <c r="F99" s="2" t="s">
        <v>296</v>
      </c>
      <c r="G99" s="2" t="s">
        <v>136</v>
      </c>
      <c r="H99" s="3">
        <v>25308</v>
      </c>
      <c r="I99" s="2" t="s">
        <v>92</v>
      </c>
      <c r="J99" s="2" t="s">
        <v>18</v>
      </c>
      <c r="K99" s="2" t="s">
        <v>19</v>
      </c>
      <c r="L99" s="2">
        <v>5</v>
      </c>
    </row>
    <row r="100" spans="1:12" x14ac:dyDescent="0.35">
      <c r="A100" s="2" t="s">
        <v>297</v>
      </c>
      <c r="B100" s="2" t="s">
        <v>68</v>
      </c>
      <c r="C100" s="2" t="s">
        <v>158</v>
      </c>
      <c r="D100" s="3">
        <v>41817</v>
      </c>
      <c r="F100" s="2" t="s">
        <v>298</v>
      </c>
      <c r="G100" s="2" t="s">
        <v>126</v>
      </c>
      <c r="H100" s="3">
        <v>27981</v>
      </c>
      <c r="I100" s="2" t="s">
        <v>30</v>
      </c>
      <c r="J100" s="2" t="s">
        <v>18</v>
      </c>
      <c r="K100" s="2" t="s">
        <v>19</v>
      </c>
      <c r="L100" s="2">
        <v>13</v>
      </c>
    </row>
    <row r="101" spans="1:12" x14ac:dyDescent="0.35">
      <c r="A101" s="2" t="s">
        <v>299</v>
      </c>
      <c r="B101" s="2" t="s">
        <v>13</v>
      </c>
      <c r="C101" s="2" t="s">
        <v>37</v>
      </c>
      <c r="D101" s="3">
        <v>43469</v>
      </c>
      <c r="F101" s="2" t="s">
        <v>300</v>
      </c>
      <c r="G101" s="2" t="s">
        <v>29</v>
      </c>
      <c r="H101" s="3">
        <v>22138</v>
      </c>
      <c r="I101" s="2" t="s">
        <v>117</v>
      </c>
      <c r="J101" s="2" t="s">
        <v>18</v>
      </c>
      <c r="K101" s="2" t="s">
        <v>19</v>
      </c>
      <c r="L101" s="2">
        <v>15</v>
      </c>
    </row>
    <row r="102" spans="1:12" x14ac:dyDescent="0.35">
      <c r="A102" s="2" t="s">
        <v>301</v>
      </c>
      <c r="B102" s="2" t="s">
        <v>185</v>
      </c>
      <c r="C102" s="2" t="s">
        <v>173</v>
      </c>
      <c r="D102" s="3">
        <v>41688</v>
      </c>
      <c r="F102" s="2" t="s">
        <v>302</v>
      </c>
      <c r="G102" s="2" t="s">
        <v>212</v>
      </c>
      <c r="H102" s="3">
        <v>34396</v>
      </c>
      <c r="I102" s="2" t="s">
        <v>25</v>
      </c>
      <c r="J102" s="2" t="s">
        <v>18</v>
      </c>
      <c r="K102" s="2" t="s">
        <v>19</v>
      </c>
      <c r="L102" s="2">
        <v>5</v>
      </c>
    </row>
    <row r="103" spans="1:12" x14ac:dyDescent="0.35">
      <c r="A103" s="2" t="s">
        <v>303</v>
      </c>
      <c r="B103" s="2" t="s">
        <v>180</v>
      </c>
      <c r="C103" s="2" t="s">
        <v>280</v>
      </c>
      <c r="D103" s="3">
        <v>41763</v>
      </c>
      <c r="F103" s="2" t="s">
        <v>304</v>
      </c>
      <c r="G103" s="2" t="s">
        <v>24</v>
      </c>
      <c r="H103" s="3">
        <v>32313</v>
      </c>
      <c r="I103" s="2" t="s">
        <v>273</v>
      </c>
      <c r="J103" s="2" t="s">
        <v>18</v>
      </c>
      <c r="K103" s="2" t="s">
        <v>19</v>
      </c>
      <c r="L103" s="2">
        <v>11</v>
      </c>
    </row>
    <row r="104" spans="1:12" x14ac:dyDescent="0.35">
      <c r="A104" s="2" t="s">
        <v>305</v>
      </c>
      <c r="B104" s="2" t="s">
        <v>107</v>
      </c>
      <c r="C104" s="2" t="s">
        <v>14</v>
      </c>
      <c r="D104" s="3">
        <v>41908</v>
      </c>
      <c r="F104" s="2" t="s">
        <v>306</v>
      </c>
      <c r="G104" s="2" t="s">
        <v>166</v>
      </c>
      <c r="H104" s="3">
        <v>29173</v>
      </c>
      <c r="I104" s="2" t="s">
        <v>105</v>
      </c>
      <c r="J104" s="2" t="s">
        <v>18</v>
      </c>
      <c r="K104" s="2" t="s">
        <v>19</v>
      </c>
      <c r="L104" s="2">
        <v>23</v>
      </c>
    </row>
    <row r="105" spans="1:12" x14ac:dyDescent="0.35">
      <c r="A105" s="2" t="s">
        <v>307</v>
      </c>
      <c r="B105" s="2" t="s">
        <v>82</v>
      </c>
      <c r="C105" s="2" t="s">
        <v>14</v>
      </c>
      <c r="D105" s="3">
        <v>44270</v>
      </c>
      <c r="F105" s="2" t="s">
        <v>308</v>
      </c>
      <c r="G105" s="2" t="s">
        <v>151</v>
      </c>
      <c r="H105" s="3">
        <v>28000</v>
      </c>
      <c r="I105" s="2" t="s">
        <v>45</v>
      </c>
      <c r="J105" s="2" t="s">
        <v>18</v>
      </c>
      <c r="K105" s="2" t="s">
        <v>19</v>
      </c>
      <c r="L105" s="2">
        <v>23</v>
      </c>
    </row>
    <row r="106" spans="1:12" x14ac:dyDescent="0.35">
      <c r="A106" s="2" t="s">
        <v>309</v>
      </c>
      <c r="B106" s="2" t="s">
        <v>32</v>
      </c>
      <c r="C106" s="2" t="s">
        <v>72</v>
      </c>
      <c r="D106" s="3">
        <v>42067</v>
      </c>
      <c r="F106" s="2" t="s">
        <v>310</v>
      </c>
      <c r="G106" s="2" t="s">
        <v>29</v>
      </c>
      <c r="H106" s="3">
        <v>28958</v>
      </c>
      <c r="I106" s="2" t="s">
        <v>92</v>
      </c>
      <c r="J106" s="2" t="s">
        <v>18</v>
      </c>
      <c r="K106" s="2" t="s">
        <v>19</v>
      </c>
      <c r="L106" s="2">
        <v>20</v>
      </c>
    </row>
    <row r="107" spans="1:12" x14ac:dyDescent="0.35">
      <c r="A107" s="2" t="s">
        <v>311</v>
      </c>
      <c r="B107" s="2" t="s">
        <v>99</v>
      </c>
      <c r="C107" s="2" t="s">
        <v>158</v>
      </c>
      <c r="D107" s="3">
        <v>41962</v>
      </c>
      <c r="E107" s="3">
        <v>42695</v>
      </c>
      <c r="F107" s="2" t="s">
        <v>312</v>
      </c>
      <c r="G107" s="2" t="s">
        <v>29</v>
      </c>
      <c r="H107" s="3">
        <v>32912</v>
      </c>
      <c r="I107" s="2" t="s">
        <v>209</v>
      </c>
      <c r="J107" s="2" t="s">
        <v>51</v>
      </c>
      <c r="K107" s="2" t="s">
        <v>19</v>
      </c>
      <c r="L107" s="2">
        <v>17</v>
      </c>
    </row>
    <row r="108" spans="1:12" x14ac:dyDescent="0.35">
      <c r="A108" s="2" t="s">
        <v>313</v>
      </c>
      <c r="B108" s="2" t="s">
        <v>27</v>
      </c>
      <c r="C108" s="2" t="s">
        <v>78</v>
      </c>
      <c r="D108" s="3">
        <v>43862</v>
      </c>
      <c r="F108" s="2" t="s">
        <v>314</v>
      </c>
      <c r="G108" s="2" t="s">
        <v>144</v>
      </c>
      <c r="H108" s="3">
        <v>30967</v>
      </c>
      <c r="I108" s="2" t="s">
        <v>250</v>
      </c>
      <c r="J108" s="2" t="s">
        <v>18</v>
      </c>
      <c r="K108" s="2" t="s">
        <v>19</v>
      </c>
      <c r="L108" s="2">
        <v>18</v>
      </c>
    </row>
    <row r="109" spans="1:12" x14ac:dyDescent="0.35">
      <c r="A109" s="2" t="s">
        <v>315</v>
      </c>
      <c r="B109" s="2" t="s">
        <v>107</v>
      </c>
      <c r="C109" s="2" t="s">
        <v>78</v>
      </c>
      <c r="D109" s="3">
        <v>42375</v>
      </c>
      <c r="F109" s="2" t="s">
        <v>316</v>
      </c>
      <c r="G109" s="2" t="s">
        <v>16</v>
      </c>
      <c r="H109" s="3">
        <v>28834</v>
      </c>
      <c r="I109" s="2" t="s">
        <v>66</v>
      </c>
      <c r="J109" s="2" t="s">
        <v>18</v>
      </c>
      <c r="K109" s="2" t="s">
        <v>19</v>
      </c>
      <c r="L109" s="2">
        <v>23</v>
      </c>
    </row>
    <row r="110" spans="1:12" x14ac:dyDescent="0.35">
      <c r="A110" s="2" t="s">
        <v>317</v>
      </c>
      <c r="B110" s="2" t="s">
        <v>107</v>
      </c>
      <c r="C110" s="2" t="s">
        <v>173</v>
      </c>
      <c r="D110" s="3">
        <v>41576</v>
      </c>
      <c r="F110" s="2" t="s">
        <v>318</v>
      </c>
      <c r="G110" s="2" t="s">
        <v>39</v>
      </c>
      <c r="H110" s="3">
        <v>22598</v>
      </c>
      <c r="I110" s="2" t="s">
        <v>209</v>
      </c>
      <c r="J110" s="2" t="s">
        <v>18</v>
      </c>
      <c r="K110" s="2" t="s">
        <v>19</v>
      </c>
      <c r="L110" s="2">
        <v>11</v>
      </c>
    </row>
    <row r="111" spans="1:12" x14ac:dyDescent="0.35">
      <c r="A111" s="2" t="s">
        <v>319</v>
      </c>
      <c r="B111" s="2" t="s">
        <v>47</v>
      </c>
      <c r="C111" s="2" t="s">
        <v>64</v>
      </c>
      <c r="D111" s="3">
        <v>43560</v>
      </c>
      <c r="F111" s="2" t="s">
        <v>320</v>
      </c>
      <c r="G111" s="2" t="s">
        <v>284</v>
      </c>
      <c r="H111" s="3">
        <v>28144</v>
      </c>
      <c r="I111" s="2" t="s">
        <v>92</v>
      </c>
      <c r="J111" s="2" t="s">
        <v>18</v>
      </c>
      <c r="K111" s="2" t="s">
        <v>19</v>
      </c>
      <c r="L111" s="2">
        <v>3</v>
      </c>
    </row>
    <row r="112" spans="1:12" x14ac:dyDescent="0.35">
      <c r="A112" s="2" t="s">
        <v>321</v>
      </c>
      <c r="B112" s="2" t="s">
        <v>82</v>
      </c>
      <c r="C112" s="2" t="s">
        <v>78</v>
      </c>
      <c r="D112" s="3">
        <v>43893</v>
      </c>
      <c r="F112" s="2" t="s">
        <v>322</v>
      </c>
      <c r="G112" s="2" t="s">
        <v>60</v>
      </c>
      <c r="H112" s="3">
        <v>23308</v>
      </c>
      <c r="I112" s="2" t="s">
        <v>206</v>
      </c>
      <c r="J112" s="2" t="s">
        <v>18</v>
      </c>
      <c r="K112" s="2" t="s">
        <v>19</v>
      </c>
      <c r="L112" s="2">
        <v>9</v>
      </c>
    </row>
    <row r="113" spans="1:12" x14ac:dyDescent="0.35">
      <c r="A113" s="2" t="s">
        <v>323</v>
      </c>
      <c r="B113" s="2" t="s">
        <v>13</v>
      </c>
      <c r="C113" s="2" t="s">
        <v>83</v>
      </c>
      <c r="D113" s="3">
        <v>42669</v>
      </c>
      <c r="F113" s="2" t="s">
        <v>324</v>
      </c>
      <c r="G113" s="2" t="s">
        <v>29</v>
      </c>
      <c r="H113" s="3">
        <v>33383</v>
      </c>
      <c r="I113" s="2" t="s">
        <v>61</v>
      </c>
      <c r="J113" s="2" t="s">
        <v>18</v>
      </c>
      <c r="K113" s="2" t="s">
        <v>19</v>
      </c>
      <c r="L113" s="2">
        <v>14</v>
      </c>
    </row>
    <row r="114" spans="1:12" x14ac:dyDescent="0.35">
      <c r="A114" s="2" t="s">
        <v>325</v>
      </c>
      <c r="B114" s="2" t="s">
        <v>36</v>
      </c>
      <c r="C114" s="2" t="s">
        <v>158</v>
      </c>
      <c r="D114" s="3">
        <v>43008</v>
      </c>
      <c r="F114" s="2" t="s">
        <v>326</v>
      </c>
      <c r="G114" s="2" t="s">
        <v>212</v>
      </c>
      <c r="H114" s="3">
        <v>27328</v>
      </c>
      <c r="I114" s="2" t="s">
        <v>273</v>
      </c>
      <c r="J114" s="2" t="s">
        <v>18</v>
      </c>
      <c r="K114" s="2" t="s">
        <v>19</v>
      </c>
      <c r="L114" s="2">
        <v>21</v>
      </c>
    </row>
    <row r="115" spans="1:12" x14ac:dyDescent="0.35">
      <c r="A115" s="2" t="s">
        <v>327</v>
      </c>
      <c r="B115" s="2" t="s">
        <v>90</v>
      </c>
      <c r="C115" s="2" t="s">
        <v>53</v>
      </c>
      <c r="D115" s="3">
        <v>43457</v>
      </c>
      <c r="F115" s="2" t="s">
        <v>328</v>
      </c>
      <c r="G115" s="2" t="s">
        <v>104</v>
      </c>
      <c r="H115" s="3">
        <v>30062</v>
      </c>
      <c r="I115" s="2" t="s">
        <v>61</v>
      </c>
      <c r="J115" s="2" t="s">
        <v>18</v>
      </c>
      <c r="K115" s="2" t="s">
        <v>19</v>
      </c>
      <c r="L115" s="2">
        <v>3</v>
      </c>
    </row>
    <row r="116" spans="1:12" x14ac:dyDescent="0.35">
      <c r="A116" s="2" t="s">
        <v>329</v>
      </c>
      <c r="B116" s="2" t="s">
        <v>42</v>
      </c>
      <c r="C116" s="2" t="s">
        <v>53</v>
      </c>
      <c r="D116" s="3">
        <v>41941</v>
      </c>
      <c r="E116" s="3">
        <v>42509</v>
      </c>
      <c r="F116" s="2" t="s">
        <v>330</v>
      </c>
      <c r="G116" s="2" t="s">
        <v>156</v>
      </c>
      <c r="H116" s="3">
        <v>26581</v>
      </c>
      <c r="I116" s="2" t="s">
        <v>30</v>
      </c>
      <c r="J116" s="2" t="s">
        <v>51</v>
      </c>
      <c r="K116" s="2" t="s">
        <v>19</v>
      </c>
      <c r="L116" s="2">
        <v>2</v>
      </c>
    </row>
    <row r="117" spans="1:12" x14ac:dyDescent="0.35">
      <c r="A117" s="2" t="s">
        <v>331</v>
      </c>
      <c r="B117" s="2" t="s">
        <v>90</v>
      </c>
      <c r="C117" s="2" t="s">
        <v>14</v>
      </c>
      <c r="D117" s="3">
        <v>41744</v>
      </c>
      <c r="E117" s="3">
        <v>42323</v>
      </c>
      <c r="F117" s="2" t="s">
        <v>332</v>
      </c>
      <c r="G117" s="2" t="s">
        <v>29</v>
      </c>
      <c r="H117" s="3">
        <v>25146</v>
      </c>
      <c r="I117" s="2" t="s">
        <v>30</v>
      </c>
      <c r="J117" s="2" t="s">
        <v>51</v>
      </c>
      <c r="K117" s="2" t="s">
        <v>19</v>
      </c>
      <c r="L117" s="2">
        <v>8</v>
      </c>
    </row>
    <row r="118" spans="1:12" x14ac:dyDescent="0.35">
      <c r="A118" s="2" t="s">
        <v>333</v>
      </c>
      <c r="B118" s="2" t="s">
        <v>99</v>
      </c>
      <c r="C118" s="2" t="s">
        <v>72</v>
      </c>
      <c r="D118" s="3">
        <v>42281</v>
      </c>
      <c r="F118" s="2" t="s">
        <v>334</v>
      </c>
      <c r="G118" s="2" t="s">
        <v>104</v>
      </c>
      <c r="H118" s="3">
        <v>22792</v>
      </c>
      <c r="I118" s="2" t="s">
        <v>127</v>
      </c>
      <c r="J118" s="2" t="s">
        <v>18</v>
      </c>
      <c r="K118" s="2" t="s">
        <v>19</v>
      </c>
      <c r="L118" s="2">
        <v>11</v>
      </c>
    </row>
    <row r="119" spans="1:12" x14ac:dyDescent="0.35">
      <c r="A119" s="2" t="s">
        <v>335</v>
      </c>
      <c r="B119" s="2" t="s">
        <v>86</v>
      </c>
      <c r="C119" s="2" t="s">
        <v>140</v>
      </c>
      <c r="D119" s="3">
        <v>43663</v>
      </c>
      <c r="F119" s="2" t="s">
        <v>336</v>
      </c>
      <c r="G119" s="2" t="s">
        <v>166</v>
      </c>
      <c r="H119" s="3">
        <v>32161</v>
      </c>
      <c r="I119" s="2" t="s">
        <v>25</v>
      </c>
      <c r="J119" s="2" t="s">
        <v>18</v>
      </c>
      <c r="K119" s="2" t="s">
        <v>19</v>
      </c>
      <c r="L119" s="2">
        <v>8</v>
      </c>
    </row>
    <row r="120" spans="1:12" x14ac:dyDescent="0.35">
      <c r="A120" s="2" t="s">
        <v>337</v>
      </c>
      <c r="B120" s="2" t="s">
        <v>13</v>
      </c>
      <c r="C120" s="2" t="s">
        <v>53</v>
      </c>
      <c r="D120" s="3">
        <v>41758</v>
      </c>
      <c r="F120" s="2" t="s">
        <v>338</v>
      </c>
      <c r="G120" s="2" t="s">
        <v>136</v>
      </c>
      <c r="H120" s="3">
        <v>30655</v>
      </c>
      <c r="I120" s="2" t="s">
        <v>203</v>
      </c>
      <c r="J120" s="2" t="s">
        <v>18</v>
      </c>
      <c r="K120" s="2" t="s">
        <v>19</v>
      </c>
      <c r="L120" s="2">
        <v>6</v>
      </c>
    </row>
    <row r="121" spans="1:12" x14ac:dyDescent="0.35">
      <c r="A121" s="2" t="s">
        <v>339</v>
      </c>
      <c r="B121" s="2" t="s">
        <v>77</v>
      </c>
      <c r="C121" s="2" t="s">
        <v>188</v>
      </c>
      <c r="D121" s="3">
        <v>43234</v>
      </c>
      <c r="F121" s="2" t="s">
        <v>340</v>
      </c>
      <c r="G121" s="2" t="s">
        <v>166</v>
      </c>
      <c r="H121" s="3">
        <v>23873</v>
      </c>
      <c r="I121" s="2" t="s">
        <v>56</v>
      </c>
      <c r="J121" s="2" t="s">
        <v>18</v>
      </c>
      <c r="K121" s="2" t="s">
        <v>19</v>
      </c>
      <c r="L121" s="2">
        <v>10</v>
      </c>
    </row>
    <row r="122" spans="1:12" x14ac:dyDescent="0.35">
      <c r="A122" s="2" t="s">
        <v>341</v>
      </c>
      <c r="B122" s="2" t="s">
        <v>36</v>
      </c>
      <c r="C122" s="2" t="s">
        <v>83</v>
      </c>
      <c r="D122" s="3">
        <v>41110</v>
      </c>
      <c r="F122" s="2" t="s">
        <v>342</v>
      </c>
      <c r="G122" s="2" t="s">
        <v>284</v>
      </c>
      <c r="H122" s="3">
        <v>31478</v>
      </c>
      <c r="I122" s="2" t="s">
        <v>206</v>
      </c>
      <c r="J122" s="2" t="s">
        <v>18</v>
      </c>
      <c r="K122" s="2" t="s">
        <v>19</v>
      </c>
      <c r="L122" s="2">
        <v>11</v>
      </c>
    </row>
    <row r="123" spans="1:12" x14ac:dyDescent="0.35">
      <c r="A123" s="2" t="s">
        <v>343</v>
      </c>
      <c r="B123" s="2" t="s">
        <v>47</v>
      </c>
      <c r="C123" s="2" t="s">
        <v>53</v>
      </c>
      <c r="D123" s="3">
        <v>41415</v>
      </c>
      <c r="F123" s="2" t="s">
        <v>344</v>
      </c>
      <c r="G123" s="2" t="s">
        <v>278</v>
      </c>
      <c r="H123" s="3">
        <v>25093</v>
      </c>
      <c r="I123" s="2" t="s">
        <v>66</v>
      </c>
      <c r="J123" s="2" t="s">
        <v>18</v>
      </c>
      <c r="K123" s="2" t="s">
        <v>19</v>
      </c>
      <c r="L123" s="2">
        <v>12</v>
      </c>
    </row>
    <row r="124" spans="1:12" x14ac:dyDescent="0.35">
      <c r="A124" s="2" t="s">
        <v>345</v>
      </c>
      <c r="B124" s="2" t="s">
        <v>68</v>
      </c>
      <c r="C124" s="2" t="s">
        <v>64</v>
      </c>
      <c r="D124" s="3">
        <v>41384</v>
      </c>
      <c r="F124" s="2" t="s">
        <v>346</v>
      </c>
      <c r="G124" s="2" t="s">
        <v>278</v>
      </c>
      <c r="H124" s="3">
        <v>34221</v>
      </c>
      <c r="I124" s="2" t="s">
        <v>109</v>
      </c>
      <c r="J124" s="2" t="s">
        <v>18</v>
      </c>
      <c r="K124" s="2" t="s">
        <v>19</v>
      </c>
      <c r="L124" s="2">
        <v>5</v>
      </c>
    </row>
    <row r="125" spans="1:12" x14ac:dyDescent="0.35">
      <c r="A125" s="2" t="s">
        <v>347</v>
      </c>
      <c r="B125" s="2" t="s">
        <v>90</v>
      </c>
      <c r="C125" s="2" t="s">
        <v>102</v>
      </c>
      <c r="D125" s="3">
        <v>44333</v>
      </c>
      <c r="F125" s="2" t="s">
        <v>348</v>
      </c>
      <c r="G125" s="2" t="s">
        <v>166</v>
      </c>
      <c r="H125" s="3">
        <v>25715</v>
      </c>
      <c r="I125" s="2" t="s">
        <v>206</v>
      </c>
      <c r="J125" s="2" t="s">
        <v>18</v>
      </c>
      <c r="K125" s="2" t="s">
        <v>19</v>
      </c>
      <c r="L125" s="2">
        <v>2</v>
      </c>
    </row>
    <row r="126" spans="1:12" x14ac:dyDescent="0.35">
      <c r="A126" s="2" t="s">
        <v>349</v>
      </c>
      <c r="B126" s="2" t="s">
        <v>119</v>
      </c>
      <c r="C126" s="2" t="s">
        <v>120</v>
      </c>
      <c r="D126" s="3">
        <v>43624</v>
      </c>
      <c r="F126" s="2" t="s">
        <v>350</v>
      </c>
      <c r="G126" s="2" t="s">
        <v>151</v>
      </c>
      <c r="H126" s="3">
        <v>33017</v>
      </c>
      <c r="I126" s="2" t="s">
        <v>105</v>
      </c>
      <c r="J126" s="2" t="s">
        <v>18</v>
      </c>
      <c r="K126" s="2" t="s">
        <v>19</v>
      </c>
      <c r="L126" s="2">
        <v>17</v>
      </c>
    </row>
    <row r="127" spans="1:12" x14ac:dyDescent="0.35">
      <c r="A127" s="2" t="s">
        <v>351</v>
      </c>
      <c r="B127" s="2" t="s">
        <v>63</v>
      </c>
      <c r="C127" s="2" t="s">
        <v>102</v>
      </c>
      <c r="D127" s="3">
        <v>41196</v>
      </c>
      <c r="F127" s="2" t="s">
        <v>352</v>
      </c>
      <c r="G127" s="2" t="s">
        <v>104</v>
      </c>
      <c r="H127" s="3">
        <v>29632</v>
      </c>
      <c r="I127" s="2" t="s">
        <v>66</v>
      </c>
      <c r="J127" s="2" t="s">
        <v>18</v>
      </c>
      <c r="K127" s="2" t="s">
        <v>19</v>
      </c>
      <c r="L127" s="2">
        <v>25</v>
      </c>
    </row>
    <row r="128" spans="1:12" x14ac:dyDescent="0.35">
      <c r="A128" s="2" t="s">
        <v>353</v>
      </c>
      <c r="B128" s="2" t="s">
        <v>90</v>
      </c>
      <c r="C128" s="2" t="s">
        <v>64</v>
      </c>
      <c r="D128" s="3">
        <v>44431</v>
      </c>
      <c r="F128" s="2" t="s">
        <v>354</v>
      </c>
      <c r="G128" s="2" t="s">
        <v>104</v>
      </c>
      <c r="H128" s="3">
        <v>23461</v>
      </c>
      <c r="I128" s="2" t="s">
        <v>45</v>
      </c>
      <c r="J128" s="2" t="s">
        <v>18</v>
      </c>
      <c r="K128" s="2" t="s">
        <v>19</v>
      </c>
      <c r="L128" s="2">
        <v>15</v>
      </c>
    </row>
    <row r="129" spans="1:12" x14ac:dyDescent="0.35">
      <c r="A129" s="2" t="s">
        <v>355</v>
      </c>
      <c r="B129" s="2" t="s">
        <v>185</v>
      </c>
      <c r="C129" s="2" t="s">
        <v>90</v>
      </c>
      <c r="D129" s="3">
        <v>41265</v>
      </c>
      <c r="F129" s="2" t="s">
        <v>356</v>
      </c>
      <c r="G129" s="2" t="s">
        <v>212</v>
      </c>
      <c r="H129" s="3">
        <v>27357</v>
      </c>
      <c r="I129" s="2" t="s">
        <v>206</v>
      </c>
      <c r="J129" s="2" t="s">
        <v>18</v>
      </c>
      <c r="K129" s="2" t="s">
        <v>19</v>
      </c>
      <c r="L129" s="2">
        <v>7</v>
      </c>
    </row>
    <row r="130" spans="1:12" x14ac:dyDescent="0.35">
      <c r="A130" s="2" t="s">
        <v>357</v>
      </c>
      <c r="B130" s="2" t="s">
        <v>68</v>
      </c>
      <c r="C130" s="2" t="s">
        <v>120</v>
      </c>
      <c r="D130" s="3">
        <v>43270</v>
      </c>
      <c r="F130" s="2" t="s">
        <v>358</v>
      </c>
      <c r="G130" s="2" t="s">
        <v>88</v>
      </c>
      <c r="H130" s="3">
        <v>31302</v>
      </c>
      <c r="I130" s="2" t="s">
        <v>203</v>
      </c>
      <c r="J130" s="2" t="s">
        <v>18</v>
      </c>
      <c r="K130" s="2" t="s">
        <v>19</v>
      </c>
      <c r="L130" s="2">
        <v>6</v>
      </c>
    </row>
    <row r="131" spans="1:12" x14ac:dyDescent="0.35">
      <c r="A131" s="2" t="s">
        <v>359</v>
      </c>
      <c r="B131" s="2" t="s">
        <v>58</v>
      </c>
      <c r="C131" s="2" t="s">
        <v>360</v>
      </c>
      <c r="D131" s="3">
        <v>42919</v>
      </c>
      <c r="F131" s="2" t="s">
        <v>361</v>
      </c>
      <c r="G131" s="2" t="s">
        <v>126</v>
      </c>
      <c r="H131" s="3">
        <v>23924</v>
      </c>
      <c r="I131" s="2" t="s">
        <v>61</v>
      </c>
      <c r="J131" s="2" t="s">
        <v>18</v>
      </c>
      <c r="K131" s="2" t="s">
        <v>19</v>
      </c>
      <c r="L131" s="2">
        <v>14</v>
      </c>
    </row>
    <row r="132" spans="1:12" x14ac:dyDescent="0.35">
      <c r="A132" s="2" t="s">
        <v>362</v>
      </c>
      <c r="B132" s="2" t="s">
        <v>191</v>
      </c>
      <c r="C132" s="2" t="s">
        <v>37</v>
      </c>
      <c r="D132" s="3">
        <v>43466</v>
      </c>
      <c r="E132" s="3">
        <v>44244</v>
      </c>
      <c r="F132" s="2" t="s">
        <v>363</v>
      </c>
      <c r="G132" s="2" t="s">
        <v>116</v>
      </c>
      <c r="H132" s="3">
        <v>28007</v>
      </c>
      <c r="I132" s="2" t="s">
        <v>105</v>
      </c>
      <c r="J132" s="2" t="s">
        <v>51</v>
      </c>
      <c r="K132" s="2" t="s">
        <v>19</v>
      </c>
      <c r="L132" s="2">
        <v>19</v>
      </c>
    </row>
    <row r="133" spans="1:12" x14ac:dyDescent="0.35">
      <c r="A133" s="2" t="s">
        <v>364</v>
      </c>
      <c r="B133" s="2" t="s">
        <v>99</v>
      </c>
      <c r="C133" s="2" t="s">
        <v>64</v>
      </c>
      <c r="D133" s="3">
        <v>44291</v>
      </c>
      <c r="F133" s="2" t="s">
        <v>365</v>
      </c>
      <c r="G133" s="2" t="s">
        <v>74</v>
      </c>
      <c r="H133" s="3">
        <v>32681</v>
      </c>
      <c r="I133" s="2" t="s">
        <v>206</v>
      </c>
      <c r="J133" s="2" t="s">
        <v>18</v>
      </c>
      <c r="K133" s="2" t="s">
        <v>19</v>
      </c>
      <c r="L133" s="2">
        <v>24</v>
      </c>
    </row>
    <row r="134" spans="1:12" x14ac:dyDescent="0.35">
      <c r="A134" s="2" t="s">
        <v>366</v>
      </c>
      <c r="B134" s="2" t="s">
        <v>36</v>
      </c>
      <c r="C134" s="2" t="s">
        <v>53</v>
      </c>
      <c r="D134" s="3">
        <v>43698</v>
      </c>
      <c r="F134" s="2" t="s">
        <v>367</v>
      </c>
      <c r="G134" s="2" t="s">
        <v>74</v>
      </c>
      <c r="H134" s="3">
        <v>28046</v>
      </c>
      <c r="I134" s="2" t="s">
        <v>105</v>
      </c>
      <c r="J134" s="2" t="s">
        <v>18</v>
      </c>
      <c r="K134" s="2" t="s">
        <v>19</v>
      </c>
      <c r="L134" s="2">
        <v>9</v>
      </c>
    </row>
    <row r="135" spans="1:12" x14ac:dyDescent="0.35">
      <c r="A135" s="2" t="s">
        <v>368</v>
      </c>
      <c r="B135" s="2" t="s">
        <v>191</v>
      </c>
      <c r="C135" s="2" t="s">
        <v>72</v>
      </c>
      <c r="D135" s="3">
        <v>42239</v>
      </c>
      <c r="F135" s="2" t="s">
        <v>369</v>
      </c>
      <c r="G135" s="2" t="s">
        <v>74</v>
      </c>
      <c r="H135" s="3">
        <v>30369</v>
      </c>
      <c r="I135" s="2" t="s">
        <v>75</v>
      </c>
      <c r="J135" s="2" t="s">
        <v>18</v>
      </c>
      <c r="K135" s="2" t="s">
        <v>19</v>
      </c>
      <c r="L135" s="2">
        <v>18</v>
      </c>
    </row>
    <row r="136" spans="1:12" x14ac:dyDescent="0.35">
      <c r="A136" s="2" t="s">
        <v>370</v>
      </c>
      <c r="B136" s="2" t="s">
        <v>58</v>
      </c>
      <c r="C136" s="2" t="s">
        <v>72</v>
      </c>
      <c r="D136" s="3">
        <v>40973</v>
      </c>
      <c r="E136" s="3">
        <v>41673</v>
      </c>
      <c r="F136" s="2" t="s">
        <v>371</v>
      </c>
      <c r="G136" s="2" t="s">
        <v>104</v>
      </c>
      <c r="H136" s="3">
        <v>27242</v>
      </c>
      <c r="I136" s="2" t="s">
        <v>50</v>
      </c>
      <c r="J136" s="2" t="s">
        <v>51</v>
      </c>
      <c r="K136" s="2" t="s">
        <v>19</v>
      </c>
      <c r="L136" s="2">
        <v>19</v>
      </c>
    </row>
    <row r="137" spans="1:12" x14ac:dyDescent="0.35">
      <c r="A137" s="2" t="s">
        <v>372</v>
      </c>
      <c r="B137" s="2" t="s">
        <v>86</v>
      </c>
      <c r="C137" s="2" t="s">
        <v>22</v>
      </c>
      <c r="D137" s="3">
        <v>41622</v>
      </c>
      <c r="E137" s="3">
        <v>41992</v>
      </c>
      <c r="F137" s="2" t="s">
        <v>373</v>
      </c>
      <c r="G137" s="2" t="s">
        <v>126</v>
      </c>
      <c r="H137" s="3">
        <v>34870</v>
      </c>
      <c r="I137" s="2" t="s">
        <v>17</v>
      </c>
      <c r="J137" s="2" t="s">
        <v>51</v>
      </c>
      <c r="K137" s="2" t="s">
        <v>19</v>
      </c>
      <c r="L137" s="2">
        <v>23</v>
      </c>
    </row>
    <row r="138" spans="1:12" x14ac:dyDescent="0.35">
      <c r="A138" s="2" t="s">
        <v>374</v>
      </c>
      <c r="B138" s="2" t="s">
        <v>68</v>
      </c>
      <c r="C138" s="2" t="s">
        <v>173</v>
      </c>
      <c r="D138" s="3">
        <v>43274</v>
      </c>
      <c r="E138" s="3">
        <v>43523</v>
      </c>
      <c r="F138" s="2" t="s">
        <v>375</v>
      </c>
      <c r="G138" s="2" t="s">
        <v>96</v>
      </c>
      <c r="H138" s="3">
        <v>27336</v>
      </c>
      <c r="I138" s="2" t="s">
        <v>113</v>
      </c>
      <c r="J138" s="2" t="s">
        <v>51</v>
      </c>
      <c r="K138" s="2" t="s">
        <v>19</v>
      </c>
      <c r="L138" s="2">
        <v>13</v>
      </c>
    </row>
    <row r="139" spans="1:12" x14ac:dyDescent="0.35">
      <c r="A139" s="2" t="s">
        <v>376</v>
      </c>
      <c r="B139" s="2" t="s">
        <v>13</v>
      </c>
      <c r="C139" s="2" t="s">
        <v>90</v>
      </c>
      <c r="D139" s="3">
        <v>43692</v>
      </c>
      <c r="F139" s="2" t="s">
        <v>377</v>
      </c>
      <c r="G139" s="2" t="s">
        <v>156</v>
      </c>
      <c r="H139" s="3">
        <v>32852</v>
      </c>
      <c r="I139" s="2" t="s">
        <v>75</v>
      </c>
      <c r="J139" s="2" t="s">
        <v>18</v>
      </c>
      <c r="K139" s="2" t="s">
        <v>19</v>
      </c>
      <c r="L139" s="2">
        <v>4</v>
      </c>
    </row>
    <row r="140" spans="1:12" x14ac:dyDescent="0.35">
      <c r="A140" s="2" t="s">
        <v>378</v>
      </c>
      <c r="B140" s="2" t="s">
        <v>63</v>
      </c>
      <c r="C140" s="2" t="s">
        <v>173</v>
      </c>
      <c r="D140" s="3">
        <v>41878</v>
      </c>
      <c r="F140" s="2" t="s">
        <v>379</v>
      </c>
      <c r="G140" s="2" t="s">
        <v>144</v>
      </c>
      <c r="H140" s="3">
        <v>31448</v>
      </c>
      <c r="I140" s="2" t="s">
        <v>219</v>
      </c>
      <c r="J140" s="2" t="s">
        <v>18</v>
      </c>
      <c r="K140" s="2" t="s">
        <v>19</v>
      </c>
      <c r="L140" s="2">
        <v>14</v>
      </c>
    </row>
    <row r="141" spans="1:12" x14ac:dyDescent="0.35">
      <c r="A141" s="2" t="s">
        <v>380</v>
      </c>
      <c r="B141" s="2" t="s">
        <v>82</v>
      </c>
      <c r="C141" s="2" t="s">
        <v>280</v>
      </c>
      <c r="D141" s="3">
        <v>42518</v>
      </c>
      <c r="E141" s="3">
        <v>43281</v>
      </c>
      <c r="F141" s="2" t="s">
        <v>381</v>
      </c>
      <c r="G141" s="2" t="s">
        <v>144</v>
      </c>
      <c r="H141" s="3">
        <v>22656</v>
      </c>
      <c r="I141" s="2" t="s">
        <v>70</v>
      </c>
      <c r="J141" s="2" t="s">
        <v>51</v>
      </c>
      <c r="K141" s="2" t="s">
        <v>19</v>
      </c>
      <c r="L141" s="2">
        <v>25</v>
      </c>
    </row>
    <row r="142" spans="1:12" x14ac:dyDescent="0.35">
      <c r="A142" s="2" t="s">
        <v>382</v>
      </c>
      <c r="B142" s="2" t="s">
        <v>90</v>
      </c>
      <c r="C142" s="2" t="s">
        <v>53</v>
      </c>
      <c r="D142" s="3">
        <v>42942</v>
      </c>
      <c r="F142" s="2" t="s">
        <v>383</v>
      </c>
      <c r="G142" s="2" t="s">
        <v>151</v>
      </c>
      <c r="H142" s="3">
        <v>33273</v>
      </c>
      <c r="I142" s="2" t="s">
        <v>70</v>
      </c>
      <c r="J142" s="2" t="s">
        <v>18</v>
      </c>
      <c r="K142" s="2" t="s">
        <v>19</v>
      </c>
      <c r="L142" s="2">
        <v>3</v>
      </c>
    </row>
    <row r="143" spans="1:12" x14ac:dyDescent="0.35">
      <c r="A143" s="2" t="s">
        <v>384</v>
      </c>
      <c r="B143" s="2" t="s">
        <v>185</v>
      </c>
      <c r="C143" s="2" t="s">
        <v>90</v>
      </c>
      <c r="D143" s="3">
        <v>40939</v>
      </c>
      <c r="F143" s="2" t="s">
        <v>385</v>
      </c>
      <c r="G143" s="2" t="s">
        <v>166</v>
      </c>
      <c r="H143" s="3">
        <v>27642</v>
      </c>
      <c r="I143" s="2" t="s">
        <v>70</v>
      </c>
      <c r="J143" s="2" t="s">
        <v>18</v>
      </c>
      <c r="K143" s="2" t="s">
        <v>19</v>
      </c>
      <c r="L143" s="2">
        <v>15</v>
      </c>
    </row>
    <row r="144" spans="1:12" x14ac:dyDescent="0.35">
      <c r="A144" s="2" t="s">
        <v>386</v>
      </c>
      <c r="B144" s="2" t="s">
        <v>191</v>
      </c>
      <c r="C144" s="2" t="s">
        <v>120</v>
      </c>
      <c r="D144" s="3">
        <v>41929</v>
      </c>
      <c r="F144" s="2" t="s">
        <v>387</v>
      </c>
      <c r="G144" s="2" t="s">
        <v>116</v>
      </c>
      <c r="H144" s="3">
        <v>30906</v>
      </c>
      <c r="I144" s="2" t="s">
        <v>70</v>
      </c>
      <c r="J144" s="2" t="s">
        <v>18</v>
      </c>
      <c r="K144" s="2" t="s">
        <v>19</v>
      </c>
      <c r="L144" s="2">
        <v>2</v>
      </c>
    </row>
    <row r="145" spans="1:12" x14ac:dyDescent="0.35">
      <c r="A145" s="2" t="s">
        <v>388</v>
      </c>
      <c r="B145" s="2" t="s">
        <v>47</v>
      </c>
      <c r="C145" s="2" t="s">
        <v>64</v>
      </c>
      <c r="D145" s="3">
        <v>42683</v>
      </c>
      <c r="F145" s="2" t="s">
        <v>389</v>
      </c>
      <c r="G145" s="2" t="s">
        <v>151</v>
      </c>
      <c r="H145" s="3">
        <v>34534</v>
      </c>
      <c r="I145" s="2" t="s">
        <v>206</v>
      </c>
      <c r="J145" s="2" t="s">
        <v>18</v>
      </c>
      <c r="K145" s="2" t="s">
        <v>19</v>
      </c>
      <c r="L145" s="2">
        <v>16</v>
      </c>
    </row>
    <row r="146" spans="1:12" x14ac:dyDescent="0.35">
      <c r="A146" s="2" t="s">
        <v>390</v>
      </c>
      <c r="B146" s="2" t="s">
        <v>86</v>
      </c>
      <c r="C146" s="2" t="s">
        <v>14</v>
      </c>
      <c r="D146" s="3">
        <v>43977</v>
      </c>
      <c r="F146" s="2" t="s">
        <v>391</v>
      </c>
      <c r="G146" s="2" t="s">
        <v>166</v>
      </c>
      <c r="H146" s="3">
        <v>25405</v>
      </c>
      <c r="I146" s="2" t="s">
        <v>61</v>
      </c>
      <c r="J146" s="2" t="s">
        <v>18</v>
      </c>
      <c r="K146" s="2" t="s">
        <v>19</v>
      </c>
      <c r="L146" s="2">
        <v>4</v>
      </c>
    </row>
    <row r="147" spans="1:12" x14ac:dyDescent="0.35">
      <c r="A147" s="2" t="s">
        <v>392</v>
      </c>
      <c r="B147" s="2" t="s">
        <v>77</v>
      </c>
      <c r="C147" s="2" t="s">
        <v>64</v>
      </c>
      <c r="D147" s="3">
        <v>43478</v>
      </c>
      <c r="F147" s="2" t="s">
        <v>393</v>
      </c>
      <c r="G147" s="2" t="s">
        <v>74</v>
      </c>
      <c r="H147" s="3">
        <v>24339</v>
      </c>
      <c r="I147" s="2" t="s">
        <v>203</v>
      </c>
      <c r="J147" s="2" t="s">
        <v>18</v>
      </c>
      <c r="K147" s="2" t="s">
        <v>19</v>
      </c>
      <c r="L147" s="2">
        <v>12</v>
      </c>
    </row>
    <row r="148" spans="1:12" x14ac:dyDescent="0.35">
      <c r="A148" s="2" t="s">
        <v>394</v>
      </c>
      <c r="B148" s="2" t="s">
        <v>82</v>
      </c>
      <c r="C148" s="2" t="s">
        <v>94</v>
      </c>
      <c r="D148" s="3">
        <v>43991</v>
      </c>
      <c r="F148" s="2" t="s">
        <v>395</v>
      </c>
      <c r="G148" s="2" t="s">
        <v>284</v>
      </c>
      <c r="H148" s="3">
        <v>31534</v>
      </c>
      <c r="I148" s="2" t="s">
        <v>203</v>
      </c>
      <c r="J148" s="2" t="s">
        <v>18</v>
      </c>
      <c r="K148" s="2" t="s">
        <v>19</v>
      </c>
      <c r="L148" s="2">
        <v>20</v>
      </c>
    </row>
    <row r="149" spans="1:12" x14ac:dyDescent="0.35">
      <c r="A149" s="2" t="s">
        <v>396</v>
      </c>
      <c r="B149" s="2" t="s">
        <v>99</v>
      </c>
      <c r="C149" s="2" t="s">
        <v>140</v>
      </c>
      <c r="D149" s="3">
        <v>43552</v>
      </c>
      <c r="F149" s="2" t="s">
        <v>397</v>
      </c>
      <c r="G149" s="2" t="s">
        <v>74</v>
      </c>
      <c r="H149" s="3">
        <v>30421</v>
      </c>
      <c r="I149" s="2" t="s">
        <v>17</v>
      </c>
      <c r="J149" s="2" t="s">
        <v>18</v>
      </c>
      <c r="K149" s="2" t="s">
        <v>19</v>
      </c>
      <c r="L149" s="2">
        <v>15</v>
      </c>
    </row>
    <row r="150" spans="1:12" x14ac:dyDescent="0.35">
      <c r="A150" s="2" t="s">
        <v>398</v>
      </c>
      <c r="B150" s="2" t="s">
        <v>191</v>
      </c>
      <c r="C150" s="2" t="s">
        <v>78</v>
      </c>
      <c r="D150" s="3">
        <v>41511</v>
      </c>
      <c r="F150" s="2" t="s">
        <v>399</v>
      </c>
      <c r="G150" s="2" t="s">
        <v>112</v>
      </c>
      <c r="H150" s="3">
        <v>32261</v>
      </c>
      <c r="I150" s="2" t="s">
        <v>113</v>
      </c>
      <c r="J150" s="2" t="s">
        <v>18</v>
      </c>
      <c r="K150" s="2" t="s">
        <v>19</v>
      </c>
      <c r="L150" s="2">
        <v>20</v>
      </c>
    </row>
    <row r="151" spans="1:12" x14ac:dyDescent="0.35">
      <c r="A151" s="2" t="s">
        <v>400</v>
      </c>
      <c r="B151" s="2" t="s">
        <v>42</v>
      </c>
      <c r="C151" s="2" t="s">
        <v>22</v>
      </c>
      <c r="D151" s="3">
        <v>42263</v>
      </c>
      <c r="F151" s="2" t="s">
        <v>401</v>
      </c>
      <c r="G151" s="2" t="s">
        <v>212</v>
      </c>
      <c r="H151" s="3">
        <v>30369</v>
      </c>
      <c r="I151" s="2" t="s">
        <v>25</v>
      </c>
      <c r="J151" s="2" t="s">
        <v>18</v>
      </c>
      <c r="K151" s="2" t="s">
        <v>19</v>
      </c>
      <c r="L151" s="2">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A15E9-D0F1-4FEB-A81B-3FA2BECD1AE8}">
  <dimension ref="A1:I4465"/>
  <sheetViews>
    <sheetView workbookViewId="0"/>
  </sheetViews>
  <sheetFormatPr defaultRowHeight="14.5" x14ac:dyDescent="0.35"/>
  <cols>
    <col min="1" max="1" width="10.54296875" bestFit="1" customWidth="1"/>
    <col min="2" max="2" width="9.453125" style="1" bestFit="1" customWidth="1"/>
    <col min="3" max="3" width="16.90625" bestFit="1" customWidth="1"/>
    <col min="4" max="4" width="12.453125" bestFit="1" customWidth="1"/>
    <col min="5" max="5" width="14.90625" bestFit="1" customWidth="1"/>
    <col min="6" max="6" width="14.26953125" bestFit="1" customWidth="1"/>
    <col min="7" max="7" width="18.1796875" style="8" bestFit="1" customWidth="1"/>
    <col min="8" max="8" width="22.26953125" style="13" bestFit="1" customWidth="1"/>
    <col min="9" max="9" width="19.6328125" style="12" bestFit="1" customWidth="1"/>
  </cols>
  <sheetData>
    <row r="1" spans="1:9" x14ac:dyDescent="0.35">
      <c r="A1" t="s">
        <v>0</v>
      </c>
      <c r="B1" s="1" t="s">
        <v>402</v>
      </c>
      <c r="C1" t="s">
        <v>403</v>
      </c>
      <c r="D1" t="s">
        <v>404</v>
      </c>
      <c r="E1" t="s">
        <v>405</v>
      </c>
      <c r="F1" t="s">
        <v>406</v>
      </c>
      <c r="G1" s="8" t="s">
        <v>407</v>
      </c>
      <c r="H1" s="13" t="s">
        <v>408</v>
      </c>
      <c r="I1" s="12" t="s">
        <v>409</v>
      </c>
    </row>
    <row r="2" spans="1:9" x14ac:dyDescent="0.35">
      <c r="A2" s="2" t="s">
        <v>12</v>
      </c>
      <c r="B2" s="3">
        <v>44562</v>
      </c>
      <c r="C2" s="2">
        <v>26</v>
      </c>
      <c r="D2" s="2">
        <v>36620</v>
      </c>
      <c r="E2" s="17">
        <v>79141.59</v>
      </c>
      <c r="F2" s="11">
        <v>6.61</v>
      </c>
      <c r="G2" s="9">
        <v>5574.7</v>
      </c>
      <c r="H2" s="10">
        <v>0.38500000000000001</v>
      </c>
      <c r="I2" s="11">
        <v>8.1999999999999993</v>
      </c>
    </row>
    <row r="3" spans="1:9" x14ac:dyDescent="0.35">
      <c r="A3" s="2" t="s">
        <v>12</v>
      </c>
      <c r="B3" s="3">
        <v>44593</v>
      </c>
      <c r="C3" s="2">
        <v>9</v>
      </c>
      <c r="D3" s="2">
        <v>13515</v>
      </c>
      <c r="E3" s="17">
        <v>27133.87</v>
      </c>
      <c r="F3" s="11">
        <v>6.69</v>
      </c>
      <c r="G3" s="9">
        <v>2095.1</v>
      </c>
      <c r="H3" s="10">
        <v>0.33300000000000002</v>
      </c>
      <c r="I3" s="11">
        <v>6.8</v>
      </c>
    </row>
    <row r="4" spans="1:9" x14ac:dyDescent="0.35">
      <c r="A4" s="2" t="s">
        <v>12</v>
      </c>
      <c r="B4" s="3">
        <v>44621</v>
      </c>
      <c r="C4" s="2">
        <v>20</v>
      </c>
      <c r="D4" s="2">
        <v>30361</v>
      </c>
      <c r="E4" s="17">
        <v>62399.62</v>
      </c>
      <c r="F4" s="11">
        <v>6.36</v>
      </c>
      <c r="G4" s="9">
        <v>4792.2</v>
      </c>
      <c r="H4" s="10">
        <v>0.55000000000000004</v>
      </c>
      <c r="I4" s="11">
        <v>7.5</v>
      </c>
    </row>
    <row r="5" spans="1:9" x14ac:dyDescent="0.35">
      <c r="A5" s="2" t="s">
        <v>12</v>
      </c>
      <c r="B5" s="3">
        <v>44652</v>
      </c>
      <c r="C5" s="2">
        <v>19</v>
      </c>
      <c r="D5" s="2">
        <v>28127</v>
      </c>
      <c r="E5" s="17">
        <v>68161.13</v>
      </c>
      <c r="F5" s="11">
        <v>6.61</v>
      </c>
      <c r="G5" s="9">
        <v>4251.3999999999996</v>
      </c>
      <c r="H5" s="10">
        <v>0.47399999999999998</v>
      </c>
      <c r="I5" s="11">
        <v>8.4</v>
      </c>
    </row>
    <row r="6" spans="1:9" x14ac:dyDescent="0.35">
      <c r="A6" s="2" t="s">
        <v>12</v>
      </c>
      <c r="B6" s="3">
        <v>44682</v>
      </c>
      <c r="C6" s="2">
        <v>14</v>
      </c>
      <c r="D6" s="2">
        <v>16071</v>
      </c>
      <c r="E6" s="17">
        <v>36256.82</v>
      </c>
      <c r="F6" s="11">
        <v>6.35</v>
      </c>
      <c r="G6" s="9">
        <v>2573.1</v>
      </c>
      <c r="H6" s="10">
        <v>0.214</v>
      </c>
      <c r="I6" s="11">
        <v>6.8</v>
      </c>
    </row>
    <row r="7" spans="1:9" x14ac:dyDescent="0.35">
      <c r="A7" s="2" t="s">
        <v>12</v>
      </c>
      <c r="B7" s="3">
        <v>44713</v>
      </c>
      <c r="C7" s="2">
        <v>13</v>
      </c>
      <c r="D7" s="2">
        <v>17291</v>
      </c>
      <c r="E7" s="17">
        <v>39709.910000000003</v>
      </c>
      <c r="F7" s="11">
        <v>6.38</v>
      </c>
      <c r="G7" s="9">
        <v>2767.8</v>
      </c>
      <c r="H7" s="10">
        <v>0.61499999999999999</v>
      </c>
      <c r="I7" s="11">
        <v>5.5</v>
      </c>
    </row>
    <row r="8" spans="1:9" x14ac:dyDescent="0.35">
      <c r="A8" s="2" t="s">
        <v>12</v>
      </c>
      <c r="B8" s="3">
        <v>44743</v>
      </c>
      <c r="C8" s="2">
        <v>21</v>
      </c>
      <c r="D8" s="2">
        <v>32772</v>
      </c>
      <c r="E8" s="17">
        <v>66855.240000000005</v>
      </c>
      <c r="F8" s="11">
        <v>6.41</v>
      </c>
      <c r="G8" s="9">
        <v>5198.6000000000004</v>
      </c>
      <c r="H8" s="10">
        <v>0.47599999999999998</v>
      </c>
      <c r="I8" s="11">
        <v>7.5</v>
      </c>
    </row>
    <row r="9" spans="1:9" x14ac:dyDescent="0.35">
      <c r="A9" s="2" t="s">
        <v>12</v>
      </c>
      <c r="B9" s="3">
        <v>44774</v>
      </c>
      <c r="C9" s="2">
        <v>20</v>
      </c>
      <c r="D9" s="2">
        <v>27010</v>
      </c>
      <c r="E9" s="17">
        <v>58514.48</v>
      </c>
      <c r="F9" s="11">
        <v>6.35</v>
      </c>
      <c r="G9" s="9">
        <v>4331.8999999999996</v>
      </c>
      <c r="H9" s="10">
        <v>0.45</v>
      </c>
      <c r="I9" s="11">
        <v>5.8</v>
      </c>
    </row>
    <row r="10" spans="1:9" x14ac:dyDescent="0.35">
      <c r="A10" s="2" t="s">
        <v>12</v>
      </c>
      <c r="B10" s="3">
        <v>44805</v>
      </c>
      <c r="C10" s="2">
        <v>20</v>
      </c>
      <c r="D10" s="2">
        <v>30866</v>
      </c>
      <c r="E10" s="17">
        <v>72027.990000000005</v>
      </c>
      <c r="F10" s="11">
        <v>6.21</v>
      </c>
      <c r="G10" s="9">
        <v>4984.8999999999996</v>
      </c>
      <c r="H10" s="10">
        <v>0.55000000000000004</v>
      </c>
      <c r="I10" s="11">
        <v>5.8</v>
      </c>
    </row>
    <row r="11" spans="1:9" x14ac:dyDescent="0.35">
      <c r="A11" s="2" t="s">
        <v>12</v>
      </c>
      <c r="B11" s="3">
        <v>44835</v>
      </c>
      <c r="C11" s="2">
        <v>12</v>
      </c>
      <c r="D11" s="2">
        <v>23943</v>
      </c>
      <c r="E11" s="17">
        <v>53495.8</v>
      </c>
      <c r="F11" s="11">
        <v>6.26</v>
      </c>
      <c r="G11" s="9">
        <v>3832.4</v>
      </c>
      <c r="H11" s="10">
        <v>0.33300000000000002</v>
      </c>
      <c r="I11" s="11">
        <v>7</v>
      </c>
    </row>
    <row r="12" spans="1:9" x14ac:dyDescent="0.35">
      <c r="A12" s="2" t="s">
        <v>12</v>
      </c>
      <c r="B12" s="3">
        <v>44866</v>
      </c>
      <c r="C12" s="2">
        <v>16</v>
      </c>
      <c r="D12" s="2">
        <v>21223</v>
      </c>
      <c r="E12" s="17">
        <v>43790.85</v>
      </c>
      <c r="F12" s="11">
        <v>6.28</v>
      </c>
      <c r="G12" s="9">
        <v>3401.1</v>
      </c>
      <c r="H12" s="10">
        <v>0.5</v>
      </c>
      <c r="I12" s="11">
        <v>7.8</v>
      </c>
    </row>
    <row r="13" spans="1:9" x14ac:dyDescent="0.35">
      <c r="A13" s="2" t="s">
        <v>12</v>
      </c>
      <c r="B13" s="3">
        <v>44896</v>
      </c>
      <c r="C13" s="2">
        <v>16</v>
      </c>
      <c r="D13" s="2">
        <v>21622</v>
      </c>
      <c r="E13" s="17">
        <v>46003.88</v>
      </c>
      <c r="F13" s="11">
        <v>6.41</v>
      </c>
      <c r="G13" s="9">
        <v>3360.9</v>
      </c>
      <c r="H13" s="10">
        <v>0.68799999999999994</v>
      </c>
      <c r="I13" s="11">
        <v>7.2</v>
      </c>
    </row>
    <row r="14" spans="1:9" x14ac:dyDescent="0.35">
      <c r="A14" s="2" t="s">
        <v>12</v>
      </c>
      <c r="B14" s="3">
        <v>44927</v>
      </c>
      <c r="C14" s="2">
        <v>12</v>
      </c>
      <c r="D14" s="2">
        <v>18268</v>
      </c>
      <c r="E14" s="17">
        <v>38932.160000000003</v>
      </c>
      <c r="F14" s="11">
        <v>6.47</v>
      </c>
      <c r="G14" s="9">
        <v>2857.2</v>
      </c>
      <c r="H14" s="10">
        <v>0.33300000000000002</v>
      </c>
      <c r="I14" s="11">
        <v>7.6</v>
      </c>
    </row>
    <row r="15" spans="1:9" x14ac:dyDescent="0.35">
      <c r="A15" s="2" t="s">
        <v>12</v>
      </c>
      <c r="B15" s="3">
        <v>44958</v>
      </c>
      <c r="C15" s="2">
        <v>17</v>
      </c>
      <c r="D15" s="2">
        <v>28460</v>
      </c>
      <c r="E15" s="17">
        <v>53581.07</v>
      </c>
      <c r="F15" s="11">
        <v>6.41</v>
      </c>
      <c r="G15" s="9">
        <v>4405</v>
      </c>
      <c r="H15" s="10">
        <v>0.29399999999999998</v>
      </c>
      <c r="I15" s="11">
        <v>7.2</v>
      </c>
    </row>
    <row r="16" spans="1:9" x14ac:dyDescent="0.35">
      <c r="A16" s="2" t="s">
        <v>12</v>
      </c>
      <c r="B16" s="3">
        <v>44986</v>
      </c>
      <c r="C16" s="2">
        <v>14</v>
      </c>
      <c r="D16" s="2">
        <v>20595</v>
      </c>
      <c r="E16" s="17">
        <v>42486</v>
      </c>
      <c r="F16" s="11">
        <v>6.65</v>
      </c>
      <c r="G16" s="9">
        <v>3107.8</v>
      </c>
      <c r="H16" s="10">
        <v>0.71399999999999997</v>
      </c>
      <c r="I16" s="11">
        <v>7.2</v>
      </c>
    </row>
    <row r="17" spans="1:9" x14ac:dyDescent="0.35">
      <c r="A17" s="2" t="s">
        <v>12</v>
      </c>
      <c r="B17" s="3">
        <v>45017</v>
      </c>
      <c r="C17" s="2">
        <v>20</v>
      </c>
      <c r="D17" s="2">
        <v>33189</v>
      </c>
      <c r="E17" s="17">
        <v>73889.119999999995</v>
      </c>
      <c r="F17" s="11">
        <v>6.55</v>
      </c>
      <c r="G17" s="9">
        <v>4982.5</v>
      </c>
      <c r="H17" s="10">
        <v>0.5</v>
      </c>
      <c r="I17" s="11">
        <v>5.9</v>
      </c>
    </row>
    <row r="18" spans="1:9" x14ac:dyDescent="0.35">
      <c r="A18" s="2" t="s">
        <v>12</v>
      </c>
      <c r="B18" s="3">
        <v>45047</v>
      </c>
      <c r="C18" s="2">
        <v>27</v>
      </c>
      <c r="D18" s="2">
        <v>38925</v>
      </c>
      <c r="E18" s="17">
        <v>80753.47</v>
      </c>
      <c r="F18" s="11">
        <v>6.7</v>
      </c>
      <c r="G18" s="9">
        <v>5834.1</v>
      </c>
      <c r="H18" s="10">
        <v>0.48099999999999998</v>
      </c>
      <c r="I18" s="11">
        <v>6.7</v>
      </c>
    </row>
    <row r="19" spans="1:9" x14ac:dyDescent="0.35">
      <c r="A19" s="2" t="s">
        <v>12</v>
      </c>
      <c r="B19" s="3">
        <v>45078</v>
      </c>
      <c r="C19" s="2">
        <v>16</v>
      </c>
      <c r="D19" s="2">
        <v>25040</v>
      </c>
      <c r="E19" s="17">
        <v>48233.25</v>
      </c>
      <c r="F19" s="11">
        <v>6.62</v>
      </c>
      <c r="G19" s="9">
        <v>3889.6</v>
      </c>
      <c r="H19" s="10">
        <v>0.5</v>
      </c>
      <c r="I19" s="11">
        <v>6.3</v>
      </c>
    </row>
    <row r="20" spans="1:9" x14ac:dyDescent="0.35">
      <c r="A20" s="2" t="s">
        <v>12</v>
      </c>
      <c r="B20" s="3">
        <v>45108</v>
      </c>
      <c r="C20" s="2">
        <v>24</v>
      </c>
      <c r="D20" s="2">
        <v>33112</v>
      </c>
      <c r="E20" s="17">
        <v>71219.63</v>
      </c>
      <c r="F20" s="11">
        <v>6.41</v>
      </c>
      <c r="G20" s="9">
        <v>5208.3999999999996</v>
      </c>
      <c r="H20" s="10">
        <v>0.41699999999999998</v>
      </c>
      <c r="I20" s="11">
        <v>7.2</v>
      </c>
    </row>
    <row r="21" spans="1:9" x14ac:dyDescent="0.35">
      <c r="A21" s="2" t="s">
        <v>12</v>
      </c>
      <c r="B21" s="3">
        <v>45139</v>
      </c>
      <c r="C21" s="2">
        <v>18</v>
      </c>
      <c r="D21" s="2">
        <v>23507</v>
      </c>
      <c r="E21" s="17">
        <v>50546.35</v>
      </c>
      <c r="F21" s="11">
        <v>6.57</v>
      </c>
      <c r="G21" s="9">
        <v>3637.3</v>
      </c>
      <c r="H21" s="10">
        <v>0.5</v>
      </c>
      <c r="I21" s="11">
        <v>7.7</v>
      </c>
    </row>
    <row r="22" spans="1:9" x14ac:dyDescent="0.35">
      <c r="A22" s="2" t="s">
        <v>12</v>
      </c>
      <c r="B22" s="3">
        <v>45170</v>
      </c>
      <c r="C22" s="2">
        <v>16</v>
      </c>
      <c r="D22" s="2">
        <v>26151</v>
      </c>
      <c r="E22" s="17">
        <v>57939.38</v>
      </c>
      <c r="F22" s="11">
        <v>6.27</v>
      </c>
      <c r="G22" s="9">
        <v>4183.3999999999996</v>
      </c>
      <c r="H22" s="10">
        <v>0.438</v>
      </c>
      <c r="I22" s="11">
        <v>7.5</v>
      </c>
    </row>
    <row r="23" spans="1:9" x14ac:dyDescent="0.35">
      <c r="A23" s="2" t="s">
        <v>12</v>
      </c>
      <c r="B23" s="3">
        <v>45200</v>
      </c>
      <c r="C23" s="2">
        <v>14</v>
      </c>
      <c r="D23" s="2">
        <v>15481</v>
      </c>
      <c r="E23" s="17">
        <v>32072.26</v>
      </c>
      <c r="F23" s="11">
        <v>6.37</v>
      </c>
      <c r="G23" s="9">
        <v>2495.6</v>
      </c>
      <c r="H23" s="10">
        <v>0.42899999999999999</v>
      </c>
      <c r="I23" s="11">
        <v>6.3</v>
      </c>
    </row>
    <row r="24" spans="1:9" x14ac:dyDescent="0.35">
      <c r="A24" s="2" t="s">
        <v>12</v>
      </c>
      <c r="B24" s="3">
        <v>45231</v>
      </c>
      <c r="C24" s="2">
        <v>17</v>
      </c>
      <c r="D24" s="2">
        <v>27676</v>
      </c>
      <c r="E24" s="17">
        <v>56540.65</v>
      </c>
      <c r="F24" s="11">
        <v>6.62</v>
      </c>
      <c r="G24" s="9">
        <v>4265.6000000000004</v>
      </c>
      <c r="H24" s="10">
        <v>0.35299999999999998</v>
      </c>
      <c r="I24" s="11">
        <v>6.6</v>
      </c>
    </row>
    <row r="25" spans="1:9" x14ac:dyDescent="0.35">
      <c r="A25" s="2" t="s">
        <v>12</v>
      </c>
      <c r="B25" s="3">
        <v>45261</v>
      </c>
      <c r="C25" s="2">
        <v>18</v>
      </c>
      <c r="D25" s="2">
        <v>25415</v>
      </c>
      <c r="E25" s="17">
        <v>59509.14</v>
      </c>
      <c r="F25" s="11">
        <v>6.24</v>
      </c>
      <c r="G25" s="9">
        <v>4132.2</v>
      </c>
      <c r="H25" s="10">
        <v>0.38900000000000001</v>
      </c>
      <c r="I25" s="11">
        <v>6.8</v>
      </c>
    </row>
    <row r="26" spans="1:9" x14ac:dyDescent="0.35">
      <c r="A26" s="2" t="s">
        <v>12</v>
      </c>
      <c r="B26" s="3">
        <v>45292</v>
      </c>
      <c r="C26" s="2">
        <v>22</v>
      </c>
      <c r="D26" s="2">
        <v>36993</v>
      </c>
      <c r="E26" s="17">
        <v>79177.37</v>
      </c>
      <c r="F26" s="11">
        <v>6.36</v>
      </c>
      <c r="G26" s="9">
        <v>5830</v>
      </c>
      <c r="H26" s="10">
        <v>0.27300000000000002</v>
      </c>
      <c r="I26" s="11">
        <v>6.7</v>
      </c>
    </row>
    <row r="27" spans="1:9" x14ac:dyDescent="0.35">
      <c r="A27" s="2" t="s">
        <v>12</v>
      </c>
      <c r="B27" s="3">
        <v>45323</v>
      </c>
      <c r="C27" s="2">
        <v>15</v>
      </c>
      <c r="D27" s="2">
        <v>25006</v>
      </c>
      <c r="E27" s="17">
        <v>53929.55</v>
      </c>
      <c r="F27" s="11">
        <v>6.51</v>
      </c>
      <c r="G27" s="9">
        <v>3922.4</v>
      </c>
      <c r="H27" s="10">
        <v>0.4</v>
      </c>
      <c r="I27" s="11">
        <v>6.8</v>
      </c>
    </row>
    <row r="28" spans="1:9" x14ac:dyDescent="0.35">
      <c r="A28" s="2" t="s">
        <v>12</v>
      </c>
      <c r="B28" s="3">
        <v>45352</v>
      </c>
      <c r="C28" s="2">
        <v>27</v>
      </c>
      <c r="D28" s="2">
        <v>36821</v>
      </c>
      <c r="E28" s="17">
        <v>77435.61</v>
      </c>
      <c r="F28" s="11">
        <v>6.4</v>
      </c>
      <c r="G28" s="9">
        <v>5817.9</v>
      </c>
      <c r="H28" s="10">
        <v>0.33300000000000002</v>
      </c>
      <c r="I28" s="11">
        <v>6.9</v>
      </c>
    </row>
    <row r="29" spans="1:9" x14ac:dyDescent="0.35">
      <c r="A29" s="2" t="s">
        <v>12</v>
      </c>
      <c r="B29" s="3">
        <v>45383</v>
      </c>
      <c r="C29" s="2">
        <v>17</v>
      </c>
      <c r="D29" s="2">
        <v>25192</v>
      </c>
      <c r="E29" s="17">
        <v>50274.69</v>
      </c>
      <c r="F29" s="11">
        <v>6.32</v>
      </c>
      <c r="G29" s="9">
        <v>3967.3</v>
      </c>
      <c r="H29" s="10">
        <v>0.52900000000000003</v>
      </c>
      <c r="I29" s="11">
        <v>7</v>
      </c>
    </row>
    <row r="30" spans="1:9" x14ac:dyDescent="0.35">
      <c r="A30" s="2" t="s">
        <v>12</v>
      </c>
      <c r="B30" s="3">
        <v>45413</v>
      </c>
      <c r="C30" s="2">
        <v>23</v>
      </c>
      <c r="D30" s="2">
        <v>36131</v>
      </c>
      <c r="E30" s="17">
        <v>75314.62</v>
      </c>
      <c r="F30" s="11">
        <v>6.61</v>
      </c>
      <c r="G30" s="9">
        <v>5454.6</v>
      </c>
      <c r="H30" s="10">
        <v>0.60899999999999999</v>
      </c>
      <c r="I30" s="11">
        <v>6.4</v>
      </c>
    </row>
    <row r="31" spans="1:9" x14ac:dyDescent="0.35">
      <c r="A31" s="2" t="s">
        <v>12</v>
      </c>
      <c r="B31" s="3">
        <v>45444</v>
      </c>
      <c r="C31" s="2">
        <v>19</v>
      </c>
      <c r="D31" s="2">
        <v>29615</v>
      </c>
      <c r="E31" s="17">
        <v>58603.31</v>
      </c>
      <c r="F31" s="11">
        <v>6.86</v>
      </c>
      <c r="G31" s="9">
        <v>4296.5</v>
      </c>
      <c r="H31" s="10">
        <v>0.52600000000000002</v>
      </c>
      <c r="I31" s="11">
        <v>7.2</v>
      </c>
    </row>
    <row r="32" spans="1:9" x14ac:dyDescent="0.35">
      <c r="A32" s="2" t="s">
        <v>12</v>
      </c>
      <c r="B32" s="3">
        <v>45474</v>
      </c>
      <c r="C32" s="2">
        <v>22</v>
      </c>
      <c r="D32" s="2">
        <v>34260</v>
      </c>
      <c r="E32" s="17">
        <v>74397.86</v>
      </c>
      <c r="F32" s="11">
        <v>6.75</v>
      </c>
      <c r="G32" s="9">
        <v>5192</v>
      </c>
      <c r="H32" s="10">
        <v>0.63600000000000001</v>
      </c>
      <c r="I32" s="11">
        <v>6.3</v>
      </c>
    </row>
    <row r="33" spans="1:9" x14ac:dyDescent="0.35">
      <c r="A33" s="2" t="s">
        <v>12</v>
      </c>
      <c r="B33" s="3">
        <v>45505</v>
      </c>
      <c r="C33" s="2">
        <v>12</v>
      </c>
      <c r="D33" s="2">
        <v>16488</v>
      </c>
      <c r="E33" s="17">
        <v>38977.620000000003</v>
      </c>
      <c r="F33" s="11">
        <v>6.39</v>
      </c>
      <c r="G33" s="9">
        <v>2618.1999999999998</v>
      </c>
      <c r="H33" s="10">
        <v>0.41699999999999998</v>
      </c>
      <c r="I33" s="11">
        <v>8.1999999999999993</v>
      </c>
    </row>
    <row r="34" spans="1:9" x14ac:dyDescent="0.35">
      <c r="A34" s="2" t="s">
        <v>12</v>
      </c>
      <c r="B34" s="3">
        <v>45536</v>
      </c>
      <c r="C34" s="2">
        <v>14</v>
      </c>
      <c r="D34" s="2">
        <v>13838</v>
      </c>
      <c r="E34" s="17">
        <v>26526.61</v>
      </c>
      <c r="F34" s="11">
        <v>6.48</v>
      </c>
      <c r="G34" s="9">
        <v>2167.3000000000002</v>
      </c>
      <c r="H34" s="10">
        <v>0.42899999999999999</v>
      </c>
      <c r="I34" s="11">
        <v>7.5</v>
      </c>
    </row>
    <row r="35" spans="1:9" x14ac:dyDescent="0.35">
      <c r="A35" s="2" t="s">
        <v>12</v>
      </c>
      <c r="B35" s="3">
        <v>45566</v>
      </c>
      <c r="C35" s="2">
        <v>19</v>
      </c>
      <c r="D35" s="2">
        <v>26301</v>
      </c>
      <c r="E35" s="17">
        <v>57856.54</v>
      </c>
      <c r="F35" s="11">
        <v>6.62</v>
      </c>
      <c r="G35" s="9">
        <v>3996.9</v>
      </c>
      <c r="H35" s="10">
        <v>0.52600000000000002</v>
      </c>
      <c r="I35" s="11">
        <v>7.6</v>
      </c>
    </row>
    <row r="36" spans="1:9" x14ac:dyDescent="0.35">
      <c r="A36" s="2" t="s">
        <v>12</v>
      </c>
      <c r="B36" s="3">
        <v>45597</v>
      </c>
      <c r="C36" s="2">
        <v>18</v>
      </c>
      <c r="D36" s="2">
        <v>22320</v>
      </c>
      <c r="E36" s="17">
        <v>51436.61</v>
      </c>
      <c r="F36" s="11">
        <v>6.35</v>
      </c>
      <c r="G36" s="9">
        <v>3563.1</v>
      </c>
      <c r="H36" s="10">
        <v>0.55600000000000005</v>
      </c>
      <c r="I36" s="11">
        <v>7.3</v>
      </c>
    </row>
    <row r="37" spans="1:9" x14ac:dyDescent="0.35">
      <c r="A37" s="2" t="s">
        <v>12</v>
      </c>
      <c r="B37" s="3">
        <v>45627</v>
      </c>
      <c r="C37" s="2">
        <v>5</v>
      </c>
      <c r="D37" s="2">
        <v>12031</v>
      </c>
      <c r="E37" s="17">
        <v>22559.21</v>
      </c>
      <c r="F37" s="11">
        <v>7</v>
      </c>
      <c r="G37" s="9">
        <v>1716.9</v>
      </c>
      <c r="H37" s="10">
        <v>0.2</v>
      </c>
      <c r="I37" s="11">
        <v>8.1</v>
      </c>
    </row>
    <row r="38" spans="1:9" x14ac:dyDescent="0.35">
      <c r="A38" s="2" t="s">
        <v>20</v>
      </c>
      <c r="B38" s="3">
        <v>44562</v>
      </c>
      <c r="C38" s="2">
        <v>17</v>
      </c>
      <c r="D38" s="2">
        <v>20662</v>
      </c>
      <c r="E38" s="17">
        <v>46531.02</v>
      </c>
      <c r="F38" s="11">
        <v>6.41</v>
      </c>
      <c r="G38" s="9">
        <v>3361.4</v>
      </c>
      <c r="H38" s="10">
        <v>0.47099999999999997</v>
      </c>
      <c r="I38" s="11">
        <v>6.7</v>
      </c>
    </row>
    <row r="39" spans="1:9" x14ac:dyDescent="0.35">
      <c r="A39" s="2" t="s">
        <v>20</v>
      </c>
      <c r="B39" s="3">
        <v>44593</v>
      </c>
      <c r="C39" s="2">
        <v>21</v>
      </c>
      <c r="D39" s="2">
        <v>30205</v>
      </c>
      <c r="E39" s="17">
        <v>66503.009999999995</v>
      </c>
      <c r="F39" s="11">
        <v>6.35</v>
      </c>
      <c r="G39" s="9">
        <v>4887.8</v>
      </c>
      <c r="H39" s="10">
        <v>0.47599999999999998</v>
      </c>
      <c r="I39" s="11">
        <v>7.2</v>
      </c>
    </row>
    <row r="40" spans="1:9" x14ac:dyDescent="0.35">
      <c r="A40" s="2" t="s">
        <v>20</v>
      </c>
      <c r="B40" s="3">
        <v>44621</v>
      </c>
      <c r="C40" s="2">
        <v>25</v>
      </c>
      <c r="D40" s="2">
        <v>41306</v>
      </c>
      <c r="E40" s="17">
        <v>90097.62</v>
      </c>
      <c r="F40" s="11">
        <v>6.47</v>
      </c>
      <c r="G40" s="9">
        <v>6438.9</v>
      </c>
      <c r="H40" s="10">
        <v>0.28000000000000003</v>
      </c>
      <c r="I40" s="11">
        <v>7.6</v>
      </c>
    </row>
    <row r="41" spans="1:9" x14ac:dyDescent="0.35">
      <c r="A41" s="2" t="s">
        <v>20</v>
      </c>
      <c r="B41" s="3">
        <v>44652</v>
      </c>
      <c r="C41" s="2">
        <v>14</v>
      </c>
      <c r="D41" s="2">
        <v>23754</v>
      </c>
      <c r="E41" s="17">
        <v>57494.21</v>
      </c>
      <c r="F41" s="11">
        <v>6.71</v>
      </c>
      <c r="G41" s="9">
        <v>3569.3</v>
      </c>
      <c r="H41" s="10">
        <v>0.64300000000000002</v>
      </c>
      <c r="I41" s="11">
        <v>7.8</v>
      </c>
    </row>
    <row r="42" spans="1:9" x14ac:dyDescent="0.35">
      <c r="A42" s="2" t="s">
        <v>20</v>
      </c>
      <c r="B42" s="3">
        <v>44682</v>
      </c>
      <c r="C42" s="2">
        <v>17</v>
      </c>
      <c r="D42" s="2">
        <v>15562</v>
      </c>
      <c r="E42" s="17">
        <v>34853.67</v>
      </c>
      <c r="F42" s="11">
        <v>6.45</v>
      </c>
      <c r="G42" s="9">
        <v>2416</v>
      </c>
      <c r="H42" s="10">
        <v>0.52900000000000003</v>
      </c>
      <c r="I42" s="11">
        <v>8.5</v>
      </c>
    </row>
    <row r="43" spans="1:9" x14ac:dyDescent="0.35">
      <c r="A43" s="2" t="s">
        <v>20</v>
      </c>
      <c r="B43" s="3">
        <v>44713</v>
      </c>
      <c r="C43" s="2">
        <v>19</v>
      </c>
      <c r="D43" s="2">
        <v>21552</v>
      </c>
      <c r="E43" s="17">
        <v>43571.05</v>
      </c>
      <c r="F43" s="11">
        <v>6.23</v>
      </c>
      <c r="G43" s="9">
        <v>3461.7</v>
      </c>
      <c r="H43" s="10">
        <v>0.52600000000000002</v>
      </c>
      <c r="I43" s="11">
        <v>7.5</v>
      </c>
    </row>
    <row r="44" spans="1:9" x14ac:dyDescent="0.35">
      <c r="A44" s="2" t="s">
        <v>20</v>
      </c>
      <c r="B44" s="3">
        <v>44743</v>
      </c>
      <c r="C44" s="2">
        <v>18</v>
      </c>
      <c r="D44" s="2">
        <v>26283</v>
      </c>
      <c r="E44" s="17">
        <v>55906.29</v>
      </c>
      <c r="F44" s="11">
        <v>6.79</v>
      </c>
      <c r="G44" s="9">
        <v>3926.3</v>
      </c>
      <c r="H44" s="10">
        <v>0.38900000000000001</v>
      </c>
      <c r="I44" s="11">
        <v>6.5</v>
      </c>
    </row>
    <row r="45" spans="1:9" x14ac:dyDescent="0.35">
      <c r="A45" s="2" t="s">
        <v>20</v>
      </c>
      <c r="B45" s="3">
        <v>44774</v>
      </c>
      <c r="C45" s="2">
        <v>24</v>
      </c>
      <c r="D45" s="2">
        <v>28940</v>
      </c>
      <c r="E45" s="17">
        <v>68562.52</v>
      </c>
      <c r="F45" s="11">
        <v>6.42</v>
      </c>
      <c r="G45" s="9">
        <v>4516.8</v>
      </c>
      <c r="H45" s="10">
        <v>0.58299999999999996</v>
      </c>
      <c r="I45" s="11">
        <v>7.6</v>
      </c>
    </row>
    <row r="46" spans="1:9" x14ac:dyDescent="0.35">
      <c r="A46" s="2" t="s">
        <v>20</v>
      </c>
      <c r="B46" s="3">
        <v>44805</v>
      </c>
      <c r="C46" s="2">
        <v>12</v>
      </c>
      <c r="D46" s="2">
        <v>16681</v>
      </c>
      <c r="E46" s="17">
        <v>40369.83</v>
      </c>
      <c r="F46" s="11">
        <v>7.01</v>
      </c>
      <c r="G46" s="9">
        <v>2351</v>
      </c>
      <c r="H46" s="10">
        <v>0.58299999999999996</v>
      </c>
      <c r="I46" s="11">
        <v>6.7</v>
      </c>
    </row>
    <row r="47" spans="1:9" x14ac:dyDescent="0.35">
      <c r="A47" s="2" t="s">
        <v>20</v>
      </c>
      <c r="B47" s="3">
        <v>44835</v>
      </c>
      <c r="C47" s="2">
        <v>21</v>
      </c>
      <c r="D47" s="2">
        <v>28784</v>
      </c>
      <c r="E47" s="17">
        <v>66240.28</v>
      </c>
      <c r="F47" s="11">
        <v>6.57</v>
      </c>
      <c r="G47" s="9">
        <v>4400.6000000000004</v>
      </c>
      <c r="H47" s="10">
        <v>0.38100000000000001</v>
      </c>
      <c r="I47" s="11">
        <v>6.5</v>
      </c>
    </row>
    <row r="48" spans="1:9" x14ac:dyDescent="0.35">
      <c r="A48" s="2" t="s">
        <v>20</v>
      </c>
      <c r="B48" s="3">
        <v>44866</v>
      </c>
      <c r="C48" s="2">
        <v>12</v>
      </c>
      <c r="D48" s="2">
        <v>20269</v>
      </c>
      <c r="E48" s="17">
        <v>48935.040000000001</v>
      </c>
      <c r="F48" s="11">
        <v>6.39</v>
      </c>
      <c r="G48" s="9">
        <v>3180.9</v>
      </c>
      <c r="H48" s="10">
        <v>0.58299999999999996</v>
      </c>
      <c r="I48" s="11">
        <v>7.7</v>
      </c>
    </row>
    <row r="49" spans="1:9" x14ac:dyDescent="0.35">
      <c r="A49" s="2" t="s">
        <v>20</v>
      </c>
      <c r="B49" s="3">
        <v>44896</v>
      </c>
      <c r="C49" s="2">
        <v>16</v>
      </c>
      <c r="D49" s="2">
        <v>23807</v>
      </c>
      <c r="E49" s="17">
        <v>54110.29</v>
      </c>
      <c r="F49" s="11">
        <v>6.42</v>
      </c>
      <c r="G49" s="9">
        <v>3761.5</v>
      </c>
      <c r="H49" s="10">
        <v>0.438</v>
      </c>
      <c r="I49" s="11">
        <v>6.3</v>
      </c>
    </row>
    <row r="50" spans="1:9" x14ac:dyDescent="0.35">
      <c r="A50" s="2" t="s">
        <v>20</v>
      </c>
      <c r="B50" s="3">
        <v>44927</v>
      </c>
      <c r="C50" s="2">
        <v>26</v>
      </c>
      <c r="D50" s="2">
        <v>34745</v>
      </c>
      <c r="E50" s="17">
        <v>73042.320000000007</v>
      </c>
      <c r="F50" s="11">
        <v>6.54</v>
      </c>
      <c r="G50" s="9">
        <v>5347.7</v>
      </c>
      <c r="H50" s="10">
        <v>0.42299999999999999</v>
      </c>
      <c r="I50" s="11">
        <v>7.2</v>
      </c>
    </row>
    <row r="51" spans="1:9" x14ac:dyDescent="0.35">
      <c r="A51" s="2" t="s">
        <v>20</v>
      </c>
      <c r="B51" s="3">
        <v>44958</v>
      </c>
      <c r="C51" s="2">
        <v>12</v>
      </c>
      <c r="D51" s="2">
        <v>11271</v>
      </c>
      <c r="E51" s="17">
        <v>24298.34</v>
      </c>
      <c r="F51" s="11">
        <v>6.51</v>
      </c>
      <c r="G51" s="9">
        <v>1733.4</v>
      </c>
      <c r="H51" s="10">
        <v>0.16700000000000001</v>
      </c>
      <c r="I51" s="11">
        <v>7.6</v>
      </c>
    </row>
    <row r="52" spans="1:9" x14ac:dyDescent="0.35">
      <c r="A52" s="2" t="s">
        <v>20</v>
      </c>
      <c r="B52" s="3">
        <v>44986</v>
      </c>
      <c r="C52" s="2">
        <v>17</v>
      </c>
      <c r="D52" s="2">
        <v>26229</v>
      </c>
      <c r="E52" s="17">
        <v>59592.12</v>
      </c>
      <c r="F52" s="11">
        <v>6.36</v>
      </c>
      <c r="G52" s="9">
        <v>4219.8</v>
      </c>
      <c r="H52" s="10">
        <v>0.41199999999999998</v>
      </c>
      <c r="I52" s="11">
        <v>7.2</v>
      </c>
    </row>
    <row r="53" spans="1:9" x14ac:dyDescent="0.35">
      <c r="A53" s="2" t="s">
        <v>20</v>
      </c>
      <c r="B53" s="3">
        <v>45017</v>
      </c>
      <c r="C53" s="2">
        <v>17</v>
      </c>
      <c r="D53" s="2">
        <v>22020</v>
      </c>
      <c r="E53" s="17">
        <v>47419.59</v>
      </c>
      <c r="F53" s="11">
        <v>6.55</v>
      </c>
      <c r="G53" s="9">
        <v>3365.5</v>
      </c>
      <c r="H53" s="10">
        <v>0.58799999999999997</v>
      </c>
      <c r="I53" s="11">
        <v>6.5</v>
      </c>
    </row>
    <row r="54" spans="1:9" x14ac:dyDescent="0.35">
      <c r="A54" s="2" t="s">
        <v>20</v>
      </c>
      <c r="B54" s="3">
        <v>45047</v>
      </c>
      <c r="C54" s="2">
        <v>21</v>
      </c>
      <c r="D54" s="2">
        <v>29881</v>
      </c>
      <c r="E54" s="17">
        <v>58427.21</v>
      </c>
      <c r="F54" s="11">
        <v>6.5</v>
      </c>
      <c r="G54" s="9">
        <v>4646.6000000000004</v>
      </c>
      <c r="H54" s="10">
        <v>0.42899999999999999</v>
      </c>
      <c r="I54" s="11">
        <v>7.1</v>
      </c>
    </row>
    <row r="55" spans="1:9" x14ac:dyDescent="0.35">
      <c r="A55" s="2" t="s">
        <v>20</v>
      </c>
      <c r="B55" s="3">
        <v>45078</v>
      </c>
      <c r="C55" s="2">
        <v>17</v>
      </c>
      <c r="D55" s="2">
        <v>28383</v>
      </c>
      <c r="E55" s="17">
        <v>57375.17</v>
      </c>
      <c r="F55" s="11">
        <v>6.45</v>
      </c>
      <c r="G55" s="9">
        <v>4456.3999999999996</v>
      </c>
      <c r="H55" s="10">
        <v>0.41199999999999998</v>
      </c>
      <c r="I55" s="11">
        <v>7.4</v>
      </c>
    </row>
    <row r="56" spans="1:9" x14ac:dyDescent="0.35">
      <c r="A56" s="2" t="s">
        <v>20</v>
      </c>
      <c r="B56" s="3">
        <v>45108</v>
      </c>
      <c r="C56" s="2">
        <v>19</v>
      </c>
      <c r="D56" s="2">
        <v>30581</v>
      </c>
      <c r="E56" s="17">
        <v>67743.360000000001</v>
      </c>
      <c r="F56" s="11">
        <v>6.36</v>
      </c>
      <c r="G56" s="9">
        <v>4823.1000000000004</v>
      </c>
      <c r="H56" s="10">
        <v>0.68400000000000005</v>
      </c>
      <c r="I56" s="11">
        <v>6.7</v>
      </c>
    </row>
    <row r="57" spans="1:9" x14ac:dyDescent="0.35">
      <c r="A57" s="2" t="s">
        <v>20</v>
      </c>
      <c r="B57" s="3">
        <v>45139</v>
      </c>
      <c r="C57" s="2">
        <v>18</v>
      </c>
      <c r="D57" s="2">
        <v>26499</v>
      </c>
      <c r="E57" s="17">
        <v>57555.28</v>
      </c>
      <c r="F57" s="11">
        <v>6.52</v>
      </c>
      <c r="G57" s="9">
        <v>4144.1000000000004</v>
      </c>
      <c r="H57" s="10">
        <v>0.55600000000000005</v>
      </c>
      <c r="I57" s="11">
        <v>7.2</v>
      </c>
    </row>
    <row r="58" spans="1:9" x14ac:dyDescent="0.35">
      <c r="A58" s="2" t="s">
        <v>20</v>
      </c>
      <c r="B58" s="3">
        <v>45170</v>
      </c>
      <c r="C58" s="2">
        <v>19</v>
      </c>
      <c r="D58" s="2">
        <v>27792</v>
      </c>
      <c r="E58" s="17">
        <v>53829.75</v>
      </c>
      <c r="F58" s="11">
        <v>6.36</v>
      </c>
      <c r="G58" s="9">
        <v>4451.8999999999996</v>
      </c>
      <c r="H58" s="10">
        <v>0.47399999999999998</v>
      </c>
      <c r="I58" s="11">
        <v>6.3</v>
      </c>
    </row>
    <row r="59" spans="1:9" x14ac:dyDescent="0.35">
      <c r="A59" s="2" t="s">
        <v>20</v>
      </c>
      <c r="B59" s="3">
        <v>45200</v>
      </c>
      <c r="C59" s="2">
        <v>22</v>
      </c>
      <c r="D59" s="2">
        <v>38132</v>
      </c>
      <c r="E59" s="17">
        <v>89077.9</v>
      </c>
      <c r="F59" s="11">
        <v>6.22</v>
      </c>
      <c r="G59" s="9">
        <v>6158.7</v>
      </c>
      <c r="H59" s="10">
        <v>0.318</v>
      </c>
      <c r="I59" s="11">
        <v>7</v>
      </c>
    </row>
    <row r="60" spans="1:9" x14ac:dyDescent="0.35">
      <c r="A60" s="2" t="s">
        <v>20</v>
      </c>
      <c r="B60" s="3">
        <v>45231</v>
      </c>
      <c r="C60" s="2">
        <v>13</v>
      </c>
      <c r="D60" s="2">
        <v>17276</v>
      </c>
      <c r="E60" s="17">
        <v>36515.89</v>
      </c>
      <c r="F60" s="11">
        <v>6.76</v>
      </c>
      <c r="G60" s="9">
        <v>2530.1</v>
      </c>
      <c r="H60" s="10">
        <v>0.53800000000000003</v>
      </c>
      <c r="I60" s="11">
        <v>7.3</v>
      </c>
    </row>
    <row r="61" spans="1:9" x14ac:dyDescent="0.35">
      <c r="A61" s="2" t="s">
        <v>20</v>
      </c>
      <c r="B61" s="3">
        <v>45261</v>
      </c>
      <c r="C61" s="2">
        <v>19</v>
      </c>
      <c r="D61" s="2">
        <v>34149</v>
      </c>
      <c r="E61" s="17">
        <v>82666.62</v>
      </c>
      <c r="F61" s="11">
        <v>6.48</v>
      </c>
      <c r="G61" s="9">
        <v>5319.9</v>
      </c>
      <c r="H61" s="10">
        <v>0.57899999999999996</v>
      </c>
      <c r="I61" s="11">
        <v>6.5</v>
      </c>
    </row>
    <row r="62" spans="1:9" x14ac:dyDescent="0.35">
      <c r="A62" s="2" t="s">
        <v>20</v>
      </c>
      <c r="B62" s="3">
        <v>45292</v>
      </c>
      <c r="C62" s="2">
        <v>17</v>
      </c>
      <c r="D62" s="2">
        <v>24126</v>
      </c>
      <c r="E62" s="17">
        <v>51538.93</v>
      </c>
      <c r="F62" s="11">
        <v>6.34</v>
      </c>
      <c r="G62" s="9">
        <v>3767.8</v>
      </c>
      <c r="H62" s="10">
        <v>0.47099999999999997</v>
      </c>
      <c r="I62" s="11">
        <v>6</v>
      </c>
    </row>
    <row r="63" spans="1:9" x14ac:dyDescent="0.35">
      <c r="A63" s="2" t="s">
        <v>20</v>
      </c>
      <c r="B63" s="3">
        <v>45323</v>
      </c>
      <c r="C63" s="2">
        <v>21</v>
      </c>
      <c r="D63" s="2">
        <v>34284</v>
      </c>
      <c r="E63" s="17">
        <v>70980.639999999999</v>
      </c>
      <c r="F63" s="11">
        <v>6.67</v>
      </c>
      <c r="G63" s="9">
        <v>5102.6000000000004</v>
      </c>
      <c r="H63" s="10">
        <v>0.52400000000000002</v>
      </c>
      <c r="I63" s="11">
        <v>7</v>
      </c>
    </row>
    <row r="64" spans="1:9" x14ac:dyDescent="0.35">
      <c r="A64" s="2" t="s">
        <v>20</v>
      </c>
      <c r="B64" s="3">
        <v>45352</v>
      </c>
      <c r="C64" s="2">
        <v>23</v>
      </c>
      <c r="D64" s="2">
        <v>35945</v>
      </c>
      <c r="E64" s="17">
        <v>82267.56</v>
      </c>
      <c r="F64" s="11">
        <v>6.54</v>
      </c>
      <c r="G64" s="9">
        <v>5612.7</v>
      </c>
      <c r="H64" s="10">
        <v>0.435</v>
      </c>
      <c r="I64" s="11">
        <v>7.4</v>
      </c>
    </row>
    <row r="65" spans="1:9" x14ac:dyDescent="0.35">
      <c r="A65" s="2" t="s">
        <v>20</v>
      </c>
      <c r="B65" s="3">
        <v>45383</v>
      </c>
      <c r="C65" s="2">
        <v>13</v>
      </c>
      <c r="D65" s="2">
        <v>16575</v>
      </c>
      <c r="E65" s="17">
        <v>33590.269999999997</v>
      </c>
      <c r="F65" s="11">
        <v>6.59</v>
      </c>
      <c r="G65" s="9">
        <v>2546.1999999999998</v>
      </c>
      <c r="H65" s="10">
        <v>0.61499999999999999</v>
      </c>
      <c r="I65" s="11">
        <v>7.1</v>
      </c>
    </row>
    <row r="66" spans="1:9" x14ac:dyDescent="0.35">
      <c r="A66" s="2" t="s">
        <v>20</v>
      </c>
      <c r="B66" s="3">
        <v>45413</v>
      </c>
      <c r="C66" s="2">
        <v>22</v>
      </c>
      <c r="D66" s="2">
        <v>31972</v>
      </c>
      <c r="E66" s="17">
        <v>68833.320000000007</v>
      </c>
      <c r="F66" s="11">
        <v>6.56</v>
      </c>
      <c r="G66" s="9">
        <v>4912.8</v>
      </c>
      <c r="H66" s="10">
        <v>0.63600000000000001</v>
      </c>
      <c r="I66" s="11">
        <v>8.1</v>
      </c>
    </row>
    <row r="67" spans="1:9" x14ac:dyDescent="0.35">
      <c r="A67" s="2" t="s">
        <v>20</v>
      </c>
      <c r="B67" s="3">
        <v>45444</v>
      </c>
      <c r="C67" s="2">
        <v>23</v>
      </c>
      <c r="D67" s="2">
        <v>30576</v>
      </c>
      <c r="E67" s="17">
        <v>71484.02</v>
      </c>
      <c r="F67" s="11">
        <v>6.42</v>
      </c>
      <c r="G67" s="9">
        <v>4792.2</v>
      </c>
      <c r="H67" s="10">
        <v>0.13</v>
      </c>
      <c r="I67" s="11">
        <v>7.2</v>
      </c>
    </row>
    <row r="68" spans="1:9" x14ac:dyDescent="0.35">
      <c r="A68" s="2" t="s">
        <v>20</v>
      </c>
      <c r="B68" s="3">
        <v>45474</v>
      </c>
      <c r="C68" s="2">
        <v>17</v>
      </c>
      <c r="D68" s="2">
        <v>23816</v>
      </c>
      <c r="E68" s="17">
        <v>52840.18</v>
      </c>
      <c r="F68" s="11">
        <v>6.41</v>
      </c>
      <c r="G68" s="9">
        <v>3714</v>
      </c>
      <c r="H68" s="10">
        <v>0.23499999999999999</v>
      </c>
      <c r="I68" s="11">
        <v>6.5</v>
      </c>
    </row>
    <row r="69" spans="1:9" x14ac:dyDescent="0.35">
      <c r="A69" s="2" t="s">
        <v>20</v>
      </c>
      <c r="B69" s="3">
        <v>45505</v>
      </c>
      <c r="C69" s="2">
        <v>20</v>
      </c>
      <c r="D69" s="2">
        <v>22245</v>
      </c>
      <c r="E69" s="17">
        <v>48566.92</v>
      </c>
      <c r="F69" s="11">
        <v>6.62</v>
      </c>
      <c r="G69" s="9">
        <v>3354.2</v>
      </c>
      <c r="H69" s="10">
        <v>0.35</v>
      </c>
      <c r="I69" s="11">
        <v>7.6</v>
      </c>
    </row>
    <row r="70" spans="1:9" x14ac:dyDescent="0.35">
      <c r="A70" s="2" t="s">
        <v>20</v>
      </c>
      <c r="B70" s="3">
        <v>45536</v>
      </c>
      <c r="C70" s="2">
        <v>19</v>
      </c>
      <c r="D70" s="2">
        <v>33327</v>
      </c>
      <c r="E70" s="17">
        <v>72301.58</v>
      </c>
      <c r="F70" s="11">
        <v>6.51</v>
      </c>
      <c r="G70" s="9">
        <v>5216.1000000000004</v>
      </c>
      <c r="H70" s="10">
        <v>0.42099999999999999</v>
      </c>
      <c r="I70" s="11">
        <v>6.3</v>
      </c>
    </row>
    <row r="71" spans="1:9" x14ac:dyDescent="0.35">
      <c r="A71" s="2" t="s">
        <v>20</v>
      </c>
      <c r="B71" s="3">
        <v>45566</v>
      </c>
      <c r="C71" s="2">
        <v>12</v>
      </c>
      <c r="D71" s="2">
        <v>13142</v>
      </c>
      <c r="E71" s="17">
        <v>25096.16</v>
      </c>
      <c r="F71" s="11">
        <v>6.68</v>
      </c>
      <c r="G71" s="9">
        <v>1902.8</v>
      </c>
      <c r="H71" s="10">
        <v>0.66700000000000004</v>
      </c>
      <c r="I71" s="11">
        <v>7.5</v>
      </c>
    </row>
    <row r="72" spans="1:9" x14ac:dyDescent="0.35">
      <c r="A72" s="2" t="s">
        <v>20</v>
      </c>
      <c r="B72" s="3">
        <v>45597</v>
      </c>
      <c r="C72" s="2">
        <v>16</v>
      </c>
      <c r="D72" s="2">
        <v>24940</v>
      </c>
      <c r="E72" s="17">
        <v>55906.29</v>
      </c>
      <c r="F72" s="11">
        <v>6.43</v>
      </c>
      <c r="G72" s="9">
        <v>3962</v>
      </c>
      <c r="H72" s="10">
        <v>0.438</v>
      </c>
      <c r="I72" s="11">
        <v>7.6</v>
      </c>
    </row>
    <row r="73" spans="1:9" x14ac:dyDescent="0.35">
      <c r="A73" s="2" t="s">
        <v>20</v>
      </c>
      <c r="B73" s="3">
        <v>45627</v>
      </c>
      <c r="C73" s="2">
        <v>23</v>
      </c>
      <c r="D73" s="2">
        <v>27535</v>
      </c>
      <c r="E73" s="17">
        <v>59497.25</v>
      </c>
      <c r="F73" s="11">
        <v>6.58</v>
      </c>
      <c r="G73" s="9">
        <v>4247.8999999999996</v>
      </c>
      <c r="H73" s="10">
        <v>0.47799999999999998</v>
      </c>
      <c r="I73" s="11">
        <v>7</v>
      </c>
    </row>
    <row r="74" spans="1:9" x14ac:dyDescent="0.35">
      <c r="A74" s="2" t="s">
        <v>26</v>
      </c>
      <c r="B74" s="3">
        <v>44562</v>
      </c>
      <c r="C74" s="2">
        <v>18</v>
      </c>
      <c r="D74" s="2">
        <v>30348</v>
      </c>
      <c r="E74" s="17">
        <v>56159.199999999997</v>
      </c>
      <c r="F74" s="11">
        <v>6.51</v>
      </c>
      <c r="G74" s="9">
        <v>4727.3999999999996</v>
      </c>
      <c r="H74" s="10">
        <v>0.38900000000000001</v>
      </c>
      <c r="I74" s="11">
        <v>7.1</v>
      </c>
    </row>
    <row r="75" spans="1:9" x14ac:dyDescent="0.35">
      <c r="A75" s="2" t="s">
        <v>26</v>
      </c>
      <c r="B75" s="3">
        <v>44593</v>
      </c>
      <c r="C75" s="2">
        <v>16</v>
      </c>
      <c r="D75" s="2">
        <v>19714</v>
      </c>
      <c r="E75" s="17">
        <v>42029.18</v>
      </c>
      <c r="F75" s="11">
        <v>6.31</v>
      </c>
      <c r="G75" s="9">
        <v>3147.6</v>
      </c>
      <c r="H75" s="10">
        <v>0.25</v>
      </c>
      <c r="I75" s="11">
        <v>7.7</v>
      </c>
    </row>
    <row r="76" spans="1:9" x14ac:dyDescent="0.35">
      <c r="A76" s="2" t="s">
        <v>26</v>
      </c>
      <c r="B76" s="3">
        <v>44621</v>
      </c>
      <c r="C76" s="2">
        <v>24</v>
      </c>
      <c r="D76" s="2">
        <v>41699</v>
      </c>
      <c r="E76" s="17">
        <v>92042.26</v>
      </c>
      <c r="F76" s="11">
        <v>6.54</v>
      </c>
      <c r="G76" s="9">
        <v>6485</v>
      </c>
      <c r="H76" s="10">
        <v>0.5</v>
      </c>
      <c r="I76" s="11">
        <v>7.1</v>
      </c>
    </row>
    <row r="77" spans="1:9" x14ac:dyDescent="0.35">
      <c r="A77" s="2" t="s">
        <v>26</v>
      </c>
      <c r="B77" s="3">
        <v>44652</v>
      </c>
      <c r="C77" s="2">
        <v>19</v>
      </c>
      <c r="D77" s="2">
        <v>30529</v>
      </c>
      <c r="E77" s="17">
        <v>61318.97</v>
      </c>
      <c r="F77" s="11">
        <v>6.4</v>
      </c>
      <c r="G77" s="9">
        <v>4788.6000000000004</v>
      </c>
      <c r="H77" s="10">
        <v>0.36799999999999999</v>
      </c>
      <c r="I77" s="11">
        <v>6.5</v>
      </c>
    </row>
    <row r="78" spans="1:9" x14ac:dyDescent="0.35">
      <c r="A78" s="2" t="s">
        <v>26</v>
      </c>
      <c r="B78" s="3">
        <v>44682</v>
      </c>
      <c r="C78" s="2">
        <v>19</v>
      </c>
      <c r="D78" s="2">
        <v>25441</v>
      </c>
      <c r="E78" s="17">
        <v>57944.75</v>
      </c>
      <c r="F78" s="11">
        <v>6.41</v>
      </c>
      <c r="G78" s="9">
        <v>3981.4</v>
      </c>
      <c r="H78" s="10">
        <v>0.57899999999999996</v>
      </c>
      <c r="I78" s="11">
        <v>7.1</v>
      </c>
    </row>
    <row r="79" spans="1:9" x14ac:dyDescent="0.35">
      <c r="A79" s="2" t="s">
        <v>26</v>
      </c>
      <c r="B79" s="3">
        <v>44713</v>
      </c>
      <c r="C79" s="2">
        <v>17</v>
      </c>
      <c r="D79" s="2">
        <v>25925</v>
      </c>
      <c r="E79" s="17">
        <v>61446.66</v>
      </c>
      <c r="F79" s="11">
        <v>6.5</v>
      </c>
      <c r="G79" s="9">
        <v>4035.4</v>
      </c>
      <c r="H79" s="10">
        <v>0.35299999999999998</v>
      </c>
      <c r="I79" s="11">
        <v>6.7</v>
      </c>
    </row>
    <row r="80" spans="1:9" x14ac:dyDescent="0.35">
      <c r="A80" s="2" t="s">
        <v>26</v>
      </c>
      <c r="B80" s="3">
        <v>44743</v>
      </c>
      <c r="C80" s="2">
        <v>23</v>
      </c>
      <c r="D80" s="2">
        <v>31212</v>
      </c>
      <c r="E80" s="17">
        <v>68986.36</v>
      </c>
      <c r="F80" s="11">
        <v>6.77</v>
      </c>
      <c r="G80" s="9">
        <v>4686.2</v>
      </c>
      <c r="H80" s="10">
        <v>0.435</v>
      </c>
      <c r="I80" s="11">
        <v>7.5</v>
      </c>
    </row>
    <row r="81" spans="1:9" x14ac:dyDescent="0.35">
      <c r="A81" s="2" t="s">
        <v>26</v>
      </c>
      <c r="B81" s="3">
        <v>44774</v>
      </c>
      <c r="C81" s="2">
        <v>16</v>
      </c>
      <c r="D81" s="2">
        <v>22070</v>
      </c>
      <c r="E81" s="17">
        <v>47136.33</v>
      </c>
      <c r="F81" s="11">
        <v>6.44</v>
      </c>
      <c r="G81" s="9">
        <v>3410.6</v>
      </c>
      <c r="H81" s="10">
        <v>0.375</v>
      </c>
      <c r="I81" s="11">
        <v>7.3</v>
      </c>
    </row>
    <row r="82" spans="1:9" x14ac:dyDescent="0.35">
      <c r="A82" s="2" t="s">
        <v>26</v>
      </c>
      <c r="B82" s="3">
        <v>44805</v>
      </c>
      <c r="C82" s="2">
        <v>17</v>
      </c>
      <c r="D82" s="2">
        <v>26166</v>
      </c>
      <c r="E82" s="17">
        <v>52823.54</v>
      </c>
      <c r="F82" s="11">
        <v>6.58</v>
      </c>
      <c r="G82" s="9">
        <v>4011.8</v>
      </c>
      <c r="H82" s="10">
        <v>0.17599999999999999</v>
      </c>
      <c r="I82" s="11">
        <v>7.1</v>
      </c>
    </row>
    <row r="83" spans="1:9" x14ac:dyDescent="0.35">
      <c r="A83" s="2" t="s">
        <v>26</v>
      </c>
      <c r="B83" s="3">
        <v>44835</v>
      </c>
      <c r="C83" s="2">
        <v>19</v>
      </c>
      <c r="D83" s="2">
        <v>28311</v>
      </c>
      <c r="E83" s="17">
        <v>61837.97</v>
      </c>
      <c r="F83" s="11">
        <v>6.5</v>
      </c>
      <c r="G83" s="9">
        <v>4423.8999999999996</v>
      </c>
      <c r="H83" s="10">
        <v>0.47399999999999998</v>
      </c>
      <c r="I83" s="11">
        <v>6.3</v>
      </c>
    </row>
    <row r="84" spans="1:9" x14ac:dyDescent="0.35">
      <c r="A84" s="2" t="s">
        <v>26</v>
      </c>
      <c r="B84" s="3">
        <v>44866</v>
      </c>
      <c r="C84" s="2">
        <v>19</v>
      </c>
      <c r="D84" s="2">
        <v>34196</v>
      </c>
      <c r="E84" s="17">
        <v>73564.05</v>
      </c>
      <c r="F84" s="11">
        <v>6.47</v>
      </c>
      <c r="G84" s="9">
        <v>5292.8</v>
      </c>
      <c r="H84" s="10">
        <v>0.36799999999999999</v>
      </c>
      <c r="I84" s="11">
        <v>8.8000000000000007</v>
      </c>
    </row>
    <row r="85" spans="1:9" x14ac:dyDescent="0.35">
      <c r="A85" s="2" t="s">
        <v>26</v>
      </c>
      <c r="B85" s="3">
        <v>44896</v>
      </c>
      <c r="C85" s="2">
        <v>21</v>
      </c>
      <c r="D85" s="2">
        <v>28346</v>
      </c>
      <c r="E85" s="17">
        <v>66510.53</v>
      </c>
      <c r="F85" s="11">
        <v>6.52</v>
      </c>
      <c r="G85" s="9">
        <v>4398.3999999999996</v>
      </c>
      <c r="H85" s="10">
        <v>0.47599999999999998</v>
      </c>
      <c r="I85" s="11">
        <v>6.4</v>
      </c>
    </row>
    <row r="86" spans="1:9" x14ac:dyDescent="0.35">
      <c r="A86" s="2" t="s">
        <v>26</v>
      </c>
      <c r="B86" s="3">
        <v>44927</v>
      </c>
      <c r="C86" s="2">
        <v>21</v>
      </c>
      <c r="D86" s="2">
        <v>31027</v>
      </c>
      <c r="E86" s="17">
        <v>64371.74</v>
      </c>
      <c r="F86" s="11">
        <v>6.47</v>
      </c>
      <c r="G86" s="9">
        <v>4914.1000000000004</v>
      </c>
      <c r="H86" s="10">
        <v>0.42899999999999999</v>
      </c>
      <c r="I86" s="11">
        <v>6.4</v>
      </c>
    </row>
    <row r="87" spans="1:9" x14ac:dyDescent="0.35">
      <c r="A87" s="2" t="s">
        <v>26</v>
      </c>
      <c r="B87" s="3">
        <v>44958</v>
      </c>
      <c r="C87" s="2">
        <v>25</v>
      </c>
      <c r="D87" s="2">
        <v>36532</v>
      </c>
      <c r="E87" s="17">
        <v>77105.48</v>
      </c>
      <c r="F87" s="11">
        <v>6.51</v>
      </c>
      <c r="G87" s="9">
        <v>5621.2</v>
      </c>
      <c r="H87" s="10">
        <v>0.48</v>
      </c>
      <c r="I87" s="11">
        <v>7.6</v>
      </c>
    </row>
    <row r="88" spans="1:9" x14ac:dyDescent="0.35">
      <c r="A88" s="2" t="s">
        <v>26</v>
      </c>
      <c r="B88" s="3">
        <v>44986</v>
      </c>
      <c r="C88" s="2">
        <v>25</v>
      </c>
      <c r="D88" s="2">
        <v>33699</v>
      </c>
      <c r="E88" s="17">
        <v>73001.320000000007</v>
      </c>
      <c r="F88" s="11">
        <v>6.76</v>
      </c>
      <c r="G88" s="9">
        <v>4965.6000000000004</v>
      </c>
      <c r="H88" s="10">
        <v>0.48</v>
      </c>
      <c r="I88" s="11">
        <v>5.9</v>
      </c>
    </row>
    <row r="89" spans="1:9" x14ac:dyDescent="0.35">
      <c r="A89" s="2" t="s">
        <v>26</v>
      </c>
      <c r="B89" s="3">
        <v>45017</v>
      </c>
      <c r="C89" s="2">
        <v>24</v>
      </c>
      <c r="D89" s="2">
        <v>36781</v>
      </c>
      <c r="E89" s="17">
        <v>79394.58</v>
      </c>
      <c r="F89" s="11">
        <v>6.56</v>
      </c>
      <c r="G89" s="9">
        <v>5606.1</v>
      </c>
      <c r="H89" s="10">
        <v>0.375</v>
      </c>
      <c r="I89" s="11">
        <v>7.1</v>
      </c>
    </row>
    <row r="90" spans="1:9" x14ac:dyDescent="0.35">
      <c r="A90" s="2" t="s">
        <v>26</v>
      </c>
      <c r="B90" s="3">
        <v>45047</v>
      </c>
      <c r="C90" s="2">
        <v>18</v>
      </c>
      <c r="D90" s="2">
        <v>22131</v>
      </c>
      <c r="E90" s="17">
        <v>47256.71</v>
      </c>
      <c r="F90" s="11">
        <v>6.48</v>
      </c>
      <c r="G90" s="9">
        <v>3504.2</v>
      </c>
      <c r="H90" s="10">
        <v>0.222</v>
      </c>
      <c r="I90" s="11">
        <v>5.8</v>
      </c>
    </row>
    <row r="91" spans="1:9" x14ac:dyDescent="0.35">
      <c r="A91" s="2" t="s">
        <v>26</v>
      </c>
      <c r="B91" s="3">
        <v>45078</v>
      </c>
      <c r="C91" s="2">
        <v>21</v>
      </c>
      <c r="D91" s="2">
        <v>26977</v>
      </c>
      <c r="E91" s="17">
        <v>56730.39</v>
      </c>
      <c r="F91" s="11">
        <v>6.43</v>
      </c>
      <c r="G91" s="9">
        <v>4219.3</v>
      </c>
      <c r="H91" s="10">
        <v>0.61899999999999999</v>
      </c>
      <c r="I91" s="11">
        <v>6.7</v>
      </c>
    </row>
    <row r="92" spans="1:9" x14ac:dyDescent="0.35">
      <c r="A92" s="2" t="s">
        <v>26</v>
      </c>
      <c r="B92" s="3">
        <v>45108</v>
      </c>
      <c r="C92" s="2">
        <v>22</v>
      </c>
      <c r="D92" s="2">
        <v>32889</v>
      </c>
      <c r="E92" s="17">
        <v>67379.16</v>
      </c>
      <c r="F92" s="11">
        <v>6.59</v>
      </c>
      <c r="G92" s="9">
        <v>5000</v>
      </c>
      <c r="H92" s="10">
        <v>0.22700000000000001</v>
      </c>
      <c r="I92" s="11">
        <v>7.5</v>
      </c>
    </row>
    <row r="93" spans="1:9" x14ac:dyDescent="0.35">
      <c r="A93" s="2" t="s">
        <v>26</v>
      </c>
      <c r="B93" s="3">
        <v>45139</v>
      </c>
      <c r="C93" s="2">
        <v>18</v>
      </c>
      <c r="D93" s="2">
        <v>28262</v>
      </c>
      <c r="E93" s="17">
        <v>57450.89</v>
      </c>
      <c r="F93" s="11">
        <v>6.54</v>
      </c>
      <c r="G93" s="9">
        <v>4325.1000000000004</v>
      </c>
      <c r="H93" s="10">
        <v>0.72199999999999998</v>
      </c>
      <c r="I93" s="11">
        <v>7.3</v>
      </c>
    </row>
    <row r="94" spans="1:9" x14ac:dyDescent="0.35">
      <c r="A94" s="2" t="s">
        <v>26</v>
      </c>
      <c r="B94" s="3">
        <v>45170</v>
      </c>
      <c r="C94" s="2">
        <v>17</v>
      </c>
      <c r="D94" s="2">
        <v>30267</v>
      </c>
      <c r="E94" s="17">
        <v>61036.69</v>
      </c>
      <c r="F94" s="11">
        <v>6.38</v>
      </c>
      <c r="G94" s="9">
        <v>4761.3</v>
      </c>
      <c r="H94" s="10">
        <v>0.64700000000000002</v>
      </c>
      <c r="I94" s="11">
        <v>6.8</v>
      </c>
    </row>
    <row r="95" spans="1:9" x14ac:dyDescent="0.35">
      <c r="A95" s="2" t="s">
        <v>26</v>
      </c>
      <c r="B95" s="3">
        <v>45200</v>
      </c>
      <c r="C95" s="2">
        <v>20</v>
      </c>
      <c r="D95" s="2">
        <v>32471</v>
      </c>
      <c r="E95" s="17">
        <v>73604.44</v>
      </c>
      <c r="F95" s="11">
        <v>6.69</v>
      </c>
      <c r="G95" s="9">
        <v>4878.3999999999996</v>
      </c>
      <c r="H95" s="10">
        <v>0.55000000000000004</v>
      </c>
      <c r="I95" s="11">
        <v>7.5</v>
      </c>
    </row>
    <row r="96" spans="1:9" x14ac:dyDescent="0.35">
      <c r="A96" s="2" t="s">
        <v>26</v>
      </c>
      <c r="B96" s="3">
        <v>45231</v>
      </c>
      <c r="C96" s="2">
        <v>13</v>
      </c>
      <c r="D96" s="2">
        <v>24084</v>
      </c>
      <c r="E96" s="17">
        <v>45235.01</v>
      </c>
      <c r="F96" s="11">
        <v>6.7</v>
      </c>
      <c r="G96" s="9">
        <v>3655.5</v>
      </c>
      <c r="H96" s="10">
        <v>0.46200000000000002</v>
      </c>
      <c r="I96" s="11">
        <v>5.9</v>
      </c>
    </row>
    <row r="97" spans="1:9" x14ac:dyDescent="0.35">
      <c r="A97" s="2" t="s">
        <v>26</v>
      </c>
      <c r="B97" s="3">
        <v>45261</v>
      </c>
      <c r="C97" s="2">
        <v>25</v>
      </c>
      <c r="D97" s="2">
        <v>32958</v>
      </c>
      <c r="E97" s="17">
        <v>66313.179999999993</v>
      </c>
      <c r="F97" s="11">
        <v>6.59</v>
      </c>
      <c r="G97" s="9">
        <v>5101.8999999999996</v>
      </c>
      <c r="H97" s="10">
        <v>0.6</v>
      </c>
      <c r="I97" s="11">
        <v>7.1</v>
      </c>
    </row>
    <row r="98" spans="1:9" x14ac:dyDescent="0.35">
      <c r="A98" s="2" t="s">
        <v>26</v>
      </c>
      <c r="B98" s="3">
        <v>45292</v>
      </c>
      <c r="C98" s="2">
        <v>15</v>
      </c>
      <c r="D98" s="2">
        <v>29027</v>
      </c>
      <c r="E98" s="17">
        <v>55474.99</v>
      </c>
      <c r="F98" s="11">
        <v>6.38</v>
      </c>
      <c r="G98" s="9">
        <v>4620.7</v>
      </c>
      <c r="H98" s="10">
        <v>0.4</v>
      </c>
      <c r="I98" s="11">
        <v>7.4</v>
      </c>
    </row>
    <row r="99" spans="1:9" x14ac:dyDescent="0.35">
      <c r="A99" s="2" t="s">
        <v>26</v>
      </c>
      <c r="B99" s="3">
        <v>45323</v>
      </c>
      <c r="C99" s="2">
        <v>17</v>
      </c>
      <c r="D99" s="2">
        <v>23829</v>
      </c>
      <c r="E99" s="17">
        <v>52033.919999999998</v>
      </c>
      <c r="F99" s="11">
        <v>6.59</v>
      </c>
      <c r="G99" s="9">
        <v>3719.6</v>
      </c>
      <c r="H99" s="10">
        <v>0.82399999999999995</v>
      </c>
      <c r="I99" s="11">
        <v>6.2</v>
      </c>
    </row>
    <row r="100" spans="1:9" x14ac:dyDescent="0.35">
      <c r="A100" s="2" t="s">
        <v>26</v>
      </c>
      <c r="B100" s="3">
        <v>45352</v>
      </c>
      <c r="C100" s="2">
        <v>13</v>
      </c>
      <c r="D100" s="2">
        <v>23946</v>
      </c>
      <c r="E100" s="17">
        <v>50357.71</v>
      </c>
      <c r="F100" s="11">
        <v>6.65</v>
      </c>
      <c r="G100" s="9">
        <v>3658.5</v>
      </c>
      <c r="H100" s="10">
        <v>0.308</v>
      </c>
      <c r="I100" s="11">
        <v>5.2</v>
      </c>
    </row>
    <row r="101" spans="1:9" x14ac:dyDescent="0.35">
      <c r="A101" s="2" t="s">
        <v>26</v>
      </c>
      <c r="B101" s="3">
        <v>45383</v>
      </c>
      <c r="C101" s="2">
        <v>18</v>
      </c>
      <c r="D101" s="2">
        <v>21932</v>
      </c>
      <c r="E101" s="17">
        <v>47461.61</v>
      </c>
      <c r="F101" s="11">
        <v>6.7</v>
      </c>
      <c r="G101" s="9">
        <v>3276.9</v>
      </c>
      <c r="H101" s="10">
        <v>0.44400000000000001</v>
      </c>
      <c r="I101" s="11">
        <v>6.2</v>
      </c>
    </row>
    <row r="102" spans="1:9" x14ac:dyDescent="0.35">
      <c r="A102" s="2" t="s">
        <v>26</v>
      </c>
      <c r="B102" s="3">
        <v>45413</v>
      </c>
      <c r="C102" s="2">
        <v>21</v>
      </c>
      <c r="D102" s="2">
        <v>34917</v>
      </c>
      <c r="E102" s="17">
        <v>73607.55</v>
      </c>
      <c r="F102" s="11">
        <v>6.36</v>
      </c>
      <c r="G102" s="9">
        <v>5574.2</v>
      </c>
      <c r="H102" s="10">
        <v>0.38100000000000001</v>
      </c>
      <c r="I102" s="11">
        <v>7</v>
      </c>
    </row>
    <row r="103" spans="1:9" x14ac:dyDescent="0.35">
      <c r="A103" s="2" t="s">
        <v>26</v>
      </c>
      <c r="B103" s="3">
        <v>45444</v>
      </c>
      <c r="C103" s="2">
        <v>20</v>
      </c>
      <c r="D103" s="2">
        <v>27858</v>
      </c>
      <c r="E103" s="17">
        <v>60776.31</v>
      </c>
      <c r="F103" s="11">
        <v>6.57</v>
      </c>
      <c r="G103" s="9">
        <v>4280.6000000000004</v>
      </c>
      <c r="H103" s="10">
        <v>0.3</v>
      </c>
      <c r="I103" s="11">
        <v>6.4</v>
      </c>
    </row>
    <row r="104" spans="1:9" x14ac:dyDescent="0.35">
      <c r="A104" s="2" t="s">
        <v>26</v>
      </c>
      <c r="B104" s="3">
        <v>45474</v>
      </c>
      <c r="C104" s="2">
        <v>12</v>
      </c>
      <c r="D104" s="2">
        <v>19643</v>
      </c>
      <c r="E104" s="17">
        <v>42888.42</v>
      </c>
      <c r="F104" s="11">
        <v>6.35</v>
      </c>
      <c r="G104" s="9">
        <v>3036.2</v>
      </c>
      <c r="H104" s="10">
        <v>0.33300000000000002</v>
      </c>
      <c r="I104" s="11">
        <v>5.4</v>
      </c>
    </row>
    <row r="105" spans="1:9" x14ac:dyDescent="0.35">
      <c r="A105" s="2" t="s">
        <v>26</v>
      </c>
      <c r="B105" s="3">
        <v>45505</v>
      </c>
      <c r="C105" s="2">
        <v>15</v>
      </c>
      <c r="D105" s="2">
        <v>19860</v>
      </c>
      <c r="E105" s="17">
        <v>41098.080000000002</v>
      </c>
      <c r="F105" s="11">
        <v>6.38</v>
      </c>
      <c r="G105" s="9">
        <v>3139.7</v>
      </c>
      <c r="H105" s="10">
        <v>0.6</v>
      </c>
      <c r="I105" s="11">
        <v>6.9</v>
      </c>
    </row>
    <row r="106" spans="1:9" x14ac:dyDescent="0.35">
      <c r="A106" s="2" t="s">
        <v>26</v>
      </c>
      <c r="B106" s="3">
        <v>45536</v>
      </c>
      <c r="C106" s="2">
        <v>21</v>
      </c>
      <c r="D106" s="2">
        <v>29353</v>
      </c>
      <c r="E106" s="17">
        <v>71046.17</v>
      </c>
      <c r="F106" s="11">
        <v>6.72</v>
      </c>
      <c r="G106" s="9">
        <v>4409.7</v>
      </c>
      <c r="H106" s="10">
        <v>0.61899999999999999</v>
      </c>
      <c r="I106" s="11">
        <v>6.9</v>
      </c>
    </row>
    <row r="107" spans="1:9" x14ac:dyDescent="0.35">
      <c r="A107" s="2" t="s">
        <v>26</v>
      </c>
      <c r="B107" s="3">
        <v>45566</v>
      </c>
      <c r="C107" s="2">
        <v>14</v>
      </c>
      <c r="D107" s="2">
        <v>19798</v>
      </c>
      <c r="E107" s="17">
        <v>37210.68</v>
      </c>
      <c r="F107" s="11">
        <v>6.78</v>
      </c>
      <c r="G107" s="9">
        <v>2944.4</v>
      </c>
      <c r="H107" s="10">
        <v>0.64300000000000002</v>
      </c>
      <c r="I107" s="11">
        <v>6.2</v>
      </c>
    </row>
    <row r="108" spans="1:9" x14ac:dyDescent="0.35">
      <c r="A108" s="2" t="s">
        <v>26</v>
      </c>
      <c r="B108" s="3">
        <v>45597</v>
      </c>
      <c r="C108" s="2">
        <v>15</v>
      </c>
      <c r="D108" s="2">
        <v>20087</v>
      </c>
      <c r="E108" s="17">
        <v>43927.83</v>
      </c>
      <c r="F108" s="11">
        <v>6.64</v>
      </c>
      <c r="G108" s="9">
        <v>3076.6</v>
      </c>
      <c r="H108" s="10">
        <v>0.4</v>
      </c>
      <c r="I108" s="11">
        <v>6.3</v>
      </c>
    </row>
    <row r="109" spans="1:9" x14ac:dyDescent="0.35">
      <c r="A109" s="2" t="s">
        <v>26</v>
      </c>
      <c r="B109" s="3">
        <v>45627</v>
      </c>
      <c r="C109" s="2">
        <v>19</v>
      </c>
      <c r="D109" s="2">
        <v>27950</v>
      </c>
      <c r="E109" s="17">
        <v>60414.81</v>
      </c>
      <c r="F109" s="11">
        <v>6.65</v>
      </c>
      <c r="G109" s="9">
        <v>4218.8999999999996</v>
      </c>
      <c r="H109" s="10">
        <v>0.42099999999999999</v>
      </c>
      <c r="I109" s="11">
        <v>7.4</v>
      </c>
    </row>
    <row r="110" spans="1:9" x14ac:dyDescent="0.35">
      <c r="A110" s="2" t="s">
        <v>31</v>
      </c>
      <c r="B110" s="3">
        <v>44562</v>
      </c>
      <c r="C110" s="2">
        <v>18</v>
      </c>
      <c r="D110" s="2">
        <v>30923</v>
      </c>
      <c r="E110" s="17">
        <v>60405.56</v>
      </c>
      <c r="F110" s="11">
        <v>6.46</v>
      </c>
      <c r="G110" s="9">
        <v>4792.8</v>
      </c>
      <c r="H110" s="10">
        <v>0.222</v>
      </c>
      <c r="I110" s="11">
        <v>6.5</v>
      </c>
    </row>
    <row r="111" spans="1:9" x14ac:dyDescent="0.35">
      <c r="A111" s="2" t="s">
        <v>31</v>
      </c>
      <c r="B111" s="3">
        <v>44593</v>
      </c>
      <c r="C111" s="2">
        <v>13</v>
      </c>
      <c r="D111" s="2">
        <v>13242</v>
      </c>
      <c r="E111" s="17">
        <v>27380.91</v>
      </c>
      <c r="F111" s="11">
        <v>6.55</v>
      </c>
      <c r="G111" s="9">
        <v>2054</v>
      </c>
      <c r="H111" s="10">
        <v>0.308</v>
      </c>
      <c r="I111" s="11">
        <v>8</v>
      </c>
    </row>
    <row r="112" spans="1:9" x14ac:dyDescent="0.35">
      <c r="A112" s="2" t="s">
        <v>31</v>
      </c>
      <c r="B112" s="3">
        <v>44621</v>
      </c>
      <c r="C112" s="2">
        <v>13</v>
      </c>
      <c r="D112" s="2">
        <v>19765</v>
      </c>
      <c r="E112" s="17">
        <v>42002.18</v>
      </c>
      <c r="F112" s="11">
        <v>6.54</v>
      </c>
      <c r="G112" s="9">
        <v>3067.3</v>
      </c>
      <c r="H112" s="10">
        <v>0.61499999999999999</v>
      </c>
      <c r="I112" s="11">
        <v>6.7</v>
      </c>
    </row>
    <row r="113" spans="1:9" x14ac:dyDescent="0.35">
      <c r="A113" s="2" t="s">
        <v>31</v>
      </c>
      <c r="B113" s="3">
        <v>44652</v>
      </c>
      <c r="C113" s="2">
        <v>24</v>
      </c>
      <c r="D113" s="2">
        <v>40087</v>
      </c>
      <c r="E113" s="17">
        <v>84580.160000000003</v>
      </c>
      <c r="F113" s="11">
        <v>6.7</v>
      </c>
      <c r="G113" s="9">
        <v>6096.6</v>
      </c>
      <c r="H113" s="10">
        <v>0.58299999999999996</v>
      </c>
      <c r="I113" s="11">
        <v>6.8</v>
      </c>
    </row>
    <row r="114" spans="1:9" x14ac:dyDescent="0.35">
      <c r="A114" s="2" t="s">
        <v>31</v>
      </c>
      <c r="B114" s="3">
        <v>44682</v>
      </c>
      <c r="C114" s="2">
        <v>12</v>
      </c>
      <c r="D114" s="2">
        <v>14291</v>
      </c>
      <c r="E114" s="17">
        <v>33118.410000000003</v>
      </c>
      <c r="F114" s="11">
        <v>6.53</v>
      </c>
      <c r="G114" s="9">
        <v>2238.6</v>
      </c>
      <c r="H114" s="10">
        <v>0.58299999999999996</v>
      </c>
      <c r="I114" s="11">
        <v>8.1</v>
      </c>
    </row>
    <row r="115" spans="1:9" x14ac:dyDescent="0.35">
      <c r="A115" s="2" t="s">
        <v>31</v>
      </c>
      <c r="B115" s="3">
        <v>44713</v>
      </c>
      <c r="C115" s="2">
        <v>23</v>
      </c>
      <c r="D115" s="2">
        <v>35468</v>
      </c>
      <c r="E115" s="17">
        <v>77895.039999999994</v>
      </c>
      <c r="F115" s="11">
        <v>6.78</v>
      </c>
      <c r="G115" s="9">
        <v>5307.7</v>
      </c>
      <c r="H115" s="10">
        <v>0.435</v>
      </c>
      <c r="I115" s="11">
        <v>6.9</v>
      </c>
    </row>
    <row r="116" spans="1:9" x14ac:dyDescent="0.35">
      <c r="A116" s="2" t="s">
        <v>31</v>
      </c>
      <c r="B116" s="3">
        <v>44743</v>
      </c>
      <c r="C116" s="2">
        <v>32</v>
      </c>
      <c r="D116" s="2">
        <v>46186</v>
      </c>
      <c r="E116" s="17">
        <v>98176.320000000007</v>
      </c>
      <c r="F116" s="11">
        <v>6.2</v>
      </c>
      <c r="G116" s="9">
        <v>7503.4</v>
      </c>
      <c r="H116" s="10">
        <v>0.28100000000000003</v>
      </c>
      <c r="I116" s="11">
        <v>6.6</v>
      </c>
    </row>
    <row r="117" spans="1:9" x14ac:dyDescent="0.35">
      <c r="A117" s="2" t="s">
        <v>31</v>
      </c>
      <c r="B117" s="3">
        <v>44774</v>
      </c>
      <c r="C117" s="2">
        <v>25</v>
      </c>
      <c r="D117" s="2">
        <v>38640</v>
      </c>
      <c r="E117" s="17">
        <v>82802.95</v>
      </c>
      <c r="F117" s="11">
        <v>6.59</v>
      </c>
      <c r="G117" s="9">
        <v>6037.9</v>
      </c>
      <c r="H117" s="10">
        <v>0.36</v>
      </c>
      <c r="I117" s="11">
        <v>7.5</v>
      </c>
    </row>
    <row r="118" spans="1:9" x14ac:dyDescent="0.35">
      <c r="A118" s="2" t="s">
        <v>31</v>
      </c>
      <c r="B118" s="3">
        <v>44805</v>
      </c>
      <c r="C118" s="2">
        <v>18</v>
      </c>
      <c r="D118" s="2">
        <v>24375</v>
      </c>
      <c r="E118" s="17">
        <v>50300.66</v>
      </c>
      <c r="F118" s="11">
        <v>6.58</v>
      </c>
      <c r="G118" s="9">
        <v>3673.1</v>
      </c>
      <c r="H118" s="10">
        <v>0.5</v>
      </c>
      <c r="I118" s="11">
        <v>6.1</v>
      </c>
    </row>
    <row r="119" spans="1:9" x14ac:dyDescent="0.35">
      <c r="A119" s="2" t="s">
        <v>31</v>
      </c>
      <c r="B119" s="3">
        <v>44835</v>
      </c>
      <c r="C119" s="2">
        <v>23</v>
      </c>
      <c r="D119" s="2">
        <v>34614</v>
      </c>
      <c r="E119" s="17">
        <v>74551.259999999995</v>
      </c>
      <c r="F119" s="11">
        <v>6.5</v>
      </c>
      <c r="G119" s="9">
        <v>5264</v>
      </c>
      <c r="H119" s="10">
        <v>0.26100000000000001</v>
      </c>
      <c r="I119" s="11">
        <v>6.9</v>
      </c>
    </row>
    <row r="120" spans="1:9" x14ac:dyDescent="0.35">
      <c r="A120" s="2" t="s">
        <v>31</v>
      </c>
      <c r="B120" s="3">
        <v>44866</v>
      </c>
      <c r="C120" s="2">
        <v>20</v>
      </c>
      <c r="D120" s="2">
        <v>33749</v>
      </c>
      <c r="E120" s="17">
        <v>73988.31</v>
      </c>
      <c r="F120" s="11">
        <v>6.67</v>
      </c>
      <c r="G120" s="9">
        <v>5188.8999999999996</v>
      </c>
      <c r="H120" s="10">
        <v>0.5</v>
      </c>
      <c r="I120" s="11">
        <v>5.9</v>
      </c>
    </row>
    <row r="121" spans="1:9" x14ac:dyDescent="0.35">
      <c r="A121" s="2" t="s">
        <v>31</v>
      </c>
      <c r="B121" s="3">
        <v>44896</v>
      </c>
      <c r="C121" s="2">
        <v>16</v>
      </c>
      <c r="D121" s="2">
        <v>23810</v>
      </c>
      <c r="E121" s="17">
        <v>54245.78</v>
      </c>
      <c r="F121" s="11">
        <v>6.52</v>
      </c>
      <c r="G121" s="9">
        <v>3703.2</v>
      </c>
      <c r="H121" s="10">
        <v>0.312</v>
      </c>
      <c r="I121" s="11">
        <v>7.4</v>
      </c>
    </row>
    <row r="122" spans="1:9" x14ac:dyDescent="0.35">
      <c r="A122" s="2" t="s">
        <v>31</v>
      </c>
      <c r="B122" s="3">
        <v>44927</v>
      </c>
      <c r="C122" s="2">
        <v>19</v>
      </c>
      <c r="D122" s="2">
        <v>21930</v>
      </c>
      <c r="E122" s="17">
        <v>52982.66</v>
      </c>
      <c r="F122" s="11">
        <v>6.53</v>
      </c>
      <c r="G122" s="9">
        <v>3411.5</v>
      </c>
      <c r="H122" s="10">
        <v>0.36799999999999999</v>
      </c>
      <c r="I122" s="11">
        <v>7</v>
      </c>
    </row>
    <row r="123" spans="1:9" x14ac:dyDescent="0.35">
      <c r="A123" s="2" t="s">
        <v>31</v>
      </c>
      <c r="B123" s="3">
        <v>44958</v>
      </c>
      <c r="C123" s="2">
        <v>19</v>
      </c>
      <c r="D123" s="2">
        <v>31222</v>
      </c>
      <c r="E123" s="17">
        <v>68199.06</v>
      </c>
      <c r="F123" s="11">
        <v>6.46</v>
      </c>
      <c r="G123" s="9">
        <v>4803.1000000000004</v>
      </c>
      <c r="H123" s="10">
        <v>0.316</v>
      </c>
      <c r="I123" s="11">
        <v>7.8</v>
      </c>
    </row>
    <row r="124" spans="1:9" x14ac:dyDescent="0.35">
      <c r="A124" s="2" t="s">
        <v>31</v>
      </c>
      <c r="B124" s="3">
        <v>44986</v>
      </c>
      <c r="C124" s="2">
        <v>22</v>
      </c>
      <c r="D124" s="2">
        <v>35225</v>
      </c>
      <c r="E124" s="17">
        <v>85107.77</v>
      </c>
      <c r="F124" s="11">
        <v>6.39</v>
      </c>
      <c r="G124" s="9">
        <v>5560.2</v>
      </c>
      <c r="H124" s="10">
        <v>0.27300000000000002</v>
      </c>
      <c r="I124" s="11">
        <v>7.6</v>
      </c>
    </row>
    <row r="125" spans="1:9" x14ac:dyDescent="0.35">
      <c r="A125" s="2" t="s">
        <v>31</v>
      </c>
      <c r="B125" s="3">
        <v>45017</v>
      </c>
      <c r="C125" s="2">
        <v>14</v>
      </c>
      <c r="D125" s="2">
        <v>24847</v>
      </c>
      <c r="E125" s="17">
        <v>53051.37</v>
      </c>
      <c r="F125" s="11">
        <v>6.41</v>
      </c>
      <c r="G125" s="9">
        <v>3900.3</v>
      </c>
      <c r="H125" s="10">
        <v>0.42899999999999999</v>
      </c>
      <c r="I125" s="11">
        <v>6.8</v>
      </c>
    </row>
    <row r="126" spans="1:9" x14ac:dyDescent="0.35">
      <c r="A126" s="2" t="s">
        <v>31</v>
      </c>
      <c r="B126" s="3">
        <v>45047</v>
      </c>
      <c r="C126" s="2">
        <v>20</v>
      </c>
      <c r="D126" s="2">
        <v>30328</v>
      </c>
      <c r="E126" s="17">
        <v>62313.89</v>
      </c>
      <c r="F126" s="11">
        <v>6.34</v>
      </c>
      <c r="G126" s="9">
        <v>4778.3999999999996</v>
      </c>
      <c r="H126" s="10">
        <v>0.35</v>
      </c>
      <c r="I126" s="11">
        <v>7.5</v>
      </c>
    </row>
    <row r="127" spans="1:9" x14ac:dyDescent="0.35">
      <c r="A127" s="2" t="s">
        <v>31</v>
      </c>
      <c r="B127" s="3">
        <v>45078</v>
      </c>
      <c r="C127" s="2">
        <v>25</v>
      </c>
      <c r="D127" s="2">
        <v>31591</v>
      </c>
      <c r="E127" s="17">
        <v>67905.77</v>
      </c>
      <c r="F127" s="11">
        <v>6.68</v>
      </c>
      <c r="G127" s="9">
        <v>4789.5</v>
      </c>
      <c r="H127" s="10">
        <v>0.44</v>
      </c>
      <c r="I127" s="11">
        <v>8.5</v>
      </c>
    </row>
    <row r="128" spans="1:9" x14ac:dyDescent="0.35">
      <c r="A128" s="2" t="s">
        <v>31</v>
      </c>
      <c r="B128" s="3">
        <v>45108</v>
      </c>
      <c r="C128" s="2">
        <v>17</v>
      </c>
      <c r="D128" s="2">
        <v>25839</v>
      </c>
      <c r="E128" s="17">
        <v>53080.75</v>
      </c>
      <c r="F128" s="11">
        <v>6.6</v>
      </c>
      <c r="G128" s="9">
        <v>3975.9</v>
      </c>
      <c r="H128" s="10">
        <v>0.29399999999999998</v>
      </c>
      <c r="I128" s="11">
        <v>6.8</v>
      </c>
    </row>
    <row r="129" spans="1:9" x14ac:dyDescent="0.35">
      <c r="A129" s="2" t="s">
        <v>31</v>
      </c>
      <c r="B129" s="3">
        <v>45139</v>
      </c>
      <c r="C129" s="2">
        <v>15</v>
      </c>
      <c r="D129" s="2">
        <v>27499</v>
      </c>
      <c r="E129" s="17">
        <v>58630.07</v>
      </c>
      <c r="F129" s="11">
        <v>6.75</v>
      </c>
      <c r="G129" s="9">
        <v>4033.5</v>
      </c>
      <c r="H129" s="10">
        <v>0.46700000000000003</v>
      </c>
      <c r="I129" s="11">
        <v>5.6</v>
      </c>
    </row>
    <row r="130" spans="1:9" x14ac:dyDescent="0.35">
      <c r="A130" s="2" t="s">
        <v>31</v>
      </c>
      <c r="B130" s="3">
        <v>45170</v>
      </c>
      <c r="C130" s="2">
        <v>10</v>
      </c>
      <c r="D130" s="2">
        <v>11978</v>
      </c>
      <c r="E130" s="17">
        <v>26290.26</v>
      </c>
      <c r="F130" s="11">
        <v>6.27</v>
      </c>
      <c r="G130" s="9">
        <v>1968.3</v>
      </c>
      <c r="H130" s="10">
        <v>0.5</v>
      </c>
      <c r="I130" s="11">
        <v>8.1</v>
      </c>
    </row>
    <row r="131" spans="1:9" x14ac:dyDescent="0.35">
      <c r="A131" s="2" t="s">
        <v>31</v>
      </c>
      <c r="B131" s="3">
        <v>45200</v>
      </c>
      <c r="C131" s="2">
        <v>17</v>
      </c>
      <c r="D131" s="2">
        <v>22049</v>
      </c>
      <c r="E131" s="17">
        <v>45593.81</v>
      </c>
      <c r="F131" s="11">
        <v>6.61</v>
      </c>
      <c r="G131" s="9">
        <v>3370.1</v>
      </c>
      <c r="H131" s="10">
        <v>0.41199999999999998</v>
      </c>
      <c r="I131" s="11">
        <v>6.5</v>
      </c>
    </row>
    <row r="132" spans="1:9" x14ac:dyDescent="0.35">
      <c r="A132" s="2" t="s">
        <v>31</v>
      </c>
      <c r="B132" s="3">
        <v>45231</v>
      </c>
      <c r="C132" s="2">
        <v>13</v>
      </c>
      <c r="D132" s="2">
        <v>18825</v>
      </c>
      <c r="E132" s="17">
        <v>42706.62</v>
      </c>
      <c r="F132" s="11">
        <v>6.49</v>
      </c>
      <c r="G132" s="9">
        <v>2855.8</v>
      </c>
      <c r="H132" s="10">
        <v>0.61499999999999999</v>
      </c>
      <c r="I132" s="11">
        <v>6.1</v>
      </c>
    </row>
    <row r="133" spans="1:9" x14ac:dyDescent="0.35">
      <c r="A133" s="2" t="s">
        <v>31</v>
      </c>
      <c r="B133" s="3">
        <v>45261</v>
      </c>
      <c r="C133" s="2">
        <v>17</v>
      </c>
      <c r="D133" s="2">
        <v>21918</v>
      </c>
      <c r="E133" s="17">
        <v>48060.04</v>
      </c>
      <c r="F133" s="11">
        <v>6.65</v>
      </c>
      <c r="G133" s="9">
        <v>3397.1</v>
      </c>
      <c r="H133" s="10">
        <v>0.35299999999999998</v>
      </c>
      <c r="I133" s="11">
        <v>8</v>
      </c>
    </row>
    <row r="134" spans="1:9" x14ac:dyDescent="0.35">
      <c r="A134" s="2" t="s">
        <v>31</v>
      </c>
      <c r="B134" s="3">
        <v>45292</v>
      </c>
      <c r="C134" s="2">
        <v>16</v>
      </c>
      <c r="D134" s="2">
        <v>26987</v>
      </c>
      <c r="E134" s="17">
        <v>61090.13</v>
      </c>
      <c r="F134" s="11">
        <v>6.55</v>
      </c>
      <c r="G134" s="9">
        <v>4140.3</v>
      </c>
      <c r="H134" s="10">
        <v>0.438</v>
      </c>
      <c r="I134" s="11">
        <v>6</v>
      </c>
    </row>
    <row r="135" spans="1:9" x14ac:dyDescent="0.35">
      <c r="A135" s="2" t="s">
        <v>31</v>
      </c>
      <c r="B135" s="3">
        <v>45323</v>
      </c>
      <c r="C135" s="2">
        <v>19</v>
      </c>
      <c r="D135" s="2">
        <v>26858</v>
      </c>
      <c r="E135" s="17">
        <v>55363.26</v>
      </c>
      <c r="F135" s="11">
        <v>6.42</v>
      </c>
      <c r="G135" s="9">
        <v>4131.6000000000004</v>
      </c>
      <c r="H135" s="10">
        <v>0.63200000000000001</v>
      </c>
      <c r="I135" s="11">
        <v>6.6</v>
      </c>
    </row>
    <row r="136" spans="1:9" x14ac:dyDescent="0.35">
      <c r="A136" s="2" t="s">
        <v>31</v>
      </c>
      <c r="B136" s="3">
        <v>45352</v>
      </c>
      <c r="C136" s="2">
        <v>16</v>
      </c>
      <c r="D136" s="2">
        <v>24462</v>
      </c>
      <c r="E136" s="17">
        <v>50887.43</v>
      </c>
      <c r="F136" s="11">
        <v>6.55</v>
      </c>
      <c r="G136" s="9">
        <v>3680.6</v>
      </c>
      <c r="H136" s="10">
        <v>0.438</v>
      </c>
      <c r="I136" s="11">
        <v>7.5</v>
      </c>
    </row>
    <row r="137" spans="1:9" x14ac:dyDescent="0.35">
      <c r="A137" s="2" t="s">
        <v>31</v>
      </c>
      <c r="B137" s="3">
        <v>45383</v>
      </c>
      <c r="C137" s="2">
        <v>19</v>
      </c>
      <c r="D137" s="2">
        <v>24999</v>
      </c>
      <c r="E137" s="17">
        <v>53180.31</v>
      </c>
      <c r="F137" s="11">
        <v>6.43</v>
      </c>
      <c r="G137" s="9">
        <v>3978.4</v>
      </c>
      <c r="H137" s="10">
        <v>0.47399999999999998</v>
      </c>
      <c r="I137" s="11">
        <v>5.8</v>
      </c>
    </row>
    <row r="138" spans="1:9" x14ac:dyDescent="0.35">
      <c r="A138" s="2" t="s">
        <v>31</v>
      </c>
      <c r="B138" s="3">
        <v>45413</v>
      </c>
      <c r="C138" s="2">
        <v>23</v>
      </c>
      <c r="D138" s="2">
        <v>39140</v>
      </c>
      <c r="E138" s="17">
        <v>81970.05</v>
      </c>
      <c r="F138" s="11">
        <v>6.38</v>
      </c>
      <c r="G138" s="9">
        <v>6179.7</v>
      </c>
      <c r="H138" s="10">
        <v>0.47799999999999998</v>
      </c>
      <c r="I138" s="11">
        <v>6.8</v>
      </c>
    </row>
    <row r="139" spans="1:9" x14ac:dyDescent="0.35">
      <c r="A139" s="2" t="s">
        <v>31</v>
      </c>
      <c r="B139" s="3">
        <v>45444</v>
      </c>
      <c r="C139" s="2">
        <v>22</v>
      </c>
      <c r="D139" s="2">
        <v>33289</v>
      </c>
      <c r="E139" s="17">
        <v>74763.05</v>
      </c>
      <c r="F139" s="11">
        <v>6.53</v>
      </c>
      <c r="G139" s="9">
        <v>5130.7</v>
      </c>
      <c r="H139" s="10">
        <v>0.40899999999999997</v>
      </c>
      <c r="I139" s="11">
        <v>6.7</v>
      </c>
    </row>
    <row r="140" spans="1:9" x14ac:dyDescent="0.35">
      <c r="A140" s="2" t="s">
        <v>31</v>
      </c>
      <c r="B140" s="3">
        <v>45474</v>
      </c>
      <c r="C140" s="2">
        <v>13</v>
      </c>
      <c r="D140" s="2">
        <v>24149</v>
      </c>
      <c r="E140" s="17">
        <v>51317.32</v>
      </c>
      <c r="F140" s="11">
        <v>6.53</v>
      </c>
      <c r="G140" s="9">
        <v>3780.6</v>
      </c>
      <c r="H140" s="10">
        <v>0.46200000000000002</v>
      </c>
      <c r="I140" s="11">
        <v>6.8</v>
      </c>
    </row>
    <row r="141" spans="1:9" x14ac:dyDescent="0.35">
      <c r="A141" s="2" t="s">
        <v>31</v>
      </c>
      <c r="B141" s="3">
        <v>45505</v>
      </c>
      <c r="C141" s="2">
        <v>15</v>
      </c>
      <c r="D141" s="2">
        <v>22208</v>
      </c>
      <c r="E141" s="17">
        <v>48013.38</v>
      </c>
      <c r="F141" s="11">
        <v>6.59</v>
      </c>
      <c r="G141" s="9">
        <v>3357.3</v>
      </c>
      <c r="H141" s="10">
        <v>0.6</v>
      </c>
      <c r="I141" s="11">
        <v>6.8</v>
      </c>
    </row>
    <row r="142" spans="1:9" x14ac:dyDescent="0.35">
      <c r="A142" s="2" t="s">
        <v>31</v>
      </c>
      <c r="B142" s="3">
        <v>45536</v>
      </c>
      <c r="C142" s="2">
        <v>15</v>
      </c>
      <c r="D142" s="2">
        <v>22853</v>
      </c>
      <c r="E142" s="17">
        <v>52137.1</v>
      </c>
      <c r="F142" s="11">
        <v>6.61</v>
      </c>
      <c r="G142" s="9">
        <v>3493.6</v>
      </c>
      <c r="H142" s="10">
        <v>0.33300000000000002</v>
      </c>
      <c r="I142" s="11">
        <v>8.6</v>
      </c>
    </row>
    <row r="143" spans="1:9" x14ac:dyDescent="0.35">
      <c r="A143" s="2" t="s">
        <v>31</v>
      </c>
      <c r="B143" s="3">
        <v>45566</v>
      </c>
      <c r="C143" s="2">
        <v>14</v>
      </c>
      <c r="D143" s="2">
        <v>24403</v>
      </c>
      <c r="E143" s="17">
        <v>56373.440000000002</v>
      </c>
      <c r="F143" s="11">
        <v>6.54</v>
      </c>
      <c r="G143" s="9">
        <v>3796.1</v>
      </c>
      <c r="H143" s="10">
        <v>0.42899999999999999</v>
      </c>
      <c r="I143" s="11">
        <v>7.4</v>
      </c>
    </row>
    <row r="144" spans="1:9" x14ac:dyDescent="0.35">
      <c r="A144" s="2" t="s">
        <v>31</v>
      </c>
      <c r="B144" s="3">
        <v>45597</v>
      </c>
      <c r="C144" s="2">
        <v>20</v>
      </c>
      <c r="D144" s="2">
        <v>21348</v>
      </c>
      <c r="E144" s="17">
        <v>45568.61</v>
      </c>
      <c r="F144" s="11">
        <v>6.19</v>
      </c>
      <c r="G144" s="9">
        <v>3563.3</v>
      </c>
      <c r="H144" s="10">
        <v>0.45</v>
      </c>
      <c r="I144" s="11">
        <v>6.3</v>
      </c>
    </row>
    <row r="145" spans="1:9" x14ac:dyDescent="0.35">
      <c r="A145" s="2" t="s">
        <v>31</v>
      </c>
      <c r="B145" s="3">
        <v>45627</v>
      </c>
      <c r="C145" s="2">
        <v>22</v>
      </c>
      <c r="D145" s="2">
        <v>33528</v>
      </c>
      <c r="E145" s="17">
        <v>65327.76</v>
      </c>
      <c r="F145" s="11">
        <v>6.5</v>
      </c>
      <c r="G145" s="9">
        <v>5139.6000000000004</v>
      </c>
      <c r="H145" s="10">
        <v>0.5</v>
      </c>
      <c r="I145" s="11">
        <v>7.1</v>
      </c>
    </row>
    <row r="146" spans="1:9" x14ac:dyDescent="0.35">
      <c r="A146" s="2" t="s">
        <v>35</v>
      </c>
      <c r="B146" s="3">
        <v>44562</v>
      </c>
      <c r="C146" s="2">
        <v>12</v>
      </c>
      <c r="D146" s="2">
        <v>19991</v>
      </c>
      <c r="E146" s="17">
        <v>46330.99</v>
      </c>
      <c r="F146" s="11">
        <v>6.7</v>
      </c>
      <c r="G146" s="9">
        <v>3000.2</v>
      </c>
      <c r="H146" s="10">
        <v>0.41699999999999998</v>
      </c>
      <c r="I146" s="11">
        <v>7.7</v>
      </c>
    </row>
    <row r="147" spans="1:9" x14ac:dyDescent="0.35">
      <c r="A147" s="2" t="s">
        <v>35</v>
      </c>
      <c r="B147" s="3">
        <v>44593</v>
      </c>
      <c r="C147" s="2">
        <v>18</v>
      </c>
      <c r="D147" s="2">
        <v>26539</v>
      </c>
      <c r="E147" s="17">
        <v>61396.36</v>
      </c>
      <c r="F147" s="11">
        <v>6.73</v>
      </c>
      <c r="G147" s="9">
        <v>4020.2</v>
      </c>
      <c r="H147" s="10">
        <v>0.33300000000000002</v>
      </c>
      <c r="I147" s="11">
        <v>7.4</v>
      </c>
    </row>
    <row r="148" spans="1:9" x14ac:dyDescent="0.35">
      <c r="A148" s="2" t="s">
        <v>35</v>
      </c>
      <c r="B148" s="3">
        <v>44621</v>
      </c>
      <c r="C148" s="2">
        <v>6</v>
      </c>
      <c r="D148" s="2">
        <v>6650</v>
      </c>
      <c r="E148" s="17">
        <v>14941.63</v>
      </c>
      <c r="F148" s="11">
        <v>6.38</v>
      </c>
      <c r="G148" s="9">
        <v>1093.5</v>
      </c>
      <c r="H148" s="10">
        <v>0.16700000000000001</v>
      </c>
      <c r="I148" s="11">
        <v>9</v>
      </c>
    </row>
    <row r="149" spans="1:9" x14ac:dyDescent="0.35">
      <c r="A149" s="2" t="s">
        <v>35</v>
      </c>
      <c r="B149" s="3">
        <v>44652</v>
      </c>
      <c r="C149" s="2">
        <v>16</v>
      </c>
      <c r="D149" s="2">
        <v>22560</v>
      </c>
      <c r="E149" s="17">
        <v>46274.55</v>
      </c>
      <c r="F149" s="11">
        <v>6.37</v>
      </c>
      <c r="G149" s="9">
        <v>3596.7</v>
      </c>
      <c r="H149" s="10">
        <v>0.5</v>
      </c>
      <c r="I149" s="11">
        <v>7.4</v>
      </c>
    </row>
    <row r="150" spans="1:9" x14ac:dyDescent="0.35">
      <c r="A150" s="2" t="s">
        <v>35</v>
      </c>
      <c r="B150" s="3">
        <v>44682</v>
      </c>
      <c r="C150" s="2">
        <v>18</v>
      </c>
      <c r="D150" s="2">
        <v>23591</v>
      </c>
      <c r="E150" s="17">
        <v>52354.68</v>
      </c>
      <c r="F150" s="11">
        <v>6.39</v>
      </c>
      <c r="G150" s="9">
        <v>3766.4</v>
      </c>
      <c r="H150" s="10">
        <v>0.5</v>
      </c>
      <c r="I150" s="11">
        <v>7.9</v>
      </c>
    </row>
    <row r="151" spans="1:9" x14ac:dyDescent="0.35">
      <c r="A151" s="2" t="s">
        <v>35</v>
      </c>
      <c r="B151" s="3">
        <v>44713</v>
      </c>
      <c r="C151" s="2">
        <v>11</v>
      </c>
      <c r="D151" s="2">
        <v>19077</v>
      </c>
      <c r="E151" s="17">
        <v>35535.72</v>
      </c>
      <c r="F151" s="11">
        <v>6.56</v>
      </c>
      <c r="G151" s="9">
        <v>3027.6</v>
      </c>
      <c r="H151" s="10">
        <v>0.27300000000000002</v>
      </c>
      <c r="I151" s="11">
        <v>7.8</v>
      </c>
    </row>
    <row r="152" spans="1:9" x14ac:dyDescent="0.35">
      <c r="A152" s="2" t="s">
        <v>35</v>
      </c>
      <c r="B152" s="3">
        <v>44743</v>
      </c>
      <c r="C152" s="2">
        <v>19</v>
      </c>
      <c r="D152" s="2">
        <v>31144</v>
      </c>
      <c r="E152" s="17">
        <v>74032.7</v>
      </c>
      <c r="F152" s="11">
        <v>6.39</v>
      </c>
      <c r="G152" s="9">
        <v>4967.8999999999996</v>
      </c>
      <c r="H152" s="10">
        <v>0.21099999999999999</v>
      </c>
      <c r="I152" s="11">
        <v>6.4</v>
      </c>
    </row>
    <row r="153" spans="1:9" x14ac:dyDescent="0.35">
      <c r="A153" s="2" t="s">
        <v>35</v>
      </c>
      <c r="B153" s="3">
        <v>44774</v>
      </c>
      <c r="C153" s="2">
        <v>15</v>
      </c>
      <c r="D153" s="2">
        <v>20109</v>
      </c>
      <c r="E153" s="17">
        <v>42488.97</v>
      </c>
      <c r="F153" s="11">
        <v>6.39</v>
      </c>
      <c r="G153" s="9">
        <v>3172.4</v>
      </c>
      <c r="H153" s="10">
        <v>0.53300000000000003</v>
      </c>
      <c r="I153" s="11">
        <v>7.2</v>
      </c>
    </row>
    <row r="154" spans="1:9" x14ac:dyDescent="0.35">
      <c r="A154" s="2" t="s">
        <v>35</v>
      </c>
      <c r="B154" s="3">
        <v>44805</v>
      </c>
      <c r="C154" s="2">
        <v>21</v>
      </c>
      <c r="D154" s="2">
        <v>26898</v>
      </c>
      <c r="E154" s="17">
        <v>60586.16</v>
      </c>
      <c r="F154" s="11">
        <v>6.55</v>
      </c>
      <c r="G154" s="9">
        <v>4124</v>
      </c>
      <c r="H154" s="10">
        <v>0.52400000000000002</v>
      </c>
      <c r="I154" s="11">
        <v>7.3</v>
      </c>
    </row>
    <row r="155" spans="1:9" x14ac:dyDescent="0.35">
      <c r="A155" s="2" t="s">
        <v>35</v>
      </c>
      <c r="B155" s="3">
        <v>44835</v>
      </c>
      <c r="C155" s="2">
        <v>18</v>
      </c>
      <c r="D155" s="2">
        <v>24616</v>
      </c>
      <c r="E155" s="17">
        <v>55463.15</v>
      </c>
      <c r="F155" s="11">
        <v>6.82</v>
      </c>
      <c r="G155" s="9">
        <v>3571.7</v>
      </c>
      <c r="H155" s="10">
        <v>0.33300000000000002</v>
      </c>
      <c r="I155" s="11">
        <v>6.6</v>
      </c>
    </row>
    <row r="156" spans="1:9" x14ac:dyDescent="0.35">
      <c r="A156" s="2" t="s">
        <v>35</v>
      </c>
      <c r="B156" s="3">
        <v>44866</v>
      </c>
      <c r="C156" s="2">
        <v>25</v>
      </c>
      <c r="D156" s="2">
        <v>31381</v>
      </c>
      <c r="E156" s="17">
        <v>71489.8</v>
      </c>
      <c r="F156" s="11">
        <v>6.56</v>
      </c>
      <c r="G156" s="9">
        <v>4849.5</v>
      </c>
      <c r="H156" s="10">
        <v>0.32</v>
      </c>
      <c r="I156" s="11">
        <v>7</v>
      </c>
    </row>
    <row r="157" spans="1:9" x14ac:dyDescent="0.35">
      <c r="A157" s="2" t="s">
        <v>35</v>
      </c>
      <c r="B157" s="3">
        <v>44896</v>
      </c>
      <c r="C157" s="2">
        <v>21</v>
      </c>
      <c r="D157" s="2">
        <v>32946</v>
      </c>
      <c r="E157" s="17">
        <v>72696.62</v>
      </c>
      <c r="F157" s="11">
        <v>6.59</v>
      </c>
      <c r="G157" s="9">
        <v>5057.8</v>
      </c>
      <c r="H157" s="10">
        <v>0.71399999999999997</v>
      </c>
      <c r="I157" s="11">
        <v>6.7</v>
      </c>
    </row>
    <row r="158" spans="1:9" x14ac:dyDescent="0.35">
      <c r="A158" s="2" t="s">
        <v>35</v>
      </c>
      <c r="B158" s="3">
        <v>44927</v>
      </c>
      <c r="C158" s="2">
        <v>14</v>
      </c>
      <c r="D158" s="2">
        <v>21137</v>
      </c>
      <c r="E158" s="17">
        <v>44953.17</v>
      </c>
      <c r="F158" s="11">
        <v>6.42</v>
      </c>
      <c r="G158" s="9">
        <v>3315.4</v>
      </c>
      <c r="H158" s="10">
        <v>0.57099999999999995</v>
      </c>
      <c r="I158" s="11">
        <v>7.7</v>
      </c>
    </row>
    <row r="159" spans="1:9" x14ac:dyDescent="0.35">
      <c r="A159" s="2" t="s">
        <v>35</v>
      </c>
      <c r="B159" s="3">
        <v>44958</v>
      </c>
      <c r="C159" s="2">
        <v>18</v>
      </c>
      <c r="D159" s="2">
        <v>26363</v>
      </c>
      <c r="E159" s="17">
        <v>55393.87</v>
      </c>
      <c r="F159" s="11">
        <v>6.55</v>
      </c>
      <c r="G159" s="9">
        <v>3993.7</v>
      </c>
      <c r="H159" s="10">
        <v>0.61099999999999999</v>
      </c>
      <c r="I159" s="11">
        <v>6.7</v>
      </c>
    </row>
    <row r="160" spans="1:9" x14ac:dyDescent="0.35">
      <c r="A160" s="2" t="s">
        <v>35</v>
      </c>
      <c r="B160" s="3">
        <v>44986</v>
      </c>
      <c r="C160" s="2">
        <v>23</v>
      </c>
      <c r="D160" s="2">
        <v>36955</v>
      </c>
      <c r="E160" s="17">
        <v>75313.91</v>
      </c>
      <c r="F160" s="11">
        <v>6.49</v>
      </c>
      <c r="G160" s="9">
        <v>5677.5</v>
      </c>
      <c r="H160" s="10">
        <v>0.34799999999999998</v>
      </c>
      <c r="I160" s="11">
        <v>7</v>
      </c>
    </row>
    <row r="161" spans="1:9" x14ac:dyDescent="0.35">
      <c r="A161" s="2" t="s">
        <v>35</v>
      </c>
      <c r="B161" s="3">
        <v>45017</v>
      </c>
      <c r="C161" s="2">
        <v>12</v>
      </c>
      <c r="D161" s="2">
        <v>16688</v>
      </c>
      <c r="E161" s="17">
        <v>41887.949999999997</v>
      </c>
      <c r="F161" s="11">
        <v>6.08</v>
      </c>
      <c r="G161" s="9">
        <v>2767</v>
      </c>
      <c r="H161" s="10">
        <v>0.41699999999999998</v>
      </c>
      <c r="I161" s="11">
        <v>5.8</v>
      </c>
    </row>
    <row r="162" spans="1:9" x14ac:dyDescent="0.35">
      <c r="A162" s="2" t="s">
        <v>35</v>
      </c>
      <c r="B162" s="3">
        <v>45047</v>
      </c>
      <c r="C162" s="2">
        <v>18</v>
      </c>
      <c r="D162" s="2">
        <v>28366</v>
      </c>
      <c r="E162" s="17">
        <v>63576.51</v>
      </c>
      <c r="F162" s="11">
        <v>6.36</v>
      </c>
      <c r="G162" s="9">
        <v>4518</v>
      </c>
      <c r="H162" s="10">
        <v>0.38900000000000001</v>
      </c>
      <c r="I162" s="11">
        <v>6.4</v>
      </c>
    </row>
    <row r="163" spans="1:9" x14ac:dyDescent="0.35">
      <c r="A163" s="2" t="s">
        <v>35</v>
      </c>
      <c r="B163" s="3">
        <v>45078</v>
      </c>
      <c r="C163" s="2">
        <v>20</v>
      </c>
      <c r="D163" s="2">
        <v>24124</v>
      </c>
      <c r="E163" s="17">
        <v>48696.35</v>
      </c>
      <c r="F163" s="11">
        <v>6.8</v>
      </c>
      <c r="G163" s="9">
        <v>3624.4</v>
      </c>
      <c r="H163" s="10">
        <v>0.3</v>
      </c>
      <c r="I163" s="11">
        <v>7.6</v>
      </c>
    </row>
    <row r="164" spans="1:9" x14ac:dyDescent="0.35">
      <c r="A164" s="2" t="s">
        <v>35</v>
      </c>
      <c r="B164" s="3">
        <v>45108</v>
      </c>
      <c r="C164" s="2">
        <v>14</v>
      </c>
      <c r="D164" s="2">
        <v>20578</v>
      </c>
      <c r="E164" s="17">
        <v>42266.39</v>
      </c>
      <c r="F164" s="11">
        <v>6.67</v>
      </c>
      <c r="G164" s="9">
        <v>3162.9</v>
      </c>
      <c r="H164" s="10">
        <v>0.64300000000000002</v>
      </c>
      <c r="I164" s="11">
        <v>7.2</v>
      </c>
    </row>
    <row r="165" spans="1:9" x14ac:dyDescent="0.35">
      <c r="A165" s="2" t="s">
        <v>35</v>
      </c>
      <c r="B165" s="3">
        <v>45139</v>
      </c>
      <c r="C165" s="2">
        <v>26</v>
      </c>
      <c r="D165" s="2">
        <v>34172</v>
      </c>
      <c r="E165" s="17">
        <v>74170.5</v>
      </c>
      <c r="F165" s="11">
        <v>6.35</v>
      </c>
      <c r="G165" s="9">
        <v>5468.1</v>
      </c>
      <c r="H165" s="10">
        <v>0.42299999999999999</v>
      </c>
      <c r="I165" s="11">
        <v>7.5</v>
      </c>
    </row>
    <row r="166" spans="1:9" x14ac:dyDescent="0.35">
      <c r="A166" s="2" t="s">
        <v>35</v>
      </c>
      <c r="B166" s="3">
        <v>45170</v>
      </c>
      <c r="C166" s="2">
        <v>6</v>
      </c>
      <c r="D166" s="2">
        <v>12146</v>
      </c>
      <c r="E166" s="17">
        <v>26490.09</v>
      </c>
      <c r="F166" s="11">
        <v>6.64</v>
      </c>
      <c r="G166" s="9">
        <v>1879.6</v>
      </c>
      <c r="H166" s="10">
        <v>0.83299999999999996</v>
      </c>
      <c r="I166" s="11">
        <v>7.2</v>
      </c>
    </row>
    <row r="167" spans="1:9" x14ac:dyDescent="0.35">
      <c r="A167" s="2" t="s">
        <v>35</v>
      </c>
      <c r="B167" s="3">
        <v>45200</v>
      </c>
      <c r="C167" s="2">
        <v>12</v>
      </c>
      <c r="D167" s="2">
        <v>15390</v>
      </c>
      <c r="E167" s="17">
        <v>33322.01</v>
      </c>
      <c r="F167" s="11">
        <v>6.52</v>
      </c>
      <c r="G167" s="9">
        <v>2344.8000000000002</v>
      </c>
      <c r="H167" s="10">
        <v>0.58299999999999996</v>
      </c>
      <c r="I167" s="11">
        <v>5.5</v>
      </c>
    </row>
    <row r="168" spans="1:9" x14ac:dyDescent="0.35">
      <c r="A168" s="2" t="s">
        <v>35</v>
      </c>
      <c r="B168" s="3">
        <v>45231</v>
      </c>
      <c r="C168" s="2">
        <v>20</v>
      </c>
      <c r="D168" s="2">
        <v>27873</v>
      </c>
      <c r="E168" s="17">
        <v>62447.23</v>
      </c>
      <c r="F168" s="11">
        <v>6.3</v>
      </c>
      <c r="G168" s="9">
        <v>4575.6000000000004</v>
      </c>
      <c r="H168" s="10">
        <v>0.35</v>
      </c>
      <c r="I168" s="11">
        <v>7</v>
      </c>
    </row>
    <row r="169" spans="1:9" x14ac:dyDescent="0.35">
      <c r="A169" s="2" t="s">
        <v>35</v>
      </c>
      <c r="B169" s="3">
        <v>45261</v>
      </c>
      <c r="C169" s="2">
        <v>12</v>
      </c>
      <c r="D169" s="2">
        <v>12841</v>
      </c>
      <c r="E169" s="17">
        <v>26320.87</v>
      </c>
      <c r="F169" s="11">
        <v>6.42</v>
      </c>
      <c r="G169" s="9">
        <v>2110.1999999999998</v>
      </c>
      <c r="H169" s="10">
        <v>0.41699999999999998</v>
      </c>
      <c r="I169" s="11">
        <v>6.8</v>
      </c>
    </row>
    <row r="170" spans="1:9" x14ac:dyDescent="0.35">
      <c r="A170" s="2" t="s">
        <v>35</v>
      </c>
      <c r="B170" s="3">
        <v>45292</v>
      </c>
      <c r="C170" s="2">
        <v>25</v>
      </c>
      <c r="D170" s="2">
        <v>33791</v>
      </c>
      <c r="E170" s="17">
        <v>71025.77</v>
      </c>
      <c r="F170" s="11">
        <v>6.64</v>
      </c>
      <c r="G170" s="9">
        <v>5126.3</v>
      </c>
      <c r="H170" s="10">
        <v>0.48</v>
      </c>
      <c r="I170" s="11">
        <v>6.6</v>
      </c>
    </row>
    <row r="171" spans="1:9" x14ac:dyDescent="0.35">
      <c r="A171" s="2" t="s">
        <v>35</v>
      </c>
      <c r="B171" s="3">
        <v>45323</v>
      </c>
      <c r="C171" s="2">
        <v>17</v>
      </c>
      <c r="D171" s="2">
        <v>28600</v>
      </c>
      <c r="E171" s="17">
        <v>67074.259999999995</v>
      </c>
      <c r="F171" s="11">
        <v>6.59</v>
      </c>
      <c r="G171" s="9">
        <v>4376.7</v>
      </c>
      <c r="H171" s="10">
        <v>0.64700000000000002</v>
      </c>
      <c r="I171" s="11">
        <v>7.5</v>
      </c>
    </row>
    <row r="172" spans="1:9" x14ac:dyDescent="0.35">
      <c r="A172" s="2" t="s">
        <v>35</v>
      </c>
      <c r="B172" s="3">
        <v>45352</v>
      </c>
      <c r="C172" s="2">
        <v>19</v>
      </c>
      <c r="D172" s="2">
        <v>20814</v>
      </c>
      <c r="E172" s="17">
        <v>44390.58</v>
      </c>
      <c r="F172" s="11">
        <v>6.48</v>
      </c>
      <c r="G172" s="9">
        <v>3265.8</v>
      </c>
      <c r="H172" s="10">
        <v>0.47399999999999998</v>
      </c>
      <c r="I172" s="11">
        <v>7.4</v>
      </c>
    </row>
    <row r="173" spans="1:9" x14ac:dyDescent="0.35">
      <c r="A173" s="2" t="s">
        <v>35</v>
      </c>
      <c r="B173" s="3">
        <v>45383</v>
      </c>
      <c r="C173" s="2">
        <v>15</v>
      </c>
      <c r="D173" s="2">
        <v>18689</v>
      </c>
      <c r="E173" s="17">
        <v>43614.28</v>
      </c>
      <c r="F173" s="11">
        <v>6.51</v>
      </c>
      <c r="G173" s="9">
        <v>2879.3</v>
      </c>
      <c r="H173" s="10">
        <v>0.53300000000000003</v>
      </c>
      <c r="I173" s="11">
        <v>7.9</v>
      </c>
    </row>
    <row r="174" spans="1:9" x14ac:dyDescent="0.35">
      <c r="A174" s="2" t="s">
        <v>35</v>
      </c>
      <c r="B174" s="3">
        <v>45413</v>
      </c>
      <c r="C174" s="2">
        <v>17</v>
      </c>
      <c r="D174" s="2">
        <v>28626</v>
      </c>
      <c r="E174" s="17">
        <v>65196.35</v>
      </c>
      <c r="F174" s="11">
        <v>6.52</v>
      </c>
      <c r="G174" s="9">
        <v>4344.2</v>
      </c>
      <c r="H174" s="10">
        <v>0.47099999999999997</v>
      </c>
      <c r="I174" s="11">
        <v>6.6</v>
      </c>
    </row>
    <row r="175" spans="1:9" x14ac:dyDescent="0.35">
      <c r="A175" s="2" t="s">
        <v>35</v>
      </c>
      <c r="B175" s="3">
        <v>45444</v>
      </c>
      <c r="C175" s="2">
        <v>28</v>
      </c>
      <c r="D175" s="2">
        <v>52104</v>
      </c>
      <c r="E175" s="17">
        <v>120214.94</v>
      </c>
      <c r="F175" s="11">
        <v>6.37</v>
      </c>
      <c r="G175" s="9">
        <v>8178.5</v>
      </c>
      <c r="H175" s="10">
        <v>0.32100000000000001</v>
      </c>
      <c r="I175" s="11">
        <v>7.3</v>
      </c>
    </row>
    <row r="176" spans="1:9" x14ac:dyDescent="0.35">
      <c r="A176" s="2" t="s">
        <v>35</v>
      </c>
      <c r="B176" s="3">
        <v>45474</v>
      </c>
      <c r="C176" s="2">
        <v>22</v>
      </c>
      <c r="D176" s="2">
        <v>24975</v>
      </c>
      <c r="E176" s="17">
        <v>53665.120000000003</v>
      </c>
      <c r="F176" s="11">
        <v>6.31</v>
      </c>
      <c r="G176" s="9">
        <v>4012</v>
      </c>
      <c r="H176" s="10">
        <v>0.59099999999999997</v>
      </c>
      <c r="I176" s="11">
        <v>8.1999999999999993</v>
      </c>
    </row>
    <row r="177" spans="1:9" x14ac:dyDescent="0.35">
      <c r="A177" s="2" t="s">
        <v>35</v>
      </c>
      <c r="B177" s="3">
        <v>45505</v>
      </c>
      <c r="C177" s="2">
        <v>18</v>
      </c>
      <c r="D177" s="2">
        <v>21382</v>
      </c>
      <c r="E177" s="17">
        <v>45835.05</v>
      </c>
      <c r="F177" s="11">
        <v>6.6</v>
      </c>
      <c r="G177" s="9">
        <v>3299.3</v>
      </c>
      <c r="H177" s="10">
        <v>0.5</v>
      </c>
      <c r="I177" s="11">
        <v>7.7</v>
      </c>
    </row>
    <row r="178" spans="1:9" x14ac:dyDescent="0.35">
      <c r="A178" s="2" t="s">
        <v>35</v>
      </c>
      <c r="B178" s="3">
        <v>45536</v>
      </c>
      <c r="C178" s="2">
        <v>14</v>
      </c>
      <c r="D178" s="2">
        <v>20320</v>
      </c>
      <c r="E178" s="17">
        <v>42954.52</v>
      </c>
      <c r="F178" s="11">
        <v>6.73</v>
      </c>
      <c r="G178" s="9">
        <v>3053.8</v>
      </c>
      <c r="H178" s="10">
        <v>0.35699999999999998</v>
      </c>
      <c r="I178" s="11">
        <v>6.2</v>
      </c>
    </row>
    <row r="179" spans="1:9" x14ac:dyDescent="0.35">
      <c r="A179" s="2" t="s">
        <v>35</v>
      </c>
      <c r="B179" s="3">
        <v>45566</v>
      </c>
      <c r="C179" s="2">
        <v>25</v>
      </c>
      <c r="D179" s="2">
        <v>37545</v>
      </c>
      <c r="E179" s="17">
        <v>82433.09</v>
      </c>
      <c r="F179" s="11">
        <v>6.51</v>
      </c>
      <c r="G179" s="9">
        <v>5847.3</v>
      </c>
      <c r="H179" s="10">
        <v>0.4</v>
      </c>
      <c r="I179" s="11">
        <v>6.7</v>
      </c>
    </row>
    <row r="180" spans="1:9" x14ac:dyDescent="0.35">
      <c r="A180" s="2" t="s">
        <v>35</v>
      </c>
      <c r="B180" s="3">
        <v>45597</v>
      </c>
      <c r="C180" s="2">
        <v>21</v>
      </c>
      <c r="D180" s="2">
        <v>29654</v>
      </c>
      <c r="E180" s="17">
        <v>62971.9</v>
      </c>
      <c r="F180" s="11">
        <v>6.52</v>
      </c>
      <c r="G180" s="9">
        <v>4615.8999999999996</v>
      </c>
      <c r="H180" s="10">
        <v>0.38100000000000001</v>
      </c>
      <c r="I180" s="11">
        <v>6.8</v>
      </c>
    </row>
    <row r="181" spans="1:9" x14ac:dyDescent="0.35">
      <c r="A181" s="2" t="s">
        <v>35</v>
      </c>
      <c r="B181" s="3">
        <v>45627</v>
      </c>
      <c r="C181" s="2">
        <v>27</v>
      </c>
      <c r="D181" s="2">
        <v>44493</v>
      </c>
      <c r="E181" s="17">
        <v>94551.42</v>
      </c>
      <c r="F181" s="11">
        <v>6.63</v>
      </c>
      <c r="G181" s="9">
        <v>6788.6</v>
      </c>
      <c r="H181" s="10">
        <v>0.48099999999999998</v>
      </c>
      <c r="I181" s="11">
        <v>7.2</v>
      </c>
    </row>
    <row r="182" spans="1:9" x14ac:dyDescent="0.35">
      <c r="A182" s="2" t="s">
        <v>41</v>
      </c>
      <c r="B182" s="3">
        <v>44562</v>
      </c>
      <c r="C182" s="2">
        <v>16</v>
      </c>
      <c r="D182" s="2">
        <v>19612</v>
      </c>
      <c r="E182" s="17">
        <v>42338.96</v>
      </c>
      <c r="F182" s="11">
        <v>6.53</v>
      </c>
      <c r="G182" s="9">
        <v>3024.2</v>
      </c>
      <c r="H182" s="10">
        <v>0.56200000000000006</v>
      </c>
      <c r="I182" s="11">
        <v>6.8</v>
      </c>
    </row>
    <row r="183" spans="1:9" x14ac:dyDescent="0.35">
      <c r="A183" s="2" t="s">
        <v>41</v>
      </c>
      <c r="B183" s="3">
        <v>44593</v>
      </c>
      <c r="C183" s="2">
        <v>12</v>
      </c>
      <c r="D183" s="2">
        <v>19275</v>
      </c>
      <c r="E183" s="17">
        <v>44546.74</v>
      </c>
      <c r="F183" s="11">
        <v>6.55</v>
      </c>
      <c r="G183" s="9">
        <v>2993.9</v>
      </c>
      <c r="H183" s="10">
        <v>0.25</v>
      </c>
      <c r="I183" s="11">
        <v>7.3</v>
      </c>
    </row>
    <row r="184" spans="1:9" x14ac:dyDescent="0.35">
      <c r="A184" s="2" t="s">
        <v>41</v>
      </c>
      <c r="B184" s="3">
        <v>44621</v>
      </c>
      <c r="C184" s="2">
        <v>25</v>
      </c>
      <c r="D184" s="2">
        <v>48242</v>
      </c>
      <c r="E184" s="17">
        <v>95210.6</v>
      </c>
      <c r="F184" s="11">
        <v>6.21</v>
      </c>
      <c r="G184" s="9">
        <v>7786.8</v>
      </c>
      <c r="H184" s="10">
        <v>0.44</v>
      </c>
      <c r="I184" s="11">
        <v>7.7</v>
      </c>
    </row>
    <row r="185" spans="1:9" x14ac:dyDescent="0.35">
      <c r="A185" s="2" t="s">
        <v>41</v>
      </c>
      <c r="B185" s="3">
        <v>44652</v>
      </c>
      <c r="C185" s="2">
        <v>18</v>
      </c>
      <c r="D185" s="2">
        <v>19869</v>
      </c>
      <c r="E185" s="17">
        <v>43120.94</v>
      </c>
      <c r="F185" s="11">
        <v>6.55</v>
      </c>
      <c r="G185" s="9">
        <v>3039.8</v>
      </c>
      <c r="H185" s="10">
        <v>0.38900000000000001</v>
      </c>
      <c r="I185" s="11">
        <v>7.9</v>
      </c>
    </row>
    <row r="186" spans="1:9" x14ac:dyDescent="0.35">
      <c r="A186" s="2" t="s">
        <v>41</v>
      </c>
      <c r="B186" s="3">
        <v>44682</v>
      </c>
      <c r="C186" s="2">
        <v>16</v>
      </c>
      <c r="D186" s="2">
        <v>22115</v>
      </c>
      <c r="E186" s="17">
        <v>47419.85</v>
      </c>
      <c r="F186" s="11">
        <v>6.46</v>
      </c>
      <c r="G186" s="9">
        <v>3488.6</v>
      </c>
      <c r="H186" s="10">
        <v>0.5</v>
      </c>
      <c r="I186" s="11">
        <v>7.1</v>
      </c>
    </row>
    <row r="187" spans="1:9" x14ac:dyDescent="0.35">
      <c r="A187" s="2" t="s">
        <v>41</v>
      </c>
      <c r="B187" s="3">
        <v>44713</v>
      </c>
      <c r="C187" s="2">
        <v>14</v>
      </c>
      <c r="D187" s="2">
        <v>20483</v>
      </c>
      <c r="E187" s="17">
        <v>39331.730000000003</v>
      </c>
      <c r="F187" s="11">
        <v>6.71</v>
      </c>
      <c r="G187" s="9">
        <v>3130.1</v>
      </c>
      <c r="H187" s="10">
        <v>0.28599999999999998</v>
      </c>
      <c r="I187" s="11">
        <v>6.4</v>
      </c>
    </row>
    <row r="188" spans="1:9" x14ac:dyDescent="0.35">
      <c r="A188" s="2" t="s">
        <v>41</v>
      </c>
      <c r="B188" s="3">
        <v>44743</v>
      </c>
      <c r="C188" s="2">
        <v>11</v>
      </c>
      <c r="D188" s="2">
        <v>15897</v>
      </c>
      <c r="E188" s="17">
        <v>33470.15</v>
      </c>
      <c r="F188" s="11">
        <v>6.33</v>
      </c>
      <c r="G188" s="9">
        <v>2546.9</v>
      </c>
      <c r="H188" s="10">
        <v>0.63600000000000001</v>
      </c>
      <c r="I188" s="11">
        <v>7</v>
      </c>
    </row>
    <row r="189" spans="1:9" x14ac:dyDescent="0.35">
      <c r="A189" s="2" t="s">
        <v>41</v>
      </c>
      <c r="B189" s="3">
        <v>44774</v>
      </c>
      <c r="C189" s="2">
        <v>27</v>
      </c>
      <c r="D189" s="2">
        <v>37778</v>
      </c>
      <c r="E189" s="17">
        <v>75850.62</v>
      </c>
      <c r="F189" s="11">
        <v>6.24</v>
      </c>
      <c r="G189" s="9">
        <v>6113.5</v>
      </c>
      <c r="H189" s="10">
        <v>0.66700000000000004</v>
      </c>
      <c r="I189" s="11">
        <v>7.6</v>
      </c>
    </row>
    <row r="190" spans="1:9" x14ac:dyDescent="0.35">
      <c r="A190" s="2" t="s">
        <v>41</v>
      </c>
      <c r="B190" s="3">
        <v>44805</v>
      </c>
      <c r="C190" s="2">
        <v>20</v>
      </c>
      <c r="D190" s="2">
        <v>26615</v>
      </c>
      <c r="E190" s="17">
        <v>60215.72</v>
      </c>
      <c r="F190" s="11">
        <v>6.41</v>
      </c>
      <c r="G190" s="9">
        <v>4241</v>
      </c>
      <c r="H190" s="10">
        <v>0.45</v>
      </c>
      <c r="I190" s="11">
        <v>7.5</v>
      </c>
    </row>
    <row r="191" spans="1:9" x14ac:dyDescent="0.35">
      <c r="A191" s="2" t="s">
        <v>41</v>
      </c>
      <c r="B191" s="3">
        <v>44835</v>
      </c>
      <c r="C191" s="2">
        <v>20</v>
      </c>
      <c r="D191" s="2">
        <v>25150</v>
      </c>
      <c r="E191" s="17">
        <v>50076.97</v>
      </c>
      <c r="F191" s="11">
        <v>6.51</v>
      </c>
      <c r="G191" s="9">
        <v>3887</v>
      </c>
      <c r="H191" s="10">
        <v>0.3</v>
      </c>
      <c r="I191" s="11">
        <v>7.2</v>
      </c>
    </row>
    <row r="192" spans="1:9" x14ac:dyDescent="0.35">
      <c r="A192" s="2" t="s">
        <v>41</v>
      </c>
      <c r="B192" s="3">
        <v>44866</v>
      </c>
      <c r="C192" s="2">
        <v>21</v>
      </c>
      <c r="D192" s="2">
        <v>29876</v>
      </c>
      <c r="E192" s="17">
        <v>68893.56</v>
      </c>
      <c r="F192" s="11">
        <v>6.51</v>
      </c>
      <c r="G192" s="9">
        <v>4607.5</v>
      </c>
      <c r="H192" s="10">
        <v>0.38100000000000001</v>
      </c>
      <c r="I192" s="11">
        <v>6.5</v>
      </c>
    </row>
    <row r="193" spans="1:9" x14ac:dyDescent="0.35">
      <c r="A193" s="2" t="s">
        <v>41</v>
      </c>
      <c r="B193" s="3">
        <v>44896</v>
      </c>
      <c r="C193" s="2">
        <v>27</v>
      </c>
      <c r="D193" s="2">
        <v>31148</v>
      </c>
      <c r="E193" s="17">
        <v>67733.16</v>
      </c>
      <c r="F193" s="11">
        <v>6.55</v>
      </c>
      <c r="G193" s="9">
        <v>4883.3999999999996</v>
      </c>
      <c r="H193" s="10">
        <v>0.40699999999999997</v>
      </c>
      <c r="I193" s="11">
        <v>7.5</v>
      </c>
    </row>
    <row r="194" spans="1:9" x14ac:dyDescent="0.35">
      <c r="A194" s="2" t="s">
        <v>41</v>
      </c>
      <c r="B194" s="3">
        <v>44927</v>
      </c>
      <c r="C194" s="2">
        <v>21</v>
      </c>
      <c r="D194" s="2">
        <v>33078</v>
      </c>
      <c r="E194" s="17">
        <v>69630.58</v>
      </c>
      <c r="F194" s="11">
        <v>6.54</v>
      </c>
      <c r="G194" s="9">
        <v>5069.3999999999996</v>
      </c>
      <c r="H194" s="10">
        <v>0.42899999999999999</v>
      </c>
      <c r="I194" s="11">
        <v>6.6</v>
      </c>
    </row>
    <row r="195" spans="1:9" x14ac:dyDescent="0.35">
      <c r="A195" s="2" t="s">
        <v>41</v>
      </c>
      <c r="B195" s="3">
        <v>44958</v>
      </c>
      <c r="C195" s="2">
        <v>14</v>
      </c>
      <c r="D195" s="2">
        <v>23258</v>
      </c>
      <c r="E195" s="17">
        <v>49989.25</v>
      </c>
      <c r="F195" s="11">
        <v>6.48</v>
      </c>
      <c r="G195" s="9">
        <v>3587</v>
      </c>
      <c r="H195" s="10">
        <v>0.35699999999999998</v>
      </c>
      <c r="I195" s="11">
        <v>8</v>
      </c>
    </row>
    <row r="196" spans="1:9" x14ac:dyDescent="0.35">
      <c r="A196" s="2" t="s">
        <v>41</v>
      </c>
      <c r="B196" s="3">
        <v>44986</v>
      </c>
      <c r="C196" s="2">
        <v>15</v>
      </c>
      <c r="D196" s="2">
        <v>21068</v>
      </c>
      <c r="E196" s="17">
        <v>41064.269999999997</v>
      </c>
      <c r="F196" s="11">
        <v>6.82</v>
      </c>
      <c r="G196" s="9">
        <v>3072.9</v>
      </c>
      <c r="H196" s="10">
        <v>0.53300000000000003</v>
      </c>
      <c r="I196" s="11">
        <v>7.7</v>
      </c>
    </row>
    <row r="197" spans="1:9" x14ac:dyDescent="0.35">
      <c r="A197" s="2" t="s">
        <v>41</v>
      </c>
      <c r="B197" s="3">
        <v>45017</v>
      </c>
      <c r="C197" s="2">
        <v>16</v>
      </c>
      <c r="D197" s="2">
        <v>25883</v>
      </c>
      <c r="E197" s="17">
        <v>51532.05</v>
      </c>
      <c r="F197" s="11">
        <v>6.68</v>
      </c>
      <c r="G197" s="9">
        <v>3853.7</v>
      </c>
      <c r="H197" s="10">
        <v>0.438</v>
      </c>
      <c r="I197" s="11">
        <v>7.2</v>
      </c>
    </row>
    <row r="198" spans="1:9" x14ac:dyDescent="0.35">
      <c r="A198" s="2" t="s">
        <v>41</v>
      </c>
      <c r="B198" s="3">
        <v>45047</v>
      </c>
      <c r="C198" s="2">
        <v>14</v>
      </c>
      <c r="D198" s="2">
        <v>19152</v>
      </c>
      <c r="E198" s="17">
        <v>34518.639999999999</v>
      </c>
      <c r="F198" s="11">
        <v>6.76</v>
      </c>
      <c r="G198" s="9">
        <v>2876.9</v>
      </c>
      <c r="H198" s="10">
        <v>0.28599999999999998</v>
      </c>
      <c r="I198" s="11">
        <v>7.5</v>
      </c>
    </row>
    <row r="199" spans="1:9" x14ac:dyDescent="0.35">
      <c r="A199" s="2" t="s">
        <v>41</v>
      </c>
      <c r="B199" s="3">
        <v>45078</v>
      </c>
      <c r="C199" s="2">
        <v>19</v>
      </c>
      <c r="D199" s="2">
        <v>27531</v>
      </c>
      <c r="E199" s="17">
        <v>62402.2</v>
      </c>
      <c r="F199" s="11">
        <v>6.4</v>
      </c>
      <c r="G199" s="9">
        <v>4321.3999999999996</v>
      </c>
      <c r="H199" s="10">
        <v>0.57899999999999996</v>
      </c>
      <c r="I199" s="11">
        <v>6.3</v>
      </c>
    </row>
    <row r="200" spans="1:9" x14ac:dyDescent="0.35">
      <c r="A200" s="2" t="s">
        <v>41</v>
      </c>
      <c r="B200" s="3">
        <v>45108</v>
      </c>
      <c r="C200" s="2">
        <v>16</v>
      </c>
      <c r="D200" s="2">
        <v>27061</v>
      </c>
      <c r="E200" s="17">
        <v>55323.09</v>
      </c>
      <c r="F200" s="11">
        <v>6.7</v>
      </c>
      <c r="G200" s="9">
        <v>4081.2</v>
      </c>
      <c r="H200" s="10">
        <v>0.438</v>
      </c>
      <c r="I200" s="11">
        <v>6.8</v>
      </c>
    </row>
    <row r="201" spans="1:9" x14ac:dyDescent="0.35">
      <c r="A201" s="2" t="s">
        <v>41</v>
      </c>
      <c r="B201" s="3">
        <v>45139</v>
      </c>
      <c r="C201" s="2">
        <v>16</v>
      </c>
      <c r="D201" s="2">
        <v>28173</v>
      </c>
      <c r="E201" s="17">
        <v>57600.38</v>
      </c>
      <c r="F201" s="11">
        <v>6.16</v>
      </c>
      <c r="G201" s="9">
        <v>4534.7</v>
      </c>
      <c r="H201" s="10">
        <v>0.375</v>
      </c>
      <c r="I201" s="11">
        <v>6.7</v>
      </c>
    </row>
    <row r="202" spans="1:9" x14ac:dyDescent="0.35">
      <c r="A202" s="2" t="s">
        <v>41</v>
      </c>
      <c r="B202" s="3">
        <v>45170</v>
      </c>
      <c r="C202" s="2">
        <v>14</v>
      </c>
      <c r="D202" s="2">
        <v>19307</v>
      </c>
      <c r="E202" s="17">
        <v>45115.43</v>
      </c>
      <c r="F202" s="11">
        <v>6.67</v>
      </c>
      <c r="G202" s="9">
        <v>2897</v>
      </c>
      <c r="H202" s="10">
        <v>0.42899999999999999</v>
      </c>
      <c r="I202" s="11">
        <v>7.7</v>
      </c>
    </row>
    <row r="203" spans="1:9" x14ac:dyDescent="0.35">
      <c r="A203" s="2" t="s">
        <v>41</v>
      </c>
      <c r="B203" s="3">
        <v>45200</v>
      </c>
      <c r="C203" s="2">
        <v>18</v>
      </c>
      <c r="D203" s="2">
        <v>26832</v>
      </c>
      <c r="E203" s="17">
        <v>53987.63</v>
      </c>
      <c r="F203" s="11">
        <v>6.61</v>
      </c>
      <c r="G203" s="9">
        <v>4041.2</v>
      </c>
      <c r="H203" s="10">
        <v>0.55600000000000005</v>
      </c>
      <c r="I203" s="11">
        <v>6.5</v>
      </c>
    </row>
    <row r="204" spans="1:9" x14ac:dyDescent="0.35">
      <c r="A204" s="2" t="s">
        <v>41</v>
      </c>
      <c r="B204" s="3">
        <v>45231</v>
      </c>
      <c r="C204" s="2">
        <v>20</v>
      </c>
      <c r="D204" s="2">
        <v>27060</v>
      </c>
      <c r="E204" s="17">
        <v>58150.48</v>
      </c>
      <c r="F204" s="11">
        <v>6.42</v>
      </c>
      <c r="G204" s="9">
        <v>4244.2</v>
      </c>
      <c r="H204" s="10">
        <v>0.55000000000000004</v>
      </c>
      <c r="I204" s="11">
        <v>7.3</v>
      </c>
    </row>
    <row r="205" spans="1:9" x14ac:dyDescent="0.35">
      <c r="A205" s="2" t="s">
        <v>41</v>
      </c>
      <c r="B205" s="3">
        <v>45261</v>
      </c>
      <c r="C205" s="2">
        <v>12</v>
      </c>
      <c r="D205" s="2">
        <v>17318</v>
      </c>
      <c r="E205" s="17">
        <v>35157.629999999997</v>
      </c>
      <c r="F205" s="11">
        <v>6.4</v>
      </c>
      <c r="G205" s="9">
        <v>2722.5</v>
      </c>
      <c r="H205" s="10">
        <v>0.41699999999999998</v>
      </c>
      <c r="I205" s="11">
        <v>9</v>
      </c>
    </row>
    <row r="206" spans="1:9" x14ac:dyDescent="0.35">
      <c r="A206" s="2" t="s">
        <v>41</v>
      </c>
      <c r="B206" s="3">
        <v>45292</v>
      </c>
      <c r="C206" s="2">
        <v>23</v>
      </c>
      <c r="D206" s="2">
        <v>37177</v>
      </c>
      <c r="E206" s="17">
        <v>76191.64</v>
      </c>
      <c r="F206" s="11">
        <v>6.43</v>
      </c>
      <c r="G206" s="9">
        <v>5786.1</v>
      </c>
      <c r="H206" s="10">
        <v>0.60899999999999999</v>
      </c>
      <c r="I206" s="11">
        <v>7</v>
      </c>
    </row>
    <row r="207" spans="1:9" x14ac:dyDescent="0.35">
      <c r="A207" s="2" t="s">
        <v>41</v>
      </c>
      <c r="B207" s="3">
        <v>45323</v>
      </c>
      <c r="C207" s="2">
        <v>10</v>
      </c>
      <c r="D207" s="2">
        <v>14485</v>
      </c>
      <c r="E207" s="17">
        <v>30920.77</v>
      </c>
      <c r="F207" s="11">
        <v>6.37</v>
      </c>
      <c r="G207" s="9">
        <v>2267.4</v>
      </c>
      <c r="H207" s="10">
        <v>0.4</v>
      </c>
      <c r="I207" s="11">
        <v>7.5</v>
      </c>
    </row>
    <row r="208" spans="1:9" x14ac:dyDescent="0.35">
      <c r="A208" s="2" t="s">
        <v>41</v>
      </c>
      <c r="B208" s="3">
        <v>45352</v>
      </c>
      <c r="C208" s="2">
        <v>18</v>
      </c>
      <c r="D208" s="2">
        <v>23001</v>
      </c>
      <c r="E208" s="17">
        <v>48649.03</v>
      </c>
      <c r="F208" s="11">
        <v>6.31</v>
      </c>
      <c r="G208" s="9">
        <v>3691</v>
      </c>
      <c r="H208" s="10">
        <v>0.72199999999999998</v>
      </c>
      <c r="I208" s="11">
        <v>7</v>
      </c>
    </row>
    <row r="209" spans="1:9" x14ac:dyDescent="0.35">
      <c r="A209" s="2" t="s">
        <v>41</v>
      </c>
      <c r="B209" s="3">
        <v>45383</v>
      </c>
      <c r="C209" s="2">
        <v>16</v>
      </c>
      <c r="D209" s="2">
        <v>25344</v>
      </c>
      <c r="E209" s="17">
        <v>54992.66</v>
      </c>
      <c r="F209" s="11">
        <v>6.51</v>
      </c>
      <c r="G209" s="9">
        <v>3932.1</v>
      </c>
      <c r="H209" s="10">
        <v>0.25</v>
      </c>
      <c r="I209" s="11">
        <v>6</v>
      </c>
    </row>
    <row r="210" spans="1:9" x14ac:dyDescent="0.35">
      <c r="A210" s="2" t="s">
        <v>41</v>
      </c>
      <c r="B210" s="3">
        <v>45413</v>
      </c>
      <c r="C210" s="2">
        <v>19</v>
      </c>
      <c r="D210" s="2">
        <v>28682</v>
      </c>
      <c r="E210" s="17">
        <v>60608.35</v>
      </c>
      <c r="F210" s="11">
        <v>6.53</v>
      </c>
      <c r="G210" s="9">
        <v>4401.3</v>
      </c>
      <c r="H210" s="10">
        <v>0.42099999999999999</v>
      </c>
      <c r="I210" s="11">
        <v>7.8</v>
      </c>
    </row>
    <row r="211" spans="1:9" x14ac:dyDescent="0.35">
      <c r="A211" s="2" t="s">
        <v>41</v>
      </c>
      <c r="B211" s="3">
        <v>45444</v>
      </c>
      <c r="C211" s="2">
        <v>23</v>
      </c>
      <c r="D211" s="2">
        <v>34855</v>
      </c>
      <c r="E211" s="17">
        <v>75115.839999999997</v>
      </c>
      <c r="F211" s="11">
        <v>6.49</v>
      </c>
      <c r="G211" s="9">
        <v>5438.8</v>
      </c>
      <c r="H211" s="10">
        <v>0.435</v>
      </c>
      <c r="I211" s="11">
        <v>7.5</v>
      </c>
    </row>
    <row r="212" spans="1:9" x14ac:dyDescent="0.35">
      <c r="A212" s="2" t="s">
        <v>41</v>
      </c>
      <c r="B212" s="3">
        <v>45474</v>
      </c>
      <c r="C212" s="2">
        <v>17</v>
      </c>
      <c r="D212" s="2">
        <v>17316</v>
      </c>
      <c r="E212" s="17">
        <v>38195.599999999999</v>
      </c>
      <c r="F212" s="11">
        <v>6.69</v>
      </c>
      <c r="G212" s="9">
        <v>2693.8</v>
      </c>
      <c r="H212" s="10">
        <v>0.23499999999999999</v>
      </c>
      <c r="I212" s="11">
        <v>4.5</v>
      </c>
    </row>
    <row r="213" spans="1:9" x14ac:dyDescent="0.35">
      <c r="A213" s="2" t="s">
        <v>41</v>
      </c>
      <c r="B213" s="3">
        <v>45505</v>
      </c>
      <c r="C213" s="2">
        <v>18</v>
      </c>
      <c r="D213" s="2">
        <v>22572</v>
      </c>
      <c r="E213" s="17">
        <v>45362.19</v>
      </c>
      <c r="F213" s="11">
        <v>6.65</v>
      </c>
      <c r="G213" s="9">
        <v>3419.6</v>
      </c>
      <c r="H213" s="10">
        <v>0.5</v>
      </c>
      <c r="I213" s="11">
        <v>6.8</v>
      </c>
    </row>
    <row r="214" spans="1:9" x14ac:dyDescent="0.35">
      <c r="A214" s="2" t="s">
        <v>41</v>
      </c>
      <c r="B214" s="3">
        <v>45536</v>
      </c>
      <c r="C214" s="2">
        <v>24</v>
      </c>
      <c r="D214" s="2">
        <v>31956</v>
      </c>
      <c r="E214" s="17">
        <v>67402.89</v>
      </c>
      <c r="F214" s="11">
        <v>6.57</v>
      </c>
      <c r="G214" s="9">
        <v>4871.3</v>
      </c>
      <c r="H214" s="10">
        <v>0.25</v>
      </c>
      <c r="I214" s="11">
        <v>7.7</v>
      </c>
    </row>
    <row r="215" spans="1:9" x14ac:dyDescent="0.35">
      <c r="A215" s="2" t="s">
        <v>41</v>
      </c>
      <c r="B215" s="3">
        <v>45566</v>
      </c>
      <c r="C215" s="2">
        <v>22</v>
      </c>
      <c r="D215" s="2">
        <v>30277</v>
      </c>
      <c r="E215" s="17">
        <v>70921.960000000006</v>
      </c>
      <c r="F215" s="11">
        <v>6.34</v>
      </c>
      <c r="G215" s="9">
        <v>4919.1000000000004</v>
      </c>
      <c r="H215" s="10">
        <v>0.45500000000000002</v>
      </c>
      <c r="I215" s="11">
        <v>7.9</v>
      </c>
    </row>
    <row r="216" spans="1:9" x14ac:dyDescent="0.35">
      <c r="A216" s="2" t="s">
        <v>41</v>
      </c>
      <c r="B216" s="3">
        <v>45597</v>
      </c>
      <c r="C216" s="2">
        <v>15</v>
      </c>
      <c r="D216" s="2">
        <v>17219</v>
      </c>
      <c r="E216" s="17">
        <v>38096.769999999997</v>
      </c>
      <c r="F216" s="11">
        <v>6.51</v>
      </c>
      <c r="G216" s="9">
        <v>2630.5</v>
      </c>
      <c r="H216" s="10">
        <v>0.46700000000000003</v>
      </c>
      <c r="I216" s="11">
        <v>7</v>
      </c>
    </row>
    <row r="217" spans="1:9" x14ac:dyDescent="0.35">
      <c r="A217" s="2" t="s">
        <v>41</v>
      </c>
      <c r="B217" s="3">
        <v>45627</v>
      </c>
      <c r="C217" s="2">
        <v>20</v>
      </c>
      <c r="D217" s="2">
        <v>27485</v>
      </c>
      <c r="E217" s="17">
        <v>59073.14</v>
      </c>
      <c r="F217" s="11">
        <v>6.37</v>
      </c>
      <c r="G217" s="9">
        <v>4357.3</v>
      </c>
      <c r="H217" s="10">
        <v>0.4</v>
      </c>
      <c r="I217" s="11">
        <v>6.4</v>
      </c>
    </row>
    <row r="218" spans="1:9" x14ac:dyDescent="0.35">
      <c r="A218" s="2" t="s">
        <v>57</v>
      </c>
      <c r="B218" s="3">
        <v>44562</v>
      </c>
      <c r="C218" s="2">
        <v>21</v>
      </c>
      <c r="D218" s="2">
        <v>34357</v>
      </c>
      <c r="E218" s="17">
        <v>68595.81</v>
      </c>
      <c r="F218" s="11">
        <v>6.5</v>
      </c>
      <c r="G218" s="9">
        <v>5369.4</v>
      </c>
      <c r="H218" s="10">
        <v>0.66700000000000004</v>
      </c>
      <c r="I218" s="11">
        <v>7.1</v>
      </c>
    </row>
    <row r="219" spans="1:9" x14ac:dyDescent="0.35">
      <c r="A219" s="2" t="s">
        <v>57</v>
      </c>
      <c r="B219" s="3">
        <v>44593</v>
      </c>
      <c r="C219" s="2">
        <v>11</v>
      </c>
      <c r="D219" s="2">
        <v>12195</v>
      </c>
      <c r="E219" s="17">
        <v>25666.57</v>
      </c>
      <c r="F219" s="11">
        <v>6.5</v>
      </c>
      <c r="G219" s="9">
        <v>1892.7</v>
      </c>
      <c r="H219" s="10">
        <v>0.54500000000000004</v>
      </c>
      <c r="I219" s="11">
        <v>7.5</v>
      </c>
    </row>
    <row r="220" spans="1:9" x14ac:dyDescent="0.35">
      <c r="A220" s="2" t="s">
        <v>57</v>
      </c>
      <c r="B220" s="3">
        <v>44621</v>
      </c>
      <c r="C220" s="2">
        <v>25</v>
      </c>
      <c r="D220" s="2">
        <v>39127</v>
      </c>
      <c r="E220" s="17">
        <v>86215.11</v>
      </c>
      <c r="F220" s="11">
        <v>6.62</v>
      </c>
      <c r="G220" s="9">
        <v>5893.1</v>
      </c>
      <c r="H220" s="10">
        <v>0.52</v>
      </c>
      <c r="I220" s="11">
        <v>6.9</v>
      </c>
    </row>
    <row r="221" spans="1:9" x14ac:dyDescent="0.35">
      <c r="A221" s="2" t="s">
        <v>57</v>
      </c>
      <c r="B221" s="3">
        <v>44652</v>
      </c>
      <c r="C221" s="2">
        <v>19</v>
      </c>
      <c r="D221" s="2">
        <v>26013</v>
      </c>
      <c r="E221" s="17">
        <v>54918.17</v>
      </c>
      <c r="F221" s="11">
        <v>6.62</v>
      </c>
      <c r="G221" s="9">
        <v>4002.8</v>
      </c>
      <c r="H221" s="10">
        <v>0.316</v>
      </c>
      <c r="I221" s="11">
        <v>7.2</v>
      </c>
    </row>
    <row r="222" spans="1:9" x14ac:dyDescent="0.35">
      <c r="A222" s="2" t="s">
        <v>57</v>
      </c>
      <c r="B222" s="3">
        <v>44682</v>
      </c>
      <c r="C222" s="2">
        <v>23</v>
      </c>
      <c r="D222" s="2">
        <v>39216</v>
      </c>
      <c r="E222" s="17">
        <v>86018.91</v>
      </c>
      <c r="F222" s="11">
        <v>6.52</v>
      </c>
      <c r="G222" s="9">
        <v>6034.6</v>
      </c>
      <c r="H222" s="10">
        <v>0.435</v>
      </c>
      <c r="I222" s="11">
        <v>7.8</v>
      </c>
    </row>
    <row r="223" spans="1:9" x14ac:dyDescent="0.35">
      <c r="A223" s="2" t="s">
        <v>57</v>
      </c>
      <c r="B223" s="3">
        <v>44713</v>
      </c>
      <c r="C223" s="2">
        <v>22</v>
      </c>
      <c r="D223" s="2">
        <v>30965</v>
      </c>
      <c r="E223" s="17">
        <v>63157.35</v>
      </c>
      <c r="F223" s="11">
        <v>6.46</v>
      </c>
      <c r="G223" s="9">
        <v>4763.3</v>
      </c>
      <c r="H223" s="10">
        <v>0.40899999999999997</v>
      </c>
      <c r="I223" s="11">
        <v>7.8</v>
      </c>
    </row>
    <row r="224" spans="1:9" x14ac:dyDescent="0.35">
      <c r="A224" s="2" t="s">
        <v>57</v>
      </c>
      <c r="B224" s="3">
        <v>44743</v>
      </c>
      <c r="C224" s="2">
        <v>22</v>
      </c>
      <c r="D224" s="2">
        <v>34221</v>
      </c>
      <c r="E224" s="17">
        <v>77546.880000000005</v>
      </c>
      <c r="F224" s="11">
        <v>6.58</v>
      </c>
      <c r="G224" s="9">
        <v>5224.8</v>
      </c>
      <c r="H224" s="10">
        <v>0.54500000000000004</v>
      </c>
      <c r="I224" s="11">
        <v>6.7</v>
      </c>
    </row>
    <row r="225" spans="1:9" x14ac:dyDescent="0.35">
      <c r="A225" s="2" t="s">
        <v>57</v>
      </c>
      <c r="B225" s="3">
        <v>44774</v>
      </c>
      <c r="C225" s="2">
        <v>26</v>
      </c>
      <c r="D225" s="2">
        <v>42235</v>
      </c>
      <c r="E225" s="17">
        <v>92559.77</v>
      </c>
      <c r="F225" s="11">
        <v>6.43</v>
      </c>
      <c r="G225" s="9">
        <v>6697.1</v>
      </c>
      <c r="H225" s="10">
        <v>0.308</v>
      </c>
      <c r="I225" s="11">
        <v>7.2</v>
      </c>
    </row>
    <row r="226" spans="1:9" x14ac:dyDescent="0.35">
      <c r="A226" s="2" t="s">
        <v>57</v>
      </c>
      <c r="B226" s="3">
        <v>44805</v>
      </c>
      <c r="C226" s="2">
        <v>11</v>
      </c>
      <c r="D226" s="2">
        <v>18496</v>
      </c>
      <c r="E226" s="17">
        <v>35592.57</v>
      </c>
      <c r="F226" s="11">
        <v>6.57</v>
      </c>
      <c r="G226" s="9">
        <v>2894.1</v>
      </c>
      <c r="H226" s="10">
        <v>0.27300000000000002</v>
      </c>
      <c r="I226" s="11">
        <v>7</v>
      </c>
    </row>
    <row r="227" spans="1:9" x14ac:dyDescent="0.35">
      <c r="A227" s="2" t="s">
        <v>57</v>
      </c>
      <c r="B227" s="3">
        <v>44835</v>
      </c>
      <c r="C227" s="2">
        <v>14</v>
      </c>
      <c r="D227" s="2">
        <v>18471</v>
      </c>
      <c r="E227" s="17">
        <v>41148.32</v>
      </c>
      <c r="F227" s="11">
        <v>6.36</v>
      </c>
      <c r="G227" s="9">
        <v>2945.5</v>
      </c>
      <c r="H227" s="10">
        <v>0.42899999999999999</v>
      </c>
      <c r="I227" s="11">
        <v>7.2</v>
      </c>
    </row>
    <row r="228" spans="1:9" x14ac:dyDescent="0.35">
      <c r="A228" s="2" t="s">
        <v>57</v>
      </c>
      <c r="B228" s="3">
        <v>44866</v>
      </c>
      <c r="C228" s="2">
        <v>22</v>
      </c>
      <c r="D228" s="2">
        <v>28225</v>
      </c>
      <c r="E228" s="17">
        <v>61191.07</v>
      </c>
      <c r="F228" s="11">
        <v>6.43</v>
      </c>
      <c r="G228" s="9">
        <v>4486.6000000000004</v>
      </c>
      <c r="H228" s="10">
        <v>0.45500000000000002</v>
      </c>
      <c r="I228" s="11">
        <v>7.5</v>
      </c>
    </row>
    <row r="229" spans="1:9" x14ac:dyDescent="0.35">
      <c r="A229" s="2" t="s">
        <v>57</v>
      </c>
      <c r="B229" s="3">
        <v>44896</v>
      </c>
      <c r="C229" s="2">
        <v>24</v>
      </c>
      <c r="D229" s="2">
        <v>25607</v>
      </c>
      <c r="E229" s="17">
        <v>52289.96</v>
      </c>
      <c r="F229" s="11">
        <v>6.44</v>
      </c>
      <c r="G229" s="9">
        <v>3975.3</v>
      </c>
      <c r="H229" s="10">
        <v>0.45800000000000002</v>
      </c>
      <c r="I229" s="11">
        <v>8.1</v>
      </c>
    </row>
    <row r="230" spans="1:9" x14ac:dyDescent="0.35">
      <c r="A230" s="2" t="s">
        <v>57</v>
      </c>
      <c r="B230" s="3">
        <v>44927</v>
      </c>
      <c r="C230" s="2">
        <v>20</v>
      </c>
      <c r="D230" s="2">
        <v>27105</v>
      </c>
      <c r="E230" s="17">
        <v>60127.57</v>
      </c>
      <c r="F230" s="11">
        <v>6.55</v>
      </c>
      <c r="G230" s="9">
        <v>4283</v>
      </c>
      <c r="H230" s="10">
        <v>0.3</v>
      </c>
      <c r="I230" s="11">
        <v>6.8</v>
      </c>
    </row>
    <row r="231" spans="1:9" x14ac:dyDescent="0.35">
      <c r="A231" s="2" t="s">
        <v>57</v>
      </c>
      <c r="B231" s="3">
        <v>44958</v>
      </c>
      <c r="C231" s="2">
        <v>13</v>
      </c>
      <c r="D231" s="2">
        <v>15892</v>
      </c>
      <c r="E231" s="17">
        <v>30331.94</v>
      </c>
      <c r="F231" s="11">
        <v>6.52</v>
      </c>
      <c r="G231" s="9">
        <v>2503.1</v>
      </c>
      <c r="H231" s="10">
        <v>0.53800000000000003</v>
      </c>
      <c r="I231" s="11">
        <v>8.1999999999999993</v>
      </c>
    </row>
    <row r="232" spans="1:9" x14ac:dyDescent="0.35">
      <c r="A232" s="2" t="s">
        <v>57</v>
      </c>
      <c r="B232" s="3">
        <v>44986</v>
      </c>
      <c r="C232" s="2">
        <v>11</v>
      </c>
      <c r="D232" s="2">
        <v>15586</v>
      </c>
      <c r="E232" s="17">
        <v>36384.120000000003</v>
      </c>
      <c r="F232" s="11">
        <v>6.32</v>
      </c>
      <c r="G232" s="9">
        <v>2408.6</v>
      </c>
      <c r="H232" s="10">
        <v>0.36399999999999999</v>
      </c>
      <c r="I232" s="11">
        <v>6.6</v>
      </c>
    </row>
    <row r="233" spans="1:9" x14ac:dyDescent="0.35">
      <c r="A233" s="2" t="s">
        <v>57</v>
      </c>
      <c r="B233" s="3">
        <v>45017</v>
      </c>
      <c r="C233" s="2">
        <v>9</v>
      </c>
      <c r="D233" s="2">
        <v>10502</v>
      </c>
      <c r="E233" s="17">
        <v>23649.5</v>
      </c>
      <c r="F233" s="11">
        <v>6.6</v>
      </c>
      <c r="G233" s="9">
        <v>1629.7</v>
      </c>
      <c r="H233" s="10">
        <v>0.55600000000000005</v>
      </c>
      <c r="I233" s="11">
        <v>7.3</v>
      </c>
    </row>
    <row r="234" spans="1:9" x14ac:dyDescent="0.35">
      <c r="A234" s="2" t="s">
        <v>57</v>
      </c>
      <c r="B234" s="3">
        <v>45047</v>
      </c>
      <c r="C234" s="2">
        <v>14</v>
      </c>
      <c r="D234" s="2">
        <v>21034</v>
      </c>
      <c r="E234" s="17">
        <v>44369.06</v>
      </c>
      <c r="F234" s="11">
        <v>6.48</v>
      </c>
      <c r="G234" s="9">
        <v>3281.7</v>
      </c>
      <c r="H234" s="10">
        <v>0.214</v>
      </c>
      <c r="I234" s="11">
        <v>7.5</v>
      </c>
    </row>
    <row r="235" spans="1:9" x14ac:dyDescent="0.35">
      <c r="A235" s="2" t="s">
        <v>57</v>
      </c>
      <c r="B235" s="3">
        <v>45078</v>
      </c>
      <c r="C235" s="2">
        <v>21</v>
      </c>
      <c r="D235" s="2">
        <v>27353</v>
      </c>
      <c r="E235" s="17">
        <v>57103.89</v>
      </c>
      <c r="F235" s="11">
        <v>6.48</v>
      </c>
      <c r="G235" s="9">
        <v>4428.5</v>
      </c>
      <c r="H235" s="10">
        <v>0.42899999999999999</v>
      </c>
      <c r="I235" s="11">
        <v>5.8</v>
      </c>
    </row>
    <row r="236" spans="1:9" x14ac:dyDescent="0.35">
      <c r="A236" s="2" t="s">
        <v>57</v>
      </c>
      <c r="B236" s="3">
        <v>45108</v>
      </c>
      <c r="C236" s="2">
        <v>21</v>
      </c>
      <c r="D236" s="2">
        <v>29631</v>
      </c>
      <c r="E236" s="17">
        <v>68637.56</v>
      </c>
      <c r="F236" s="11">
        <v>6.49</v>
      </c>
      <c r="G236" s="9">
        <v>4656.8</v>
      </c>
      <c r="H236" s="10">
        <v>0.47599999999999998</v>
      </c>
      <c r="I236" s="11">
        <v>6</v>
      </c>
    </row>
    <row r="237" spans="1:9" x14ac:dyDescent="0.35">
      <c r="A237" s="2" t="s">
        <v>57</v>
      </c>
      <c r="B237" s="3">
        <v>45139</v>
      </c>
      <c r="C237" s="2">
        <v>25</v>
      </c>
      <c r="D237" s="2">
        <v>43603</v>
      </c>
      <c r="E237" s="17">
        <v>98052.800000000003</v>
      </c>
      <c r="F237" s="11">
        <v>6.31</v>
      </c>
      <c r="G237" s="9">
        <v>6954.8</v>
      </c>
      <c r="H237" s="10">
        <v>0.36</v>
      </c>
      <c r="I237" s="11">
        <v>7.5</v>
      </c>
    </row>
    <row r="238" spans="1:9" x14ac:dyDescent="0.35">
      <c r="A238" s="2" t="s">
        <v>57</v>
      </c>
      <c r="B238" s="3">
        <v>45170</v>
      </c>
      <c r="C238" s="2">
        <v>27</v>
      </c>
      <c r="D238" s="2">
        <v>35366</v>
      </c>
      <c r="E238" s="17">
        <v>71332.759999999995</v>
      </c>
      <c r="F238" s="11">
        <v>6.46</v>
      </c>
      <c r="G238" s="9">
        <v>5515</v>
      </c>
      <c r="H238" s="10">
        <v>0.44400000000000001</v>
      </c>
      <c r="I238" s="11">
        <v>7</v>
      </c>
    </row>
    <row r="239" spans="1:9" x14ac:dyDescent="0.35">
      <c r="A239" s="2" t="s">
        <v>57</v>
      </c>
      <c r="B239" s="3">
        <v>45200</v>
      </c>
      <c r="C239" s="2">
        <v>25</v>
      </c>
      <c r="D239" s="2">
        <v>37253</v>
      </c>
      <c r="E239" s="17">
        <v>75862.83</v>
      </c>
      <c r="F239" s="11">
        <v>6.58</v>
      </c>
      <c r="G239" s="9">
        <v>5773.8</v>
      </c>
      <c r="H239" s="10">
        <v>0.52</v>
      </c>
      <c r="I239" s="11">
        <v>6.5</v>
      </c>
    </row>
    <row r="240" spans="1:9" x14ac:dyDescent="0.35">
      <c r="A240" s="2" t="s">
        <v>57</v>
      </c>
      <c r="B240" s="3">
        <v>45231</v>
      </c>
      <c r="C240" s="2">
        <v>16</v>
      </c>
      <c r="D240" s="2">
        <v>24603</v>
      </c>
      <c r="E240" s="17">
        <v>58382.22</v>
      </c>
      <c r="F240" s="11">
        <v>6.55</v>
      </c>
      <c r="G240" s="9">
        <v>3783.8</v>
      </c>
      <c r="H240" s="10">
        <v>0.438</v>
      </c>
      <c r="I240" s="11">
        <v>6.8</v>
      </c>
    </row>
    <row r="241" spans="1:9" x14ac:dyDescent="0.35">
      <c r="A241" s="2" t="s">
        <v>57</v>
      </c>
      <c r="B241" s="3">
        <v>45261</v>
      </c>
      <c r="C241" s="2">
        <v>23</v>
      </c>
      <c r="D241" s="2">
        <v>34725</v>
      </c>
      <c r="E241" s="17">
        <v>75533.37</v>
      </c>
      <c r="F241" s="11">
        <v>6.63</v>
      </c>
      <c r="G241" s="9">
        <v>5307.4</v>
      </c>
      <c r="H241" s="10">
        <v>0.65200000000000002</v>
      </c>
      <c r="I241" s="11">
        <v>6.9</v>
      </c>
    </row>
    <row r="242" spans="1:9" x14ac:dyDescent="0.35">
      <c r="A242" s="2" t="s">
        <v>57</v>
      </c>
      <c r="B242" s="3">
        <v>45292</v>
      </c>
      <c r="C242" s="2">
        <v>11</v>
      </c>
      <c r="D242" s="2">
        <v>11660</v>
      </c>
      <c r="E242" s="17">
        <v>22942.639999999999</v>
      </c>
      <c r="F242" s="11">
        <v>6.52</v>
      </c>
      <c r="G242" s="9">
        <v>1866.6</v>
      </c>
      <c r="H242" s="10">
        <v>0.54500000000000004</v>
      </c>
      <c r="I242" s="11">
        <v>6.5</v>
      </c>
    </row>
    <row r="243" spans="1:9" x14ac:dyDescent="0.35">
      <c r="A243" s="2" t="s">
        <v>57</v>
      </c>
      <c r="B243" s="3">
        <v>45323</v>
      </c>
      <c r="C243" s="2">
        <v>30</v>
      </c>
      <c r="D243" s="2">
        <v>43973</v>
      </c>
      <c r="E243" s="17">
        <v>89998.17</v>
      </c>
      <c r="F243" s="11">
        <v>6.35</v>
      </c>
      <c r="G243" s="9">
        <v>7020.3</v>
      </c>
      <c r="H243" s="10">
        <v>0.46700000000000003</v>
      </c>
      <c r="I243" s="11">
        <v>6.5</v>
      </c>
    </row>
    <row r="244" spans="1:9" x14ac:dyDescent="0.35">
      <c r="A244" s="2" t="s">
        <v>57</v>
      </c>
      <c r="B244" s="3">
        <v>45352</v>
      </c>
      <c r="C244" s="2">
        <v>14</v>
      </c>
      <c r="D244" s="2">
        <v>15148</v>
      </c>
      <c r="E244" s="17">
        <v>34613.97</v>
      </c>
      <c r="F244" s="11">
        <v>6.46</v>
      </c>
      <c r="G244" s="9">
        <v>2373.1</v>
      </c>
      <c r="H244" s="10">
        <v>0.42899999999999999</v>
      </c>
      <c r="I244" s="11">
        <v>6.3</v>
      </c>
    </row>
    <row r="245" spans="1:9" x14ac:dyDescent="0.35">
      <c r="A245" s="2" t="s">
        <v>57</v>
      </c>
      <c r="B245" s="3">
        <v>45383</v>
      </c>
      <c r="C245" s="2">
        <v>20</v>
      </c>
      <c r="D245" s="2">
        <v>28248</v>
      </c>
      <c r="E245" s="17">
        <v>60161.2</v>
      </c>
      <c r="F245" s="11">
        <v>6.27</v>
      </c>
      <c r="G245" s="9">
        <v>4509.3</v>
      </c>
      <c r="H245" s="10">
        <v>0.4</v>
      </c>
      <c r="I245" s="11">
        <v>7.6</v>
      </c>
    </row>
    <row r="246" spans="1:9" x14ac:dyDescent="0.35">
      <c r="A246" s="2" t="s">
        <v>57</v>
      </c>
      <c r="B246" s="3">
        <v>45413</v>
      </c>
      <c r="C246" s="2">
        <v>11</v>
      </c>
      <c r="D246" s="2">
        <v>14551</v>
      </c>
      <c r="E246" s="17">
        <v>30500.74</v>
      </c>
      <c r="F246" s="11">
        <v>6.72</v>
      </c>
      <c r="G246" s="9">
        <v>2188.1</v>
      </c>
      <c r="H246" s="10">
        <v>0.81799999999999995</v>
      </c>
      <c r="I246" s="11">
        <v>5.6</v>
      </c>
    </row>
    <row r="247" spans="1:9" x14ac:dyDescent="0.35">
      <c r="A247" s="2" t="s">
        <v>57</v>
      </c>
      <c r="B247" s="3">
        <v>45444</v>
      </c>
      <c r="C247" s="2">
        <v>11</v>
      </c>
      <c r="D247" s="2">
        <v>13907</v>
      </c>
      <c r="E247" s="17">
        <v>32211.43</v>
      </c>
      <c r="F247" s="11">
        <v>6.5</v>
      </c>
      <c r="G247" s="9">
        <v>2200.6999999999998</v>
      </c>
      <c r="H247" s="10">
        <v>0.36399999999999999</v>
      </c>
      <c r="I247" s="11">
        <v>8.1999999999999993</v>
      </c>
    </row>
    <row r="248" spans="1:9" x14ac:dyDescent="0.35">
      <c r="A248" s="2" t="s">
        <v>57</v>
      </c>
      <c r="B248" s="3">
        <v>45474</v>
      </c>
      <c r="C248" s="2">
        <v>20</v>
      </c>
      <c r="D248" s="2">
        <v>29787</v>
      </c>
      <c r="E248" s="17">
        <v>62996.06</v>
      </c>
      <c r="F248" s="11">
        <v>6.3</v>
      </c>
      <c r="G248" s="9">
        <v>4739</v>
      </c>
      <c r="H248" s="10">
        <v>0.25</v>
      </c>
      <c r="I248" s="11">
        <v>7.2</v>
      </c>
    </row>
    <row r="249" spans="1:9" x14ac:dyDescent="0.35">
      <c r="A249" s="2" t="s">
        <v>57</v>
      </c>
      <c r="B249" s="3">
        <v>45505</v>
      </c>
      <c r="C249" s="2">
        <v>19</v>
      </c>
      <c r="D249" s="2">
        <v>31647</v>
      </c>
      <c r="E249" s="17">
        <v>65720.36</v>
      </c>
      <c r="F249" s="11">
        <v>6.44</v>
      </c>
      <c r="G249" s="9">
        <v>4986.8999999999996</v>
      </c>
      <c r="H249" s="10">
        <v>0.47399999999999998</v>
      </c>
      <c r="I249" s="11">
        <v>5.5</v>
      </c>
    </row>
    <row r="250" spans="1:9" x14ac:dyDescent="0.35">
      <c r="A250" s="2" t="s">
        <v>57</v>
      </c>
      <c r="B250" s="3">
        <v>45536</v>
      </c>
      <c r="C250" s="2">
        <v>15</v>
      </c>
      <c r="D250" s="2">
        <v>20340</v>
      </c>
      <c r="E250" s="17">
        <v>41921.06</v>
      </c>
      <c r="F250" s="11">
        <v>6.68</v>
      </c>
      <c r="G250" s="9">
        <v>3042.2</v>
      </c>
      <c r="H250" s="10">
        <v>0.46700000000000003</v>
      </c>
      <c r="I250" s="11">
        <v>5.2</v>
      </c>
    </row>
    <row r="251" spans="1:9" x14ac:dyDescent="0.35">
      <c r="A251" s="2" t="s">
        <v>57</v>
      </c>
      <c r="B251" s="3">
        <v>45566</v>
      </c>
      <c r="C251" s="2">
        <v>17</v>
      </c>
      <c r="D251" s="2">
        <v>23793</v>
      </c>
      <c r="E251" s="17">
        <v>50332.9</v>
      </c>
      <c r="F251" s="11">
        <v>6.64</v>
      </c>
      <c r="G251" s="9">
        <v>3589.7</v>
      </c>
      <c r="H251" s="10">
        <v>0.23499999999999999</v>
      </c>
      <c r="I251" s="11">
        <v>7.2</v>
      </c>
    </row>
    <row r="252" spans="1:9" x14ac:dyDescent="0.35">
      <c r="A252" s="2" t="s">
        <v>57</v>
      </c>
      <c r="B252" s="3">
        <v>45597</v>
      </c>
      <c r="C252" s="2">
        <v>20</v>
      </c>
      <c r="D252" s="2">
        <v>32777</v>
      </c>
      <c r="E252" s="17">
        <v>72533.72</v>
      </c>
      <c r="F252" s="11">
        <v>6.44</v>
      </c>
      <c r="G252" s="9">
        <v>5097.5</v>
      </c>
      <c r="H252" s="10">
        <v>0.3</v>
      </c>
      <c r="I252" s="11">
        <v>8.6999999999999993</v>
      </c>
    </row>
    <row r="253" spans="1:9" x14ac:dyDescent="0.35">
      <c r="A253" s="2" t="s">
        <v>57</v>
      </c>
      <c r="B253" s="3">
        <v>45627</v>
      </c>
      <c r="C253" s="2">
        <v>16</v>
      </c>
      <c r="D253" s="2">
        <v>28904</v>
      </c>
      <c r="E253" s="17">
        <v>65198.58</v>
      </c>
      <c r="F253" s="11">
        <v>6.41</v>
      </c>
      <c r="G253" s="9">
        <v>4569.2</v>
      </c>
      <c r="H253" s="10">
        <v>0.56200000000000006</v>
      </c>
      <c r="I253" s="11">
        <v>7.6</v>
      </c>
    </row>
    <row r="254" spans="1:9" x14ac:dyDescent="0.35">
      <c r="A254" s="2" t="s">
        <v>62</v>
      </c>
      <c r="B254" s="3">
        <v>44562</v>
      </c>
      <c r="C254" s="2">
        <v>15</v>
      </c>
      <c r="D254" s="2">
        <v>21517</v>
      </c>
      <c r="E254" s="17">
        <v>52197.33</v>
      </c>
      <c r="F254" s="11">
        <v>6.5</v>
      </c>
      <c r="G254" s="9">
        <v>3381.9</v>
      </c>
      <c r="H254" s="10">
        <v>0.6</v>
      </c>
      <c r="I254" s="11">
        <v>6.7</v>
      </c>
    </row>
    <row r="255" spans="1:9" x14ac:dyDescent="0.35">
      <c r="A255" s="2" t="s">
        <v>62</v>
      </c>
      <c r="B255" s="3">
        <v>44593</v>
      </c>
      <c r="C255" s="2">
        <v>18</v>
      </c>
      <c r="D255" s="2">
        <v>20614</v>
      </c>
      <c r="E255" s="17">
        <v>41574.18</v>
      </c>
      <c r="F255" s="11">
        <v>6.45</v>
      </c>
      <c r="G255" s="9">
        <v>3250</v>
      </c>
      <c r="H255" s="10">
        <v>0.66700000000000004</v>
      </c>
      <c r="I255" s="11">
        <v>7.4</v>
      </c>
    </row>
    <row r="256" spans="1:9" x14ac:dyDescent="0.35">
      <c r="A256" s="2" t="s">
        <v>62</v>
      </c>
      <c r="B256" s="3">
        <v>44621</v>
      </c>
      <c r="C256" s="2">
        <v>25</v>
      </c>
      <c r="D256" s="2">
        <v>34627</v>
      </c>
      <c r="E256" s="17">
        <v>74999.41</v>
      </c>
      <c r="F256" s="11">
        <v>6.44</v>
      </c>
      <c r="G256" s="9">
        <v>5417.7</v>
      </c>
      <c r="H256" s="10">
        <v>0.44</v>
      </c>
      <c r="I256" s="11">
        <v>6.7</v>
      </c>
    </row>
    <row r="257" spans="1:9" x14ac:dyDescent="0.35">
      <c r="A257" s="2" t="s">
        <v>62</v>
      </c>
      <c r="B257" s="3">
        <v>44652</v>
      </c>
      <c r="C257" s="2">
        <v>25</v>
      </c>
      <c r="D257" s="2">
        <v>34990</v>
      </c>
      <c r="E257" s="17">
        <v>73654.240000000005</v>
      </c>
      <c r="F257" s="11">
        <v>6.39</v>
      </c>
      <c r="G257" s="9">
        <v>5450.7</v>
      </c>
      <c r="H257" s="10">
        <v>0.6</v>
      </c>
      <c r="I257" s="11">
        <v>7.7</v>
      </c>
    </row>
    <row r="258" spans="1:9" x14ac:dyDescent="0.35">
      <c r="A258" s="2" t="s">
        <v>62</v>
      </c>
      <c r="B258" s="3">
        <v>44682</v>
      </c>
      <c r="C258" s="2">
        <v>20</v>
      </c>
      <c r="D258" s="2">
        <v>23857</v>
      </c>
      <c r="E258" s="17">
        <v>55206.06</v>
      </c>
      <c r="F258" s="11">
        <v>6.53</v>
      </c>
      <c r="G258" s="9">
        <v>3615.9</v>
      </c>
      <c r="H258" s="10">
        <v>0.3</v>
      </c>
      <c r="I258" s="11">
        <v>7.3</v>
      </c>
    </row>
    <row r="259" spans="1:9" x14ac:dyDescent="0.35">
      <c r="A259" s="2" t="s">
        <v>62</v>
      </c>
      <c r="B259" s="3">
        <v>44713</v>
      </c>
      <c r="C259" s="2">
        <v>19</v>
      </c>
      <c r="D259" s="2">
        <v>30349</v>
      </c>
      <c r="E259" s="17">
        <v>67262.91</v>
      </c>
      <c r="F259" s="11">
        <v>6.39</v>
      </c>
      <c r="G259" s="9">
        <v>4798.3999999999996</v>
      </c>
      <c r="H259" s="10">
        <v>0.36799999999999999</v>
      </c>
      <c r="I259" s="11">
        <v>6.7</v>
      </c>
    </row>
    <row r="260" spans="1:9" x14ac:dyDescent="0.35">
      <c r="A260" s="2" t="s">
        <v>62</v>
      </c>
      <c r="B260" s="3">
        <v>44743</v>
      </c>
      <c r="C260" s="2">
        <v>25</v>
      </c>
      <c r="D260" s="2">
        <v>30833</v>
      </c>
      <c r="E260" s="17">
        <v>65811.009999999995</v>
      </c>
      <c r="F260" s="11">
        <v>6.53</v>
      </c>
      <c r="G260" s="9">
        <v>4785.1000000000004</v>
      </c>
      <c r="H260" s="10">
        <v>0.36</v>
      </c>
      <c r="I260" s="11">
        <v>6.9</v>
      </c>
    </row>
    <row r="261" spans="1:9" x14ac:dyDescent="0.35">
      <c r="A261" s="2" t="s">
        <v>62</v>
      </c>
      <c r="B261" s="3">
        <v>44774</v>
      </c>
      <c r="C261" s="2">
        <v>19</v>
      </c>
      <c r="D261" s="2">
        <v>26176</v>
      </c>
      <c r="E261" s="17">
        <v>59032.15</v>
      </c>
      <c r="F261" s="11">
        <v>6.58</v>
      </c>
      <c r="G261" s="9">
        <v>4043</v>
      </c>
      <c r="H261" s="10">
        <v>0.47399999999999998</v>
      </c>
      <c r="I261" s="11">
        <v>6</v>
      </c>
    </row>
    <row r="262" spans="1:9" x14ac:dyDescent="0.35">
      <c r="A262" s="2" t="s">
        <v>62</v>
      </c>
      <c r="B262" s="3">
        <v>44805</v>
      </c>
      <c r="C262" s="2">
        <v>12</v>
      </c>
      <c r="D262" s="2">
        <v>13784</v>
      </c>
      <c r="E262" s="17">
        <v>28282.14</v>
      </c>
      <c r="F262" s="11">
        <v>6.57</v>
      </c>
      <c r="G262" s="9">
        <v>2130.6999999999998</v>
      </c>
      <c r="H262" s="10">
        <v>0.25</v>
      </c>
      <c r="I262" s="11">
        <v>7.6</v>
      </c>
    </row>
    <row r="263" spans="1:9" x14ac:dyDescent="0.35">
      <c r="A263" s="2" t="s">
        <v>62</v>
      </c>
      <c r="B263" s="3">
        <v>44835</v>
      </c>
      <c r="C263" s="2">
        <v>23</v>
      </c>
      <c r="D263" s="2">
        <v>32015</v>
      </c>
      <c r="E263" s="17">
        <v>70765.94</v>
      </c>
      <c r="F263" s="11">
        <v>6.38</v>
      </c>
      <c r="G263" s="9">
        <v>5056.8</v>
      </c>
      <c r="H263" s="10">
        <v>0.47799999999999998</v>
      </c>
      <c r="I263" s="11">
        <v>6.4</v>
      </c>
    </row>
    <row r="264" spans="1:9" x14ac:dyDescent="0.35">
      <c r="A264" s="2" t="s">
        <v>62</v>
      </c>
      <c r="B264" s="3">
        <v>44866</v>
      </c>
      <c r="C264" s="2">
        <v>25</v>
      </c>
      <c r="D264" s="2">
        <v>37412</v>
      </c>
      <c r="E264" s="17">
        <v>81258.34</v>
      </c>
      <c r="F264" s="11">
        <v>6.36</v>
      </c>
      <c r="G264" s="9">
        <v>5827.9</v>
      </c>
      <c r="H264" s="10">
        <v>0.68</v>
      </c>
      <c r="I264" s="11">
        <v>7.1</v>
      </c>
    </row>
    <row r="265" spans="1:9" x14ac:dyDescent="0.35">
      <c r="A265" s="2" t="s">
        <v>62</v>
      </c>
      <c r="B265" s="3">
        <v>44896</v>
      </c>
      <c r="C265" s="2">
        <v>14</v>
      </c>
      <c r="D265" s="2">
        <v>20940</v>
      </c>
      <c r="E265" s="17">
        <v>44257.37</v>
      </c>
      <c r="F265" s="11">
        <v>6.4</v>
      </c>
      <c r="G265" s="9">
        <v>3317.4</v>
      </c>
      <c r="H265" s="10">
        <v>0.28599999999999998</v>
      </c>
      <c r="I265" s="11">
        <v>6.5</v>
      </c>
    </row>
    <row r="266" spans="1:9" x14ac:dyDescent="0.35">
      <c r="A266" s="2" t="s">
        <v>62</v>
      </c>
      <c r="B266" s="3">
        <v>44927</v>
      </c>
      <c r="C266" s="2">
        <v>21</v>
      </c>
      <c r="D266" s="2">
        <v>38306</v>
      </c>
      <c r="E266" s="17">
        <v>77449.95</v>
      </c>
      <c r="F266" s="11">
        <v>6.47</v>
      </c>
      <c r="G266" s="9">
        <v>6003.5</v>
      </c>
      <c r="H266" s="10">
        <v>0.47599999999999998</v>
      </c>
      <c r="I266" s="11">
        <v>6.7</v>
      </c>
    </row>
    <row r="267" spans="1:9" x14ac:dyDescent="0.35">
      <c r="A267" s="2" t="s">
        <v>62</v>
      </c>
      <c r="B267" s="3">
        <v>44958</v>
      </c>
      <c r="C267" s="2">
        <v>13</v>
      </c>
      <c r="D267" s="2">
        <v>18595</v>
      </c>
      <c r="E267" s="17">
        <v>39718.410000000003</v>
      </c>
      <c r="F267" s="11">
        <v>6.68</v>
      </c>
      <c r="G267" s="9">
        <v>2871.6</v>
      </c>
      <c r="H267" s="10">
        <v>0.38500000000000001</v>
      </c>
      <c r="I267" s="11">
        <v>5.0999999999999996</v>
      </c>
    </row>
    <row r="268" spans="1:9" x14ac:dyDescent="0.35">
      <c r="A268" s="2" t="s">
        <v>62</v>
      </c>
      <c r="B268" s="3">
        <v>44986</v>
      </c>
      <c r="C268" s="2">
        <v>21</v>
      </c>
      <c r="D268" s="2">
        <v>35515</v>
      </c>
      <c r="E268" s="17">
        <v>72798.039999999994</v>
      </c>
      <c r="F268" s="11">
        <v>6.65</v>
      </c>
      <c r="G268" s="9">
        <v>5325.4</v>
      </c>
      <c r="H268" s="10">
        <v>0.42899999999999999</v>
      </c>
      <c r="I268" s="11">
        <v>6.5</v>
      </c>
    </row>
    <row r="269" spans="1:9" x14ac:dyDescent="0.35">
      <c r="A269" s="2" t="s">
        <v>62</v>
      </c>
      <c r="B269" s="3">
        <v>45017</v>
      </c>
      <c r="C269" s="2">
        <v>22</v>
      </c>
      <c r="D269" s="2">
        <v>35533</v>
      </c>
      <c r="E269" s="17">
        <v>73586.58</v>
      </c>
      <c r="F269" s="11">
        <v>6.36</v>
      </c>
      <c r="G269" s="9">
        <v>5640.3</v>
      </c>
      <c r="H269" s="10">
        <v>0.5</v>
      </c>
      <c r="I269" s="11">
        <v>7</v>
      </c>
    </row>
    <row r="270" spans="1:9" x14ac:dyDescent="0.35">
      <c r="A270" s="2" t="s">
        <v>62</v>
      </c>
      <c r="B270" s="3">
        <v>45047</v>
      </c>
      <c r="C270" s="2">
        <v>22</v>
      </c>
      <c r="D270" s="2">
        <v>32326</v>
      </c>
      <c r="E270" s="17">
        <v>67476.22</v>
      </c>
      <c r="F270" s="11">
        <v>6.45</v>
      </c>
      <c r="G270" s="9">
        <v>5101.8999999999996</v>
      </c>
      <c r="H270" s="10">
        <v>0.54500000000000004</v>
      </c>
      <c r="I270" s="11">
        <v>8.1</v>
      </c>
    </row>
    <row r="271" spans="1:9" x14ac:dyDescent="0.35">
      <c r="A271" s="2" t="s">
        <v>62</v>
      </c>
      <c r="B271" s="3">
        <v>45078</v>
      </c>
      <c r="C271" s="2">
        <v>16</v>
      </c>
      <c r="D271" s="2">
        <v>23400</v>
      </c>
      <c r="E271" s="17">
        <v>47431.53</v>
      </c>
      <c r="F271" s="11">
        <v>6.46</v>
      </c>
      <c r="G271" s="9">
        <v>3709.5</v>
      </c>
      <c r="H271" s="10">
        <v>0.438</v>
      </c>
      <c r="I271" s="11">
        <v>7.8</v>
      </c>
    </row>
    <row r="272" spans="1:9" x14ac:dyDescent="0.35">
      <c r="A272" s="2" t="s">
        <v>62</v>
      </c>
      <c r="B272" s="3">
        <v>45108</v>
      </c>
      <c r="C272" s="2">
        <v>23</v>
      </c>
      <c r="D272" s="2">
        <v>35597</v>
      </c>
      <c r="E272" s="17">
        <v>79055.100000000006</v>
      </c>
      <c r="F272" s="11">
        <v>6.55</v>
      </c>
      <c r="G272" s="9">
        <v>5425.3</v>
      </c>
      <c r="H272" s="10">
        <v>0.34799999999999998</v>
      </c>
      <c r="I272" s="11">
        <v>6.9</v>
      </c>
    </row>
    <row r="273" spans="1:9" x14ac:dyDescent="0.35">
      <c r="A273" s="2" t="s">
        <v>62</v>
      </c>
      <c r="B273" s="3">
        <v>45139</v>
      </c>
      <c r="C273" s="2">
        <v>23</v>
      </c>
      <c r="D273" s="2">
        <v>36483</v>
      </c>
      <c r="E273" s="17">
        <v>81202.75</v>
      </c>
      <c r="F273" s="11">
        <v>6.14</v>
      </c>
      <c r="G273" s="9">
        <v>5971.2</v>
      </c>
      <c r="H273" s="10">
        <v>0.47799999999999998</v>
      </c>
      <c r="I273" s="11">
        <v>6.8</v>
      </c>
    </row>
    <row r="274" spans="1:9" x14ac:dyDescent="0.35">
      <c r="A274" s="2" t="s">
        <v>62</v>
      </c>
      <c r="B274" s="3">
        <v>45170</v>
      </c>
      <c r="C274" s="2">
        <v>19</v>
      </c>
      <c r="D274" s="2">
        <v>24310</v>
      </c>
      <c r="E274" s="17">
        <v>56157.46</v>
      </c>
      <c r="F274" s="11">
        <v>6.4</v>
      </c>
      <c r="G274" s="9">
        <v>3801.7</v>
      </c>
      <c r="H274" s="10">
        <v>0.316</v>
      </c>
      <c r="I274" s="11">
        <v>6.3</v>
      </c>
    </row>
    <row r="275" spans="1:9" x14ac:dyDescent="0.35">
      <c r="A275" s="2" t="s">
        <v>62</v>
      </c>
      <c r="B275" s="3">
        <v>45200</v>
      </c>
      <c r="C275" s="2">
        <v>19</v>
      </c>
      <c r="D275" s="2">
        <v>25649</v>
      </c>
      <c r="E275" s="17">
        <v>52674.46</v>
      </c>
      <c r="F275" s="11">
        <v>6.25</v>
      </c>
      <c r="G275" s="9">
        <v>4149</v>
      </c>
      <c r="H275" s="10">
        <v>0.21099999999999999</v>
      </c>
      <c r="I275" s="11">
        <v>7.1</v>
      </c>
    </row>
    <row r="276" spans="1:9" x14ac:dyDescent="0.35">
      <c r="A276" s="2" t="s">
        <v>62</v>
      </c>
      <c r="B276" s="3">
        <v>45231</v>
      </c>
      <c r="C276" s="2">
        <v>15</v>
      </c>
      <c r="D276" s="2">
        <v>17799</v>
      </c>
      <c r="E276" s="17">
        <v>37796.080000000002</v>
      </c>
      <c r="F276" s="11">
        <v>6.41</v>
      </c>
      <c r="G276" s="9">
        <v>2771.2</v>
      </c>
      <c r="H276" s="10">
        <v>0.46700000000000003</v>
      </c>
      <c r="I276" s="11">
        <v>7.1</v>
      </c>
    </row>
    <row r="277" spans="1:9" x14ac:dyDescent="0.35">
      <c r="A277" s="2" t="s">
        <v>62</v>
      </c>
      <c r="B277" s="3">
        <v>45261</v>
      </c>
      <c r="C277" s="2">
        <v>22</v>
      </c>
      <c r="D277" s="2">
        <v>27179</v>
      </c>
      <c r="E277" s="17">
        <v>57754.01</v>
      </c>
      <c r="F277" s="11">
        <v>6.6</v>
      </c>
      <c r="G277" s="9">
        <v>4213.1000000000004</v>
      </c>
      <c r="H277" s="10">
        <v>0.5</v>
      </c>
      <c r="I277" s="11">
        <v>7.3</v>
      </c>
    </row>
    <row r="278" spans="1:9" x14ac:dyDescent="0.35">
      <c r="A278" s="2" t="s">
        <v>62</v>
      </c>
      <c r="B278" s="3">
        <v>45292</v>
      </c>
      <c r="C278" s="2">
        <v>16</v>
      </c>
      <c r="D278" s="2">
        <v>21368</v>
      </c>
      <c r="E278" s="17">
        <v>39551.31</v>
      </c>
      <c r="F278" s="11">
        <v>6.46</v>
      </c>
      <c r="G278" s="9">
        <v>3373.3</v>
      </c>
      <c r="H278" s="10">
        <v>0.625</v>
      </c>
      <c r="I278" s="11">
        <v>5.7</v>
      </c>
    </row>
    <row r="279" spans="1:9" x14ac:dyDescent="0.35">
      <c r="A279" s="2" t="s">
        <v>62</v>
      </c>
      <c r="B279" s="3">
        <v>45323</v>
      </c>
      <c r="C279" s="2">
        <v>13</v>
      </c>
      <c r="D279" s="2">
        <v>16656</v>
      </c>
      <c r="E279" s="17">
        <v>35414.44</v>
      </c>
      <c r="F279" s="11">
        <v>6.49</v>
      </c>
      <c r="G279" s="9">
        <v>2549.8000000000002</v>
      </c>
      <c r="H279" s="10">
        <v>0.23100000000000001</v>
      </c>
      <c r="I279" s="11">
        <v>6.6</v>
      </c>
    </row>
    <row r="280" spans="1:9" x14ac:dyDescent="0.35">
      <c r="A280" s="2" t="s">
        <v>62</v>
      </c>
      <c r="B280" s="3">
        <v>45352</v>
      </c>
      <c r="C280" s="2">
        <v>21</v>
      </c>
      <c r="D280" s="2">
        <v>22196</v>
      </c>
      <c r="E280" s="17">
        <v>50243.69</v>
      </c>
      <c r="F280" s="11">
        <v>6.47</v>
      </c>
      <c r="G280" s="9">
        <v>3493.6</v>
      </c>
      <c r="H280" s="10">
        <v>0.47599999999999998</v>
      </c>
      <c r="I280" s="11">
        <v>8.1</v>
      </c>
    </row>
    <row r="281" spans="1:9" x14ac:dyDescent="0.35">
      <c r="A281" s="2" t="s">
        <v>62</v>
      </c>
      <c r="B281" s="3">
        <v>45383</v>
      </c>
      <c r="C281" s="2">
        <v>18</v>
      </c>
      <c r="D281" s="2">
        <v>27186</v>
      </c>
      <c r="E281" s="17">
        <v>61790.2</v>
      </c>
      <c r="F281" s="11">
        <v>6.57</v>
      </c>
      <c r="G281" s="9">
        <v>4162.2</v>
      </c>
      <c r="H281" s="10">
        <v>0.44400000000000001</v>
      </c>
      <c r="I281" s="11">
        <v>7.7</v>
      </c>
    </row>
    <row r="282" spans="1:9" x14ac:dyDescent="0.35">
      <c r="A282" s="2" t="s">
        <v>62</v>
      </c>
      <c r="B282" s="3">
        <v>45413</v>
      </c>
      <c r="C282" s="2">
        <v>15</v>
      </c>
      <c r="D282" s="2">
        <v>19804</v>
      </c>
      <c r="E282" s="17">
        <v>39870.94</v>
      </c>
      <c r="F282" s="11">
        <v>7.04</v>
      </c>
      <c r="G282" s="9">
        <v>2807.5</v>
      </c>
      <c r="H282" s="10">
        <v>0.46700000000000003</v>
      </c>
      <c r="I282" s="11">
        <v>8.6999999999999993</v>
      </c>
    </row>
    <row r="283" spans="1:9" x14ac:dyDescent="0.35">
      <c r="A283" s="2" t="s">
        <v>62</v>
      </c>
      <c r="B283" s="3">
        <v>45444</v>
      </c>
      <c r="C283" s="2">
        <v>19</v>
      </c>
      <c r="D283" s="2">
        <v>25800</v>
      </c>
      <c r="E283" s="17">
        <v>54226.2</v>
      </c>
      <c r="F283" s="11">
        <v>6.67</v>
      </c>
      <c r="G283" s="9">
        <v>3927.8</v>
      </c>
      <c r="H283" s="10">
        <v>0.57899999999999996</v>
      </c>
      <c r="I283" s="11">
        <v>7.3</v>
      </c>
    </row>
    <row r="284" spans="1:9" x14ac:dyDescent="0.35">
      <c r="A284" s="2" t="s">
        <v>62</v>
      </c>
      <c r="B284" s="3">
        <v>45474</v>
      </c>
      <c r="C284" s="2">
        <v>27</v>
      </c>
      <c r="D284" s="2">
        <v>43427</v>
      </c>
      <c r="E284" s="17">
        <v>93092.85</v>
      </c>
      <c r="F284" s="11">
        <v>6.45</v>
      </c>
      <c r="G284" s="9">
        <v>6772.3</v>
      </c>
      <c r="H284" s="10">
        <v>0.37</v>
      </c>
      <c r="I284" s="11">
        <v>7.5</v>
      </c>
    </row>
    <row r="285" spans="1:9" x14ac:dyDescent="0.35">
      <c r="A285" s="2" t="s">
        <v>62</v>
      </c>
      <c r="B285" s="3">
        <v>45505</v>
      </c>
      <c r="C285" s="2">
        <v>25</v>
      </c>
      <c r="D285" s="2">
        <v>33412</v>
      </c>
      <c r="E285" s="17">
        <v>73906.5</v>
      </c>
      <c r="F285" s="11">
        <v>6.58</v>
      </c>
      <c r="G285" s="9">
        <v>5111.8999999999996</v>
      </c>
      <c r="H285" s="10">
        <v>0.32</v>
      </c>
      <c r="I285" s="11">
        <v>7.2</v>
      </c>
    </row>
    <row r="286" spans="1:9" x14ac:dyDescent="0.35">
      <c r="A286" s="2" t="s">
        <v>62</v>
      </c>
      <c r="B286" s="3">
        <v>45536</v>
      </c>
      <c r="C286" s="2">
        <v>23</v>
      </c>
      <c r="D286" s="2">
        <v>38773</v>
      </c>
      <c r="E286" s="17">
        <v>81136.56</v>
      </c>
      <c r="F286" s="11">
        <v>6.56</v>
      </c>
      <c r="G286" s="9">
        <v>5964.4</v>
      </c>
      <c r="H286" s="10">
        <v>0.39100000000000001</v>
      </c>
      <c r="I286" s="11">
        <v>7</v>
      </c>
    </row>
    <row r="287" spans="1:9" x14ac:dyDescent="0.35">
      <c r="A287" s="2" t="s">
        <v>62</v>
      </c>
      <c r="B287" s="3">
        <v>45566</v>
      </c>
      <c r="C287" s="2">
        <v>20</v>
      </c>
      <c r="D287" s="2">
        <v>26674</v>
      </c>
      <c r="E287" s="17">
        <v>58230.75</v>
      </c>
      <c r="F287" s="11">
        <v>6.63</v>
      </c>
      <c r="G287" s="9">
        <v>4059.3</v>
      </c>
      <c r="H287" s="10">
        <v>0.45</v>
      </c>
      <c r="I287" s="11">
        <v>6.1</v>
      </c>
    </row>
    <row r="288" spans="1:9" x14ac:dyDescent="0.35">
      <c r="A288" s="2" t="s">
        <v>62</v>
      </c>
      <c r="B288" s="3">
        <v>45597</v>
      </c>
      <c r="C288" s="2">
        <v>20</v>
      </c>
      <c r="D288" s="2">
        <v>24908</v>
      </c>
      <c r="E288" s="17">
        <v>53222.38</v>
      </c>
      <c r="F288" s="11">
        <v>6.59</v>
      </c>
      <c r="G288" s="9">
        <v>3846</v>
      </c>
      <c r="H288" s="10">
        <v>0.55000000000000004</v>
      </c>
      <c r="I288" s="11">
        <v>6.1</v>
      </c>
    </row>
    <row r="289" spans="1:9" x14ac:dyDescent="0.35">
      <c r="A289" s="2" t="s">
        <v>62</v>
      </c>
      <c r="B289" s="3">
        <v>45627</v>
      </c>
      <c r="C289" s="2">
        <v>16</v>
      </c>
      <c r="D289" s="2">
        <v>20106</v>
      </c>
      <c r="E289" s="17">
        <v>46571.44</v>
      </c>
      <c r="F289" s="11">
        <v>6.47</v>
      </c>
      <c r="G289" s="9">
        <v>3064.2</v>
      </c>
      <c r="H289" s="10">
        <v>0.25</v>
      </c>
      <c r="I289" s="11">
        <v>7.5</v>
      </c>
    </row>
    <row r="290" spans="1:9" x14ac:dyDescent="0.35">
      <c r="A290" s="2" t="s">
        <v>67</v>
      </c>
      <c r="B290" s="3">
        <v>44562</v>
      </c>
      <c r="C290" s="2">
        <v>9</v>
      </c>
      <c r="D290" s="2">
        <v>12200</v>
      </c>
      <c r="E290" s="17">
        <v>23019.41</v>
      </c>
      <c r="F290" s="11">
        <v>6.46</v>
      </c>
      <c r="G290" s="9">
        <v>1863.4</v>
      </c>
      <c r="H290" s="10">
        <v>0.55600000000000005</v>
      </c>
      <c r="I290" s="11">
        <v>5</v>
      </c>
    </row>
    <row r="291" spans="1:9" x14ac:dyDescent="0.35">
      <c r="A291" s="2" t="s">
        <v>67</v>
      </c>
      <c r="B291" s="3">
        <v>44593</v>
      </c>
      <c r="C291" s="2">
        <v>16</v>
      </c>
      <c r="D291" s="2">
        <v>21051</v>
      </c>
      <c r="E291" s="17">
        <v>42789.66</v>
      </c>
      <c r="F291" s="11">
        <v>6.59</v>
      </c>
      <c r="G291" s="9">
        <v>3230.3</v>
      </c>
      <c r="H291" s="10">
        <v>0.375</v>
      </c>
      <c r="I291" s="11">
        <v>5.7</v>
      </c>
    </row>
    <row r="292" spans="1:9" x14ac:dyDescent="0.35">
      <c r="A292" s="2" t="s">
        <v>67</v>
      </c>
      <c r="B292" s="3">
        <v>44621</v>
      </c>
      <c r="C292" s="2">
        <v>17</v>
      </c>
      <c r="D292" s="2">
        <v>28277</v>
      </c>
      <c r="E292" s="17">
        <v>60414.58</v>
      </c>
      <c r="F292" s="11">
        <v>6.57</v>
      </c>
      <c r="G292" s="9">
        <v>4300.2</v>
      </c>
      <c r="H292" s="10">
        <v>0.23499999999999999</v>
      </c>
      <c r="I292" s="11">
        <v>6.8</v>
      </c>
    </row>
    <row r="293" spans="1:9" x14ac:dyDescent="0.35">
      <c r="A293" s="2" t="s">
        <v>67</v>
      </c>
      <c r="B293" s="3">
        <v>44652</v>
      </c>
      <c r="C293" s="2">
        <v>23</v>
      </c>
      <c r="D293" s="2">
        <v>33593</v>
      </c>
      <c r="E293" s="17">
        <v>78642.95</v>
      </c>
      <c r="F293" s="11">
        <v>6.36</v>
      </c>
      <c r="G293" s="9">
        <v>5309.6</v>
      </c>
      <c r="H293" s="10">
        <v>0.60899999999999999</v>
      </c>
      <c r="I293" s="11">
        <v>7.5</v>
      </c>
    </row>
    <row r="294" spans="1:9" x14ac:dyDescent="0.35">
      <c r="A294" s="2" t="s">
        <v>67</v>
      </c>
      <c r="B294" s="3">
        <v>44682</v>
      </c>
      <c r="C294" s="2">
        <v>15</v>
      </c>
      <c r="D294" s="2">
        <v>21152</v>
      </c>
      <c r="E294" s="17">
        <v>45907.32</v>
      </c>
      <c r="F294" s="11">
        <v>6.49</v>
      </c>
      <c r="G294" s="9">
        <v>3256.7</v>
      </c>
      <c r="H294" s="10">
        <v>0.6</v>
      </c>
      <c r="I294" s="11">
        <v>8.1</v>
      </c>
    </row>
    <row r="295" spans="1:9" x14ac:dyDescent="0.35">
      <c r="A295" s="2" t="s">
        <v>67</v>
      </c>
      <c r="B295" s="3">
        <v>44713</v>
      </c>
      <c r="C295" s="2">
        <v>18</v>
      </c>
      <c r="D295" s="2">
        <v>26511</v>
      </c>
      <c r="E295" s="17">
        <v>61930</v>
      </c>
      <c r="F295" s="11">
        <v>6.56</v>
      </c>
      <c r="G295" s="9">
        <v>4069.1</v>
      </c>
      <c r="H295" s="10">
        <v>0.33300000000000002</v>
      </c>
      <c r="I295" s="11">
        <v>6.3</v>
      </c>
    </row>
    <row r="296" spans="1:9" x14ac:dyDescent="0.35">
      <c r="A296" s="2" t="s">
        <v>67</v>
      </c>
      <c r="B296" s="3">
        <v>44743</v>
      </c>
      <c r="C296" s="2">
        <v>25</v>
      </c>
      <c r="D296" s="2">
        <v>35152</v>
      </c>
      <c r="E296" s="17">
        <v>71823.59</v>
      </c>
      <c r="F296" s="11">
        <v>6.44</v>
      </c>
      <c r="G296" s="9">
        <v>5457.8</v>
      </c>
      <c r="H296" s="10">
        <v>0.6</v>
      </c>
      <c r="I296" s="11">
        <v>7.3</v>
      </c>
    </row>
    <row r="297" spans="1:9" x14ac:dyDescent="0.35">
      <c r="A297" s="2" t="s">
        <v>67</v>
      </c>
      <c r="B297" s="3">
        <v>44774</v>
      </c>
      <c r="C297" s="2">
        <v>21</v>
      </c>
      <c r="D297" s="2">
        <v>29507</v>
      </c>
      <c r="E297" s="17">
        <v>65280.72</v>
      </c>
      <c r="F297" s="11">
        <v>6.39</v>
      </c>
      <c r="G297" s="9">
        <v>4679.6000000000004</v>
      </c>
      <c r="H297" s="10">
        <v>0.38100000000000001</v>
      </c>
      <c r="I297" s="11">
        <v>6.1</v>
      </c>
    </row>
    <row r="298" spans="1:9" x14ac:dyDescent="0.35">
      <c r="A298" s="2" t="s">
        <v>67</v>
      </c>
      <c r="B298" s="3">
        <v>44805</v>
      </c>
      <c r="C298" s="2">
        <v>23</v>
      </c>
      <c r="D298" s="2">
        <v>29041</v>
      </c>
      <c r="E298" s="17">
        <v>62837.67</v>
      </c>
      <c r="F298" s="11">
        <v>6.55</v>
      </c>
      <c r="G298" s="9">
        <v>4403.7</v>
      </c>
      <c r="H298" s="10">
        <v>0.34799999999999998</v>
      </c>
      <c r="I298" s="11">
        <v>6</v>
      </c>
    </row>
    <row r="299" spans="1:9" x14ac:dyDescent="0.35">
      <c r="A299" s="2" t="s">
        <v>67</v>
      </c>
      <c r="B299" s="3">
        <v>44835</v>
      </c>
      <c r="C299" s="2">
        <v>22</v>
      </c>
      <c r="D299" s="2">
        <v>30534</v>
      </c>
      <c r="E299" s="17">
        <v>65221.5</v>
      </c>
      <c r="F299" s="11">
        <v>6.64</v>
      </c>
      <c r="G299" s="9">
        <v>4647</v>
      </c>
      <c r="H299" s="10">
        <v>0.27300000000000002</v>
      </c>
      <c r="I299" s="11">
        <v>7.7</v>
      </c>
    </row>
    <row r="300" spans="1:9" x14ac:dyDescent="0.35">
      <c r="A300" s="2" t="s">
        <v>67</v>
      </c>
      <c r="B300" s="3">
        <v>44866</v>
      </c>
      <c r="C300" s="2">
        <v>26</v>
      </c>
      <c r="D300" s="2">
        <v>36696</v>
      </c>
      <c r="E300" s="17">
        <v>78049.070000000007</v>
      </c>
      <c r="F300" s="11">
        <v>6.59</v>
      </c>
      <c r="G300" s="9">
        <v>5706.5</v>
      </c>
      <c r="H300" s="10">
        <v>0.34599999999999997</v>
      </c>
      <c r="I300" s="11">
        <v>8.1</v>
      </c>
    </row>
    <row r="301" spans="1:9" x14ac:dyDescent="0.35">
      <c r="A301" s="2" t="s">
        <v>67</v>
      </c>
      <c r="B301" s="3">
        <v>44896</v>
      </c>
      <c r="C301" s="2">
        <v>21</v>
      </c>
      <c r="D301" s="2">
        <v>31649</v>
      </c>
      <c r="E301" s="17">
        <v>72190.97</v>
      </c>
      <c r="F301" s="11">
        <v>6.32</v>
      </c>
      <c r="G301" s="9">
        <v>4967.7</v>
      </c>
      <c r="H301" s="10">
        <v>0.38100000000000001</v>
      </c>
      <c r="I301" s="11">
        <v>6.7</v>
      </c>
    </row>
    <row r="302" spans="1:9" x14ac:dyDescent="0.35">
      <c r="A302" s="2" t="s">
        <v>67</v>
      </c>
      <c r="B302" s="3">
        <v>44927</v>
      </c>
      <c r="C302" s="2">
        <v>20</v>
      </c>
      <c r="D302" s="2">
        <v>32873</v>
      </c>
      <c r="E302" s="17">
        <v>66589.31</v>
      </c>
      <c r="F302" s="11">
        <v>6.43</v>
      </c>
      <c r="G302" s="9">
        <v>5098.3999999999996</v>
      </c>
      <c r="H302" s="10">
        <v>0.55000000000000004</v>
      </c>
      <c r="I302" s="11">
        <v>7.1</v>
      </c>
    </row>
    <row r="303" spans="1:9" x14ac:dyDescent="0.35">
      <c r="A303" s="2" t="s">
        <v>67</v>
      </c>
      <c r="B303" s="3">
        <v>44958</v>
      </c>
      <c r="C303" s="2">
        <v>14</v>
      </c>
      <c r="D303" s="2">
        <v>20669</v>
      </c>
      <c r="E303" s="17">
        <v>43559</v>
      </c>
      <c r="F303" s="11">
        <v>6.69</v>
      </c>
      <c r="G303" s="9">
        <v>3087.5</v>
      </c>
      <c r="H303" s="10">
        <v>0.42899999999999999</v>
      </c>
      <c r="I303" s="11">
        <v>7.1</v>
      </c>
    </row>
    <row r="304" spans="1:9" x14ac:dyDescent="0.35">
      <c r="A304" s="2" t="s">
        <v>67</v>
      </c>
      <c r="B304" s="3">
        <v>44986</v>
      </c>
      <c r="C304" s="2">
        <v>22</v>
      </c>
      <c r="D304" s="2">
        <v>26346</v>
      </c>
      <c r="E304" s="17">
        <v>52878.92</v>
      </c>
      <c r="F304" s="11">
        <v>6.4</v>
      </c>
      <c r="G304" s="9">
        <v>4070.3</v>
      </c>
      <c r="H304" s="10">
        <v>0.45500000000000002</v>
      </c>
      <c r="I304" s="11">
        <v>7.1</v>
      </c>
    </row>
    <row r="305" spans="1:9" x14ac:dyDescent="0.35">
      <c r="A305" s="2" t="s">
        <v>67</v>
      </c>
      <c r="B305" s="3">
        <v>45017</v>
      </c>
      <c r="C305" s="2">
        <v>19</v>
      </c>
      <c r="D305" s="2">
        <v>24121</v>
      </c>
      <c r="E305" s="17">
        <v>56056.85</v>
      </c>
      <c r="F305" s="11">
        <v>6.42</v>
      </c>
      <c r="G305" s="9">
        <v>3793.9</v>
      </c>
      <c r="H305" s="10">
        <v>0.42099999999999999</v>
      </c>
      <c r="I305" s="11">
        <v>7.4</v>
      </c>
    </row>
    <row r="306" spans="1:9" x14ac:dyDescent="0.35">
      <c r="A306" s="2" t="s">
        <v>67</v>
      </c>
      <c r="B306" s="3">
        <v>45047</v>
      </c>
      <c r="C306" s="2">
        <v>21</v>
      </c>
      <c r="D306" s="2">
        <v>37392</v>
      </c>
      <c r="E306" s="17">
        <v>84380.51</v>
      </c>
      <c r="F306" s="11">
        <v>6.38</v>
      </c>
      <c r="G306" s="9">
        <v>5921.9</v>
      </c>
      <c r="H306" s="10">
        <v>0.47599999999999998</v>
      </c>
      <c r="I306" s="11">
        <v>8.4</v>
      </c>
    </row>
    <row r="307" spans="1:9" x14ac:dyDescent="0.35">
      <c r="A307" s="2" t="s">
        <v>67</v>
      </c>
      <c r="B307" s="3">
        <v>45078</v>
      </c>
      <c r="C307" s="2">
        <v>15</v>
      </c>
      <c r="D307" s="2">
        <v>22786</v>
      </c>
      <c r="E307" s="17">
        <v>53514.080000000002</v>
      </c>
      <c r="F307" s="11">
        <v>6.62</v>
      </c>
      <c r="G307" s="9">
        <v>3516</v>
      </c>
      <c r="H307" s="10">
        <v>0.53300000000000003</v>
      </c>
      <c r="I307" s="11">
        <v>6.2</v>
      </c>
    </row>
    <row r="308" spans="1:9" x14ac:dyDescent="0.35">
      <c r="A308" s="2" t="s">
        <v>67</v>
      </c>
      <c r="B308" s="3">
        <v>45108</v>
      </c>
      <c r="C308" s="2">
        <v>26</v>
      </c>
      <c r="D308" s="2">
        <v>34707</v>
      </c>
      <c r="E308" s="17">
        <v>69301.58</v>
      </c>
      <c r="F308" s="11">
        <v>6.55</v>
      </c>
      <c r="G308" s="9">
        <v>5322</v>
      </c>
      <c r="H308" s="10">
        <v>0.46200000000000002</v>
      </c>
      <c r="I308" s="11">
        <v>7.7</v>
      </c>
    </row>
    <row r="309" spans="1:9" x14ac:dyDescent="0.35">
      <c r="A309" s="2" t="s">
        <v>67</v>
      </c>
      <c r="B309" s="3">
        <v>45139</v>
      </c>
      <c r="C309" s="2">
        <v>15</v>
      </c>
      <c r="D309" s="2">
        <v>20158</v>
      </c>
      <c r="E309" s="17">
        <v>43059.76</v>
      </c>
      <c r="F309" s="11">
        <v>6.5</v>
      </c>
      <c r="G309" s="9">
        <v>3102.3</v>
      </c>
      <c r="H309" s="10">
        <v>0.46700000000000003</v>
      </c>
      <c r="I309" s="11">
        <v>8</v>
      </c>
    </row>
    <row r="310" spans="1:9" x14ac:dyDescent="0.35">
      <c r="A310" s="2" t="s">
        <v>67</v>
      </c>
      <c r="B310" s="3">
        <v>45170</v>
      </c>
      <c r="C310" s="2">
        <v>23</v>
      </c>
      <c r="D310" s="2">
        <v>33717</v>
      </c>
      <c r="E310" s="17">
        <v>66910.320000000007</v>
      </c>
      <c r="F310" s="11">
        <v>6.35</v>
      </c>
      <c r="G310" s="9">
        <v>5314.4</v>
      </c>
      <c r="H310" s="10">
        <v>0.39100000000000001</v>
      </c>
      <c r="I310" s="11">
        <v>8</v>
      </c>
    </row>
    <row r="311" spans="1:9" x14ac:dyDescent="0.35">
      <c r="A311" s="2" t="s">
        <v>67</v>
      </c>
      <c r="B311" s="3">
        <v>45200</v>
      </c>
      <c r="C311" s="2">
        <v>15</v>
      </c>
      <c r="D311" s="2">
        <v>23814</v>
      </c>
      <c r="E311" s="17">
        <v>54882.09</v>
      </c>
      <c r="F311" s="11">
        <v>6.65</v>
      </c>
      <c r="G311" s="9">
        <v>3618.7</v>
      </c>
      <c r="H311" s="10">
        <v>0.46700000000000003</v>
      </c>
      <c r="I311" s="11">
        <v>7.5</v>
      </c>
    </row>
    <row r="312" spans="1:9" x14ac:dyDescent="0.35">
      <c r="A312" s="2" t="s">
        <v>67</v>
      </c>
      <c r="B312" s="3">
        <v>45231</v>
      </c>
      <c r="C312" s="2">
        <v>18</v>
      </c>
      <c r="D312" s="2">
        <v>28327</v>
      </c>
      <c r="E312" s="17">
        <v>60227.35</v>
      </c>
      <c r="F312" s="11">
        <v>6.44</v>
      </c>
      <c r="G312" s="9">
        <v>4421.6000000000004</v>
      </c>
      <c r="H312" s="10">
        <v>0.5</v>
      </c>
      <c r="I312" s="11">
        <v>6.4</v>
      </c>
    </row>
    <row r="313" spans="1:9" x14ac:dyDescent="0.35">
      <c r="A313" s="2" t="s">
        <v>67</v>
      </c>
      <c r="B313" s="3">
        <v>45261</v>
      </c>
      <c r="C313" s="2">
        <v>13</v>
      </c>
      <c r="D313" s="2">
        <v>18664</v>
      </c>
      <c r="E313" s="17">
        <v>36058.47</v>
      </c>
      <c r="F313" s="11">
        <v>6.72</v>
      </c>
      <c r="G313" s="9">
        <v>2749.8</v>
      </c>
      <c r="H313" s="10">
        <v>0.23100000000000001</v>
      </c>
      <c r="I313" s="11">
        <v>7</v>
      </c>
    </row>
    <row r="314" spans="1:9" x14ac:dyDescent="0.35">
      <c r="A314" s="2" t="s">
        <v>67</v>
      </c>
      <c r="B314" s="3">
        <v>45292</v>
      </c>
      <c r="C314" s="2">
        <v>22</v>
      </c>
      <c r="D314" s="2">
        <v>30880</v>
      </c>
      <c r="E314" s="17">
        <v>64664.31</v>
      </c>
      <c r="F314" s="11">
        <v>6.61</v>
      </c>
      <c r="G314" s="9">
        <v>4659.3</v>
      </c>
      <c r="H314" s="10">
        <v>0.45500000000000002</v>
      </c>
      <c r="I314" s="11">
        <v>7.3</v>
      </c>
    </row>
    <row r="315" spans="1:9" x14ac:dyDescent="0.35">
      <c r="A315" s="2" t="s">
        <v>67</v>
      </c>
      <c r="B315" s="3">
        <v>45323</v>
      </c>
      <c r="C315" s="2">
        <v>16</v>
      </c>
      <c r="D315" s="2">
        <v>19018</v>
      </c>
      <c r="E315" s="17">
        <v>41239.39</v>
      </c>
      <c r="F315" s="11">
        <v>6.39</v>
      </c>
      <c r="G315" s="9">
        <v>2962.6</v>
      </c>
      <c r="H315" s="10">
        <v>0.25</v>
      </c>
      <c r="I315" s="11">
        <v>6.9</v>
      </c>
    </row>
    <row r="316" spans="1:9" x14ac:dyDescent="0.35">
      <c r="A316" s="2" t="s">
        <v>67</v>
      </c>
      <c r="B316" s="3">
        <v>45352</v>
      </c>
      <c r="C316" s="2">
        <v>15</v>
      </c>
      <c r="D316" s="2">
        <v>22964</v>
      </c>
      <c r="E316" s="17">
        <v>50309.4</v>
      </c>
      <c r="F316" s="11">
        <v>6.68</v>
      </c>
      <c r="G316" s="9">
        <v>3404.1</v>
      </c>
      <c r="H316" s="10">
        <v>0.33300000000000002</v>
      </c>
      <c r="I316" s="11">
        <v>6.8</v>
      </c>
    </row>
    <row r="317" spans="1:9" x14ac:dyDescent="0.35">
      <c r="A317" s="2" t="s">
        <v>67</v>
      </c>
      <c r="B317" s="3">
        <v>45383</v>
      </c>
      <c r="C317" s="2">
        <v>24</v>
      </c>
      <c r="D317" s="2">
        <v>30604</v>
      </c>
      <c r="E317" s="17">
        <v>67750.070000000007</v>
      </c>
      <c r="F317" s="11">
        <v>6.32</v>
      </c>
      <c r="G317" s="9">
        <v>4787.3</v>
      </c>
      <c r="H317" s="10">
        <v>0.58299999999999996</v>
      </c>
      <c r="I317" s="11">
        <v>6.5</v>
      </c>
    </row>
    <row r="318" spans="1:9" x14ac:dyDescent="0.35">
      <c r="A318" s="2" t="s">
        <v>67</v>
      </c>
      <c r="B318" s="3">
        <v>45413</v>
      </c>
      <c r="C318" s="2">
        <v>26</v>
      </c>
      <c r="D318" s="2">
        <v>32808</v>
      </c>
      <c r="E318" s="17">
        <v>71107.28</v>
      </c>
      <c r="F318" s="11">
        <v>6.46</v>
      </c>
      <c r="G318" s="9">
        <v>5088.8999999999996</v>
      </c>
      <c r="H318" s="10">
        <v>0.57699999999999996</v>
      </c>
      <c r="I318" s="11">
        <v>6.9</v>
      </c>
    </row>
    <row r="319" spans="1:9" x14ac:dyDescent="0.35">
      <c r="A319" s="2" t="s">
        <v>67</v>
      </c>
      <c r="B319" s="3">
        <v>45444</v>
      </c>
      <c r="C319" s="2">
        <v>28</v>
      </c>
      <c r="D319" s="2">
        <v>44778</v>
      </c>
      <c r="E319" s="17">
        <v>100841.93</v>
      </c>
      <c r="F319" s="11">
        <v>6.53</v>
      </c>
      <c r="G319" s="9">
        <v>6941.2</v>
      </c>
      <c r="H319" s="10">
        <v>0.53600000000000003</v>
      </c>
      <c r="I319" s="11">
        <v>6.8</v>
      </c>
    </row>
    <row r="320" spans="1:9" x14ac:dyDescent="0.35">
      <c r="A320" s="2" t="s">
        <v>67</v>
      </c>
      <c r="B320" s="3">
        <v>45474</v>
      </c>
      <c r="C320" s="2">
        <v>11</v>
      </c>
      <c r="D320" s="2">
        <v>13185</v>
      </c>
      <c r="E320" s="17">
        <v>25457.5</v>
      </c>
      <c r="F320" s="11">
        <v>6.24</v>
      </c>
      <c r="G320" s="9">
        <v>2127.4</v>
      </c>
      <c r="H320" s="10">
        <v>0.36399999999999999</v>
      </c>
      <c r="I320" s="11">
        <v>7.3</v>
      </c>
    </row>
    <row r="321" spans="1:9" x14ac:dyDescent="0.35">
      <c r="A321" s="2" t="s">
        <v>67</v>
      </c>
      <c r="B321" s="3">
        <v>45505</v>
      </c>
      <c r="C321" s="2">
        <v>18</v>
      </c>
      <c r="D321" s="2">
        <v>27523</v>
      </c>
      <c r="E321" s="17">
        <v>58668.04</v>
      </c>
      <c r="F321" s="11">
        <v>6.64</v>
      </c>
      <c r="G321" s="9">
        <v>4204.3</v>
      </c>
      <c r="H321" s="10">
        <v>0.61099999999999999</v>
      </c>
      <c r="I321" s="11">
        <v>6.7</v>
      </c>
    </row>
    <row r="322" spans="1:9" x14ac:dyDescent="0.35">
      <c r="A322" s="2" t="s">
        <v>67</v>
      </c>
      <c r="B322" s="3">
        <v>45536</v>
      </c>
      <c r="C322" s="2">
        <v>18</v>
      </c>
      <c r="D322" s="2">
        <v>23879</v>
      </c>
      <c r="E322" s="17">
        <v>51482.46</v>
      </c>
      <c r="F322" s="11">
        <v>6.69</v>
      </c>
      <c r="G322" s="9">
        <v>3582.8</v>
      </c>
      <c r="H322" s="10">
        <v>0.38900000000000001</v>
      </c>
      <c r="I322" s="11">
        <v>6.9</v>
      </c>
    </row>
    <row r="323" spans="1:9" x14ac:dyDescent="0.35">
      <c r="A323" s="2" t="s">
        <v>67</v>
      </c>
      <c r="B323" s="3">
        <v>45566</v>
      </c>
      <c r="C323" s="2">
        <v>16</v>
      </c>
      <c r="D323" s="2">
        <v>22897</v>
      </c>
      <c r="E323" s="17">
        <v>46139.76</v>
      </c>
      <c r="F323" s="11">
        <v>6.32</v>
      </c>
      <c r="G323" s="9">
        <v>3556.1</v>
      </c>
      <c r="H323" s="10">
        <v>0.5</v>
      </c>
      <c r="I323" s="11">
        <v>7.7</v>
      </c>
    </row>
    <row r="324" spans="1:9" x14ac:dyDescent="0.35">
      <c r="A324" s="2" t="s">
        <v>67</v>
      </c>
      <c r="B324" s="3">
        <v>45597</v>
      </c>
      <c r="C324" s="2">
        <v>24</v>
      </c>
      <c r="D324" s="2">
        <v>37923</v>
      </c>
      <c r="E324" s="17">
        <v>87866.86</v>
      </c>
      <c r="F324" s="11">
        <v>6.61</v>
      </c>
      <c r="G324" s="9">
        <v>5735.9</v>
      </c>
      <c r="H324" s="10">
        <v>0.20799999999999999</v>
      </c>
      <c r="I324" s="11">
        <v>7</v>
      </c>
    </row>
    <row r="325" spans="1:9" x14ac:dyDescent="0.35">
      <c r="A325" s="2" t="s">
        <v>67</v>
      </c>
      <c r="B325" s="3">
        <v>45627</v>
      </c>
      <c r="C325" s="2">
        <v>21</v>
      </c>
      <c r="D325" s="2">
        <v>32709</v>
      </c>
      <c r="E325" s="17">
        <v>72343.87</v>
      </c>
      <c r="F325" s="11">
        <v>6.43</v>
      </c>
      <c r="G325" s="9">
        <v>5159.2</v>
      </c>
      <c r="H325" s="10">
        <v>0.57099999999999995</v>
      </c>
      <c r="I325" s="11">
        <v>7</v>
      </c>
    </row>
    <row r="326" spans="1:9" x14ac:dyDescent="0.35">
      <c r="A326" s="2" t="s">
        <v>71</v>
      </c>
      <c r="B326" s="3">
        <v>44562</v>
      </c>
      <c r="C326" s="2">
        <v>25</v>
      </c>
      <c r="D326" s="2">
        <v>31234</v>
      </c>
      <c r="E326" s="17">
        <v>66400.81</v>
      </c>
      <c r="F326" s="11">
        <v>6.64</v>
      </c>
      <c r="G326" s="9">
        <v>4765.3999999999996</v>
      </c>
      <c r="H326" s="10">
        <v>0.52</v>
      </c>
      <c r="I326" s="11">
        <v>7.6</v>
      </c>
    </row>
    <row r="327" spans="1:9" x14ac:dyDescent="0.35">
      <c r="A327" s="2" t="s">
        <v>71</v>
      </c>
      <c r="B327" s="3">
        <v>44593</v>
      </c>
      <c r="C327" s="2">
        <v>13</v>
      </c>
      <c r="D327" s="2">
        <v>18129</v>
      </c>
      <c r="E327" s="17">
        <v>37129.230000000003</v>
      </c>
      <c r="F327" s="11">
        <v>6.64</v>
      </c>
      <c r="G327" s="9">
        <v>2800.9</v>
      </c>
      <c r="H327" s="10">
        <v>0.46200000000000002</v>
      </c>
      <c r="I327" s="11">
        <v>5.4</v>
      </c>
    </row>
    <row r="328" spans="1:9" x14ac:dyDescent="0.35">
      <c r="A328" s="2" t="s">
        <v>71</v>
      </c>
      <c r="B328" s="3">
        <v>44621</v>
      </c>
      <c r="C328" s="2">
        <v>21</v>
      </c>
      <c r="D328" s="2">
        <v>23292</v>
      </c>
      <c r="E328" s="17">
        <v>48726.14</v>
      </c>
      <c r="F328" s="11">
        <v>6.46</v>
      </c>
      <c r="G328" s="9">
        <v>3696.4</v>
      </c>
      <c r="H328" s="10">
        <v>0.42899999999999999</v>
      </c>
      <c r="I328" s="11">
        <v>7.3</v>
      </c>
    </row>
    <row r="329" spans="1:9" x14ac:dyDescent="0.35">
      <c r="A329" s="2" t="s">
        <v>71</v>
      </c>
      <c r="B329" s="3">
        <v>44652</v>
      </c>
      <c r="C329" s="2">
        <v>18</v>
      </c>
      <c r="D329" s="2">
        <v>32552</v>
      </c>
      <c r="E329" s="17">
        <v>62400.03</v>
      </c>
      <c r="F329" s="11">
        <v>6.39</v>
      </c>
      <c r="G329" s="9">
        <v>5172</v>
      </c>
      <c r="H329" s="10">
        <v>0.55600000000000005</v>
      </c>
      <c r="I329" s="11">
        <v>7.3</v>
      </c>
    </row>
    <row r="330" spans="1:9" x14ac:dyDescent="0.35">
      <c r="A330" s="2" t="s">
        <v>71</v>
      </c>
      <c r="B330" s="3">
        <v>44682</v>
      </c>
      <c r="C330" s="2">
        <v>18</v>
      </c>
      <c r="D330" s="2">
        <v>19862</v>
      </c>
      <c r="E330" s="17">
        <v>40914.54</v>
      </c>
      <c r="F330" s="11">
        <v>6.72</v>
      </c>
      <c r="G330" s="9">
        <v>2954.2</v>
      </c>
      <c r="H330" s="10">
        <v>0.222</v>
      </c>
      <c r="I330" s="11">
        <v>7</v>
      </c>
    </row>
    <row r="331" spans="1:9" x14ac:dyDescent="0.35">
      <c r="A331" s="2" t="s">
        <v>71</v>
      </c>
      <c r="B331" s="3">
        <v>44713</v>
      </c>
      <c r="C331" s="2">
        <v>22</v>
      </c>
      <c r="D331" s="2">
        <v>30444</v>
      </c>
      <c r="E331" s="17">
        <v>64982.69</v>
      </c>
      <c r="F331" s="11">
        <v>6.39</v>
      </c>
      <c r="G331" s="9">
        <v>4838.1000000000004</v>
      </c>
      <c r="H331" s="10">
        <v>0.27300000000000002</v>
      </c>
      <c r="I331" s="11">
        <v>6.5</v>
      </c>
    </row>
    <row r="332" spans="1:9" x14ac:dyDescent="0.35">
      <c r="A332" s="2" t="s">
        <v>71</v>
      </c>
      <c r="B332" s="3">
        <v>44743</v>
      </c>
      <c r="C332" s="2">
        <v>16</v>
      </c>
      <c r="D332" s="2">
        <v>24979</v>
      </c>
      <c r="E332" s="17">
        <v>48720.2</v>
      </c>
      <c r="F332" s="11">
        <v>6.53</v>
      </c>
      <c r="G332" s="9">
        <v>3846.2</v>
      </c>
      <c r="H332" s="10">
        <v>0.56200000000000006</v>
      </c>
      <c r="I332" s="11">
        <v>6.9</v>
      </c>
    </row>
    <row r="333" spans="1:9" x14ac:dyDescent="0.35">
      <c r="A333" s="2" t="s">
        <v>71</v>
      </c>
      <c r="B333" s="3">
        <v>44774</v>
      </c>
      <c r="C333" s="2">
        <v>21</v>
      </c>
      <c r="D333" s="2">
        <v>27354</v>
      </c>
      <c r="E333" s="17">
        <v>61921.08</v>
      </c>
      <c r="F333" s="11">
        <v>6.45</v>
      </c>
      <c r="G333" s="9">
        <v>4337.2</v>
      </c>
      <c r="H333" s="10">
        <v>0.47599999999999998</v>
      </c>
      <c r="I333" s="11">
        <v>6.8</v>
      </c>
    </row>
    <row r="334" spans="1:9" x14ac:dyDescent="0.35">
      <c r="A334" s="2" t="s">
        <v>71</v>
      </c>
      <c r="B334" s="3">
        <v>44805</v>
      </c>
      <c r="C334" s="2">
        <v>13</v>
      </c>
      <c r="D334" s="2">
        <v>21068</v>
      </c>
      <c r="E334" s="17">
        <v>47805.71</v>
      </c>
      <c r="F334" s="11">
        <v>6.5</v>
      </c>
      <c r="G334" s="9">
        <v>3247</v>
      </c>
      <c r="H334" s="10">
        <v>0.46200000000000002</v>
      </c>
      <c r="I334" s="11">
        <v>7.5</v>
      </c>
    </row>
    <row r="335" spans="1:9" x14ac:dyDescent="0.35">
      <c r="A335" s="2" t="s">
        <v>71</v>
      </c>
      <c r="B335" s="3">
        <v>44835</v>
      </c>
      <c r="C335" s="2">
        <v>19</v>
      </c>
      <c r="D335" s="2">
        <v>22751</v>
      </c>
      <c r="E335" s="17">
        <v>50412.59</v>
      </c>
      <c r="F335" s="11">
        <v>6.54</v>
      </c>
      <c r="G335" s="9">
        <v>3548.5</v>
      </c>
      <c r="H335" s="10">
        <v>0.52600000000000002</v>
      </c>
      <c r="I335" s="11">
        <v>7.1</v>
      </c>
    </row>
    <row r="336" spans="1:9" x14ac:dyDescent="0.35">
      <c r="A336" s="2" t="s">
        <v>71</v>
      </c>
      <c r="B336" s="3">
        <v>44866</v>
      </c>
      <c r="C336" s="2">
        <v>17</v>
      </c>
      <c r="D336" s="2">
        <v>27457</v>
      </c>
      <c r="E336" s="17">
        <v>56719.96</v>
      </c>
      <c r="F336" s="11">
        <v>6.36</v>
      </c>
      <c r="G336" s="9">
        <v>4390.2</v>
      </c>
      <c r="H336" s="10">
        <v>0.41199999999999998</v>
      </c>
      <c r="I336" s="11">
        <v>5.8</v>
      </c>
    </row>
    <row r="337" spans="1:9" x14ac:dyDescent="0.35">
      <c r="A337" s="2" t="s">
        <v>71</v>
      </c>
      <c r="B337" s="3">
        <v>44896</v>
      </c>
      <c r="C337" s="2">
        <v>16</v>
      </c>
      <c r="D337" s="2">
        <v>22882</v>
      </c>
      <c r="E337" s="17">
        <v>53134.43</v>
      </c>
      <c r="F337" s="11">
        <v>6.71</v>
      </c>
      <c r="G337" s="9">
        <v>3474.5</v>
      </c>
      <c r="H337" s="10">
        <v>0.25</v>
      </c>
      <c r="I337" s="11">
        <v>8.1999999999999993</v>
      </c>
    </row>
    <row r="338" spans="1:9" x14ac:dyDescent="0.35">
      <c r="A338" s="2" t="s">
        <v>71</v>
      </c>
      <c r="B338" s="3">
        <v>44927</v>
      </c>
      <c r="C338" s="2">
        <v>9</v>
      </c>
      <c r="D338" s="2">
        <v>10574</v>
      </c>
      <c r="E338" s="17">
        <v>21680.73</v>
      </c>
      <c r="F338" s="11">
        <v>6.32</v>
      </c>
      <c r="G338" s="9">
        <v>1720.2</v>
      </c>
      <c r="H338" s="10">
        <v>0.222</v>
      </c>
      <c r="I338" s="11">
        <v>7.4</v>
      </c>
    </row>
    <row r="339" spans="1:9" x14ac:dyDescent="0.35">
      <c r="A339" s="2" t="s">
        <v>71</v>
      </c>
      <c r="B339" s="3">
        <v>44958</v>
      </c>
      <c r="C339" s="2">
        <v>14</v>
      </c>
      <c r="D339" s="2">
        <v>18213</v>
      </c>
      <c r="E339" s="17">
        <v>42889.4</v>
      </c>
      <c r="F339" s="11">
        <v>6.44</v>
      </c>
      <c r="G339" s="9">
        <v>2813.7</v>
      </c>
      <c r="H339" s="10">
        <v>0.5</v>
      </c>
      <c r="I339" s="11">
        <v>7.5</v>
      </c>
    </row>
    <row r="340" spans="1:9" x14ac:dyDescent="0.35">
      <c r="A340" s="2" t="s">
        <v>71</v>
      </c>
      <c r="B340" s="3">
        <v>44986</v>
      </c>
      <c r="C340" s="2">
        <v>19</v>
      </c>
      <c r="D340" s="2">
        <v>24697</v>
      </c>
      <c r="E340" s="17">
        <v>52451.47</v>
      </c>
      <c r="F340" s="11">
        <v>6.68</v>
      </c>
      <c r="G340" s="9">
        <v>3759.8</v>
      </c>
      <c r="H340" s="10">
        <v>0.47399999999999998</v>
      </c>
      <c r="I340" s="11">
        <v>6.8</v>
      </c>
    </row>
    <row r="341" spans="1:9" x14ac:dyDescent="0.35">
      <c r="A341" s="2" t="s">
        <v>71</v>
      </c>
      <c r="B341" s="3">
        <v>45017</v>
      </c>
      <c r="C341" s="2">
        <v>16</v>
      </c>
      <c r="D341" s="2">
        <v>27952</v>
      </c>
      <c r="E341" s="17">
        <v>52280.71</v>
      </c>
      <c r="F341" s="11">
        <v>6.43</v>
      </c>
      <c r="G341" s="9">
        <v>4411.2</v>
      </c>
      <c r="H341" s="10">
        <v>0.68799999999999994</v>
      </c>
      <c r="I341" s="11">
        <v>5.8</v>
      </c>
    </row>
    <row r="342" spans="1:9" x14ac:dyDescent="0.35">
      <c r="A342" s="2" t="s">
        <v>71</v>
      </c>
      <c r="B342" s="3">
        <v>45047</v>
      </c>
      <c r="C342" s="2">
        <v>11</v>
      </c>
      <c r="D342" s="2">
        <v>11567</v>
      </c>
      <c r="E342" s="17">
        <v>22635.97</v>
      </c>
      <c r="F342" s="11">
        <v>6.35</v>
      </c>
      <c r="G342" s="9">
        <v>1858.4</v>
      </c>
      <c r="H342" s="10">
        <v>0.45500000000000002</v>
      </c>
      <c r="I342" s="11">
        <v>7.9</v>
      </c>
    </row>
    <row r="343" spans="1:9" x14ac:dyDescent="0.35">
      <c r="A343" s="2" t="s">
        <v>71</v>
      </c>
      <c r="B343" s="3">
        <v>45078</v>
      </c>
      <c r="C343" s="2">
        <v>11</v>
      </c>
      <c r="D343" s="2">
        <v>15485</v>
      </c>
      <c r="E343" s="17">
        <v>33845.69</v>
      </c>
      <c r="F343" s="11">
        <v>6.73</v>
      </c>
      <c r="G343" s="9">
        <v>2304.4</v>
      </c>
      <c r="H343" s="10">
        <v>0.54500000000000004</v>
      </c>
      <c r="I343" s="11">
        <v>6.1</v>
      </c>
    </row>
    <row r="344" spans="1:9" x14ac:dyDescent="0.35">
      <c r="A344" s="2" t="s">
        <v>71</v>
      </c>
      <c r="B344" s="3">
        <v>45108</v>
      </c>
      <c r="C344" s="2">
        <v>14</v>
      </c>
      <c r="D344" s="2">
        <v>16808</v>
      </c>
      <c r="E344" s="17">
        <v>35800.43</v>
      </c>
      <c r="F344" s="11">
        <v>6.46</v>
      </c>
      <c r="G344" s="9">
        <v>2713.3</v>
      </c>
      <c r="H344" s="10">
        <v>0.14299999999999999</v>
      </c>
      <c r="I344" s="11">
        <v>6.1</v>
      </c>
    </row>
    <row r="345" spans="1:9" x14ac:dyDescent="0.35">
      <c r="A345" s="2" t="s">
        <v>71</v>
      </c>
      <c r="B345" s="3">
        <v>45139</v>
      </c>
      <c r="C345" s="2">
        <v>20</v>
      </c>
      <c r="D345" s="2">
        <v>27350</v>
      </c>
      <c r="E345" s="17">
        <v>53931.35</v>
      </c>
      <c r="F345" s="11">
        <v>6.45</v>
      </c>
      <c r="G345" s="9">
        <v>4277.8</v>
      </c>
      <c r="H345" s="10">
        <v>0.55000000000000004</v>
      </c>
      <c r="I345" s="11">
        <v>7.1</v>
      </c>
    </row>
    <row r="346" spans="1:9" x14ac:dyDescent="0.35">
      <c r="A346" s="2" t="s">
        <v>71</v>
      </c>
      <c r="B346" s="3">
        <v>45170</v>
      </c>
      <c r="C346" s="2">
        <v>14</v>
      </c>
      <c r="D346" s="2">
        <v>21780</v>
      </c>
      <c r="E346" s="17">
        <v>48296.72</v>
      </c>
      <c r="F346" s="11">
        <v>6.47</v>
      </c>
      <c r="G346" s="9">
        <v>3377.4</v>
      </c>
      <c r="H346" s="10">
        <v>0.57099999999999995</v>
      </c>
      <c r="I346" s="11">
        <v>7.7</v>
      </c>
    </row>
    <row r="347" spans="1:9" x14ac:dyDescent="0.35">
      <c r="A347" s="2" t="s">
        <v>71</v>
      </c>
      <c r="B347" s="3">
        <v>45200</v>
      </c>
      <c r="C347" s="2">
        <v>15</v>
      </c>
      <c r="D347" s="2">
        <v>20640</v>
      </c>
      <c r="E347" s="17">
        <v>44493.75</v>
      </c>
      <c r="F347" s="11">
        <v>6.61</v>
      </c>
      <c r="G347" s="9">
        <v>3139.5</v>
      </c>
      <c r="H347" s="10">
        <v>0.6</v>
      </c>
      <c r="I347" s="11">
        <v>5.2</v>
      </c>
    </row>
    <row r="348" spans="1:9" x14ac:dyDescent="0.35">
      <c r="A348" s="2" t="s">
        <v>71</v>
      </c>
      <c r="B348" s="3">
        <v>45231</v>
      </c>
      <c r="C348" s="2">
        <v>21</v>
      </c>
      <c r="D348" s="2">
        <v>24931</v>
      </c>
      <c r="E348" s="17">
        <v>55292.63</v>
      </c>
      <c r="F348" s="11">
        <v>6.52</v>
      </c>
      <c r="G348" s="9">
        <v>3915.7</v>
      </c>
      <c r="H348" s="10">
        <v>0.28599999999999998</v>
      </c>
      <c r="I348" s="11">
        <v>6.1</v>
      </c>
    </row>
    <row r="349" spans="1:9" x14ac:dyDescent="0.35">
      <c r="A349" s="2" t="s">
        <v>71</v>
      </c>
      <c r="B349" s="3">
        <v>45261</v>
      </c>
      <c r="C349" s="2">
        <v>11</v>
      </c>
      <c r="D349" s="2">
        <v>17107</v>
      </c>
      <c r="E349" s="17">
        <v>39445.42</v>
      </c>
      <c r="F349" s="11">
        <v>6.65</v>
      </c>
      <c r="G349" s="9">
        <v>2619.4</v>
      </c>
      <c r="H349" s="10">
        <v>0.27300000000000002</v>
      </c>
      <c r="I349" s="11">
        <v>6.5</v>
      </c>
    </row>
    <row r="350" spans="1:9" x14ac:dyDescent="0.35">
      <c r="A350" s="2" t="s">
        <v>71</v>
      </c>
      <c r="B350" s="3">
        <v>45292</v>
      </c>
      <c r="C350" s="2">
        <v>18</v>
      </c>
      <c r="D350" s="2">
        <v>28684</v>
      </c>
      <c r="E350" s="17">
        <v>51984.14</v>
      </c>
      <c r="F350" s="11">
        <v>6.58</v>
      </c>
      <c r="G350" s="9">
        <v>4385</v>
      </c>
      <c r="H350" s="10">
        <v>0.5</v>
      </c>
      <c r="I350" s="11">
        <v>8.3000000000000007</v>
      </c>
    </row>
    <row r="351" spans="1:9" x14ac:dyDescent="0.35">
      <c r="A351" s="2" t="s">
        <v>71</v>
      </c>
      <c r="B351" s="3">
        <v>45323</v>
      </c>
      <c r="C351" s="2">
        <v>13</v>
      </c>
      <c r="D351" s="2">
        <v>17097</v>
      </c>
      <c r="E351" s="17">
        <v>38002.94</v>
      </c>
      <c r="F351" s="11">
        <v>6.51</v>
      </c>
      <c r="G351" s="9">
        <v>2605.1999999999998</v>
      </c>
      <c r="H351" s="10">
        <v>0.38500000000000001</v>
      </c>
      <c r="I351" s="11">
        <v>6.5</v>
      </c>
    </row>
    <row r="352" spans="1:9" x14ac:dyDescent="0.35">
      <c r="A352" s="2" t="s">
        <v>71</v>
      </c>
      <c r="B352" s="3">
        <v>45352</v>
      </c>
      <c r="C352" s="2">
        <v>9</v>
      </c>
      <c r="D352" s="2">
        <v>15187</v>
      </c>
      <c r="E352" s="17">
        <v>33475.550000000003</v>
      </c>
      <c r="F352" s="11">
        <v>6.42</v>
      </c>
      <c r="G352" s="9">
        <v>2443.9</v>
      </c>
      <c r="H352" s="10">
        <v>0.55600000000000005</v>
      </c>
      <c r="I352" s="11">
        <v>7.5</v>
      </c>
    </row>
    <row r="353" spans="1:9" x14ac:dyDescent="0.35">
      <c r="A353" s="2" t="s">
        <v>71</v>
      </c>
      <c r="B353" s="3">
        <v>45383</v>
      </c>
      <c r="C353" s="2">
        <v>23</v>
      </c>
      <c r="D353" s="2">
        <v>27025</v>
      </c>
      <c r="E353" s="17">
        <v>58005.1</v>
      </c>
      <c r="F353" s="11">
        <v>6.54</v>
      </c>
      <c r="G353" s="9">
        <v>4151.5</v>
      </c>
      <c r="H353" s="10">
        <v>0.39100000000000001</v>
      </c>
      <c r="I353" s="11">
        <v>6.3</v>
      </c>
    </row>
    <row r="354" spans="1:9" x14ac:dyDescent="0.35">
      <c r="A354" s="2" t="s">
        <v>71</v>
      </c>
      <c r="B354" s="3">
        <v>45413</v>
      </c>
      <c r="C354" s="2">
        <v>24</v>
      </c>
      <c r="D354" s="2">
        <v>34551</v>
      </c>
      <c r="E354" s="17">
        <v>68122.850000000006</v>
      </c>
      <c r="F354" s="11">
        <v>6.51</v>
      </c>
      <c r="G354" s="9">
        <v>5364.7</v>
      </c>
      <c r="H354" s="10">
        <v>0.33300000000000002</v>
      </c>
      <c r="I354" s="11">
        <v>6.4</v>
      </c>
    </row>
    <row r="355" spans="1:9" x14ac:dyDescent="0.35">
      <c r="A355" s="2" t="s">
        <v>71</v>
      </c>
      <c r="B355" s="3">
        <v>45444</v>
      </c>
      <c r="C355" s="2">
        <v>22</v>
      </c>
      <c r="D355" s="2">
        <v>31407</v>
      </c>
      <c r="E355" s="17">
        <v>67628.759999999995</v>
      </c>
      <c r="F355" s="11">
        <v>6.69</v>
      </c>
      <c r="G355" s="9">
        <v>4708.1000000000004</v>
      </c>
      <c r="H355" s="10">
        <v>0.36399999999999999</v>
      </c>
      <c r="I355" s="11">
        <v>7.8</v>
      </c>
    </row>
    <row r="356" spans="1:9" x14ac:dyDescent="0.35">
      <c r="A356" s="2" t="s">
        <v>71</v>
      </c>
      <c r="B356" s="3">
        <v>45474</v>
      </c>
      <c r="C356" s="2">
        <v>9</v>
      </c>
      <c r="D356" s="2">
        <v>10342</v>
      </c>
      <c r="E356" s="17">
        <v>22178.41</v>
      </c>
      <c r="F356" s="11">
        <v>6.09</v>
      </c>
      <c r="G356" s="9">
        <v>1675.8</v>
      </c>
      <c r="H356" s="10">
        <v>0.44400000000000001</v>
      </c>
      <c r="I356" s="11">
        <v>8.5</v>
      </c>
    </row>
    <row r="357" spans="1:9" x14ac:dyDescent="0.35">
      <c r="A357" s="2" t="s">
        <v>71</v>
      </c>
      <c r="B357" s="3">
        <v>45505</v>
      </c>
      <c r="C357" s="2">
        <v>25</v>
      </c>
      <c r="D357" s="2">
        <v>33543</v>
      </c>
      <c r="E357" s="17">
        <v>67163.22</v>
      </c>
      <c r="F357" s="11">
        <v>6.43</v>
      </c>
      <c r="G357" s="9">
        <v>5222.3999999999996</v>
      </c>
      <c r="H357" s="10">
        <v>0.24</v>
      </c>
      <c r="I357" s="11">
        <v>7.5</v>
      </c>
    </row>
    <row r="358" spans="1:9" x14ac:dyDescent="0.35">
      <c r="A358" s="2" t="s">
        <v>71</v>
      </c>
      <c r="B358" s="3">
        <v>45536</v>
      </c>
      <c r="C358" s="2">
        <v>22</v>
      </c>
      <c r="D358" s="2">
        <v>25621</v>
      </c>
      <c r="E358" s="17">
        <v>53780.44</v>
      </c>
      <c r="F358" s="11">
        <v>6.46</v>
      </c>
      <c r="G358" s="9">
        <v>3964.8</v>
      </c>
      <c r="H358" s="10">
        <v>0.59099999999999997</v>
      </c>
      <c r="I358" s="11">
        <v>6.7</v>
      </c>
    </row>
    <row r="359" spans="1:9" x14ac:dyDescent="0.35">
      <c r="A359" s="2" t="s">
        <v>71</v>
      </c>
      <c r="B359" s="3">
        <v>45566</v>
      </c>
      <c r="C359" s="2">
        <v>15</v>
      </c>
      <c r="D359" s="2">
        <v>27451</v>
      </c>
      <c r="E359" s="17">
        <v>52823.23</v>
      </c>
      <c r="F359" s="11">
        <v>6.55</v>
      </c>
      <c r="G359" s="9">
        <v>4219.5</v>
      </c>
      <c r="H359" s="10">
        <v>0.66700000000000004</v>
      </c>
      <c r="I359" s="11">
        <v>5.8</v>
      </c>
    </row>
    <row r="360" spans="1:9" x14ac:dyDescent="0.35">
      <c r="A360" s="2" t="s">
        <v>71</v>
      </c>
      <c r="B360" s="3">
        <v>45597</v>
      </c>
      <c r="C360" s="2">
        <v>19</v>
      </c>
      <c r="D360" s="2">
        <v>23642</v>
      </c>
      <c r="E360" s="17">
        <v>46675.040000000001</v>
      </c>
      <c r="F360" s="11">
        <v>6.56</v>
      </c>
      <c r="G360" s="9">
        <v>3708.6</v>
      </c>
      <c r="H360" s="10">
        <v>0.42099999999999999</v>
      </c>
      <c r="I360" s="11">
        <v>6.3</v>
      </c>
    </row>
    <row r="361" spans="1:9" x14ac:dyDescent="0.35">
      <c r="A361" s="2" t="s">
        <v>71</v>
      </c>
      <c r="B361" s="3">
        <v>45627</v>
      </c>
      <c r="C361" s="2">
        <v>15</v>
      </c>
      <c r="D361" s="2">
        <v>22529</v>
      </c>
      <c r="E361" s="17">
        <v>47714.3</v>
      </c>
      <c r="F361" s="11">
        <v>6.5</v>
      </c>
      <c r="G361" s="9">
        <v>3465.8</v>
      </c>
      <c r="H361" s="10">
        <v>0.4</v>
      </c>
      <c r="I361" s="11">
        <v>7.5</v>
      </c>
    </row>
    <row r="362" spans="1:9" x14ac:dyDescent="0.35">
      <c r="A362" s="2" t="s">
        <v>76</v>
      </c>
      <c r="B362" s="3">
        <v>44562</v>
      </c>
      <c r="C362" s="2">
        <v>21</v>
      </c>
      <c r="D362" s="2">
        <v>27602</v>
      </c>
      <c r="E362" s="17">
        <v>62320.82</v>
      </c>
      <c r="F362" s="11">
        <v>6.36</v>
      </c>
      <c r="G362" s="9">
        <v>4345.6000000000004</v>
      </c>
      <c r="H362" s="10">
        <v>0.42899999999999999</v>
      </c>
      <c r="I362" s="11">
        <v>6.2</v>
      </c>
    </row>
    <row r="363" spans="1:9" x14ac:dyDescent="0.35">
      <c r="A363" s="2" t="s">
        <v>76</v>
      </c>
      <c r="B363" s="3">
        <v>44593</v>
      </c>
      <c r="C363" s="2">
        <v>21</v>
      </c>
      <c r="D363" s="2">
        <v>29124</v>
      </c>
      <c r="E363" s="17">
        <v>65041.68</v>
      </c>
      <c r="F363" s="11">
        <v>6.6</v>
      </c>
      <c r="G363" s="9">
        <v>4375.6000000000004</v>
      </c>
      <c r="H363" s="10">
        <v>0.38100000000000001</v>
      </c>
      <c r="I363" s="11">
        <v>6.9</v>
      </c>
    </row>
    <row r="364" spans="1:9" x14ac:dyDescent="0.35">
      <c r="A364" s="2" t="s">
        <v>76</v>
      </c>
      <c r="B364" s="3">
        <v>44621</v>
      </c>
      <c r="C364" s="2">
        <v>20</v>
      </c>
      <c r="D364" s="2">
        <v>26709</v>
      </c>
      <c r="E364" s="17">
        <v>58805.67</v>
      </c>
      <c r="F364" s="11">
        <v>6.69</v>
      </c>
      <c r="G364" s="9">
        <v>4007.8</v>
      </c>
      <c r="H364" s="10">
        <v>0.45</v>
      </c>
      <c r="I364" s="11">
        <v>7</v>
      </c>
    </row>
    <row r="365" spans="1:9" x14ac:dyDescent="0.35">
      <c r="A365" s="2" t="s">
        <v>76</v>
      </c>
      <c r="B365" s="3">
        <v>44652</v>
      </c>
      <c r="C365" s="2">
        <v>23</v>
      </c>
      <c r="D365" s="2">
        <v>31829</v>
      </c>
      <c r="E365" s="17">
        <v>66649.679999999993</v>
      </c>
      <c r="F365" s="11">
        <v>6.66</v>
      </c>
      <c r="G365" s="9">
        <v>4904.8</v>
      </c>
      <c r="H365" s="10">
        <v>0.34799999999999998</v>
      </c>
      <c r="I365" s="11">
        <v>6.7</v>
      </c>
    </row>
    <row r="366" spans="1:9" x14ac:dyDescent="0.35">
      <c r="A366" s="2" t="s">
        <v>76</v>
      </c>
      <c r="B366" s="3">
        <v>44682</v>
      </c>
      <c r="C366" s="2">
        <v>19</v>
      </c>
      <c r="D366" s="2">
        <v>25280</v>
      </c>
      <c r="E366" s="17">
        <v>52132.68</v>
      </c>
      <c r="F366" s="11">
        <v>6.43</v>
      </c>
      <c r="G366" s="9">
        <v>3898.4</v>
      </c>
      <c r="H366" s="10">
        <v>0.26300000000000001</v>
      </c>
      <c r="I366" s="11">
        <v>5.8</v>
      </c>
    </row>
    <row r="367" spans="1:9" x14ac:dyDescent="0.35">
      <c r="A367" s="2" t="s">
        <v>76</v>
      </c>
      <c r="B367" s="3">
        <v>44713</v>
      </c>
      <c r="C367" s="2">
        <v>22</v>
      </c>
      <c r="D367" s="2">
        <v>28186</v>
      </c>
      <c r="E367" s="17">
        <v>60252.97</v>
      </c>
      <c r="F367" s="11">
        <v>6.67</v>
      </c>
      <c r="G367" s="9">
        <v>4355</v>
      </c>
      <c r="H367" s="10">
        <v>0.54500000000000004</v>
      </c>
      <c r="I367" s="11">
        <v>7.2</v>
      </c>
    </row>
    <row r="368" spans="1:9" x14ac:dyDescent="0.35">
      <c r="A368" s="2" t="s">
        <v>76</v>
      </c>
      <c r="B368" s="3">
        <v>44743</v>
      </c>
      <c r="C368" s="2">
        <v>12</v>
      </c>
      <c r="D368" s="2">
        <v>19565</v>
      </c>
      <c r="E368" s="17">
        <v>41783.82</v>
      </c>
      <c r="F368" s="11">
        <v>6.23</v>
      </c>
      <c r="G368" s="9">
        <v>3136</v>
      </c>
      <c r="H368" s="10">
        <v>0.41699999999999998</v>
      </c>
      <c r="I368" s="11">
        <v>6.5</v>
      </c>
    </row>
    <row r="369" spans="1:9" x14ac:dyDescent="0.35">
      <c r="A369" s="2" t="s">
        <v>76</v>
      </c>
      <c r="B369" s="3">
        <v>44774</v>
      </c>
      <c r="C369" s="2">
        <v>21</v>
      </c>
      <c r="D369" s="2">
        <v>29884</v>
      </c>
      <c r="E369" s="17">
        <v>65515.35</v>
      </c>
      <c r="F369" s="11">
        <v>6.77</v>
      </c>
      <c r="G369" s="9">
        <v>4510.1000000000004</v>
      </c>
      <c r="H369" s="10">
        <v>0.66700000000000004</v>
      </c>
      <c r="I369" s="11">
        <v>5.6</v>
      </c>
    </row>
    <row r="370" spans="1:9" x14ac:dyDescent="0.35">
      <c r="A370" s="2" t="s">
        <v>76</v>
      </c>
      <c r="B370" s="3">
        <v>44805</v>
      </c>
      <c r="C370" s="2">
        <v>33</v>
      </c>
      <c r="D370" s="2">
        <v>46775</v>
      </c>
      <c r="E370" s="17">
        <v>101009.38</v>
      </c>
      <c r="F370" s="11">
        <v>6.37</v>
      </c>
      <c r="G370" s="9">
        <v>7477.9</v>
      </c>
      <c r="H370" s="10">
        <v>0.51500000000000001</v>
      </c>
      <c r="I370" s="11">
        <v>7.2</v>
      </c>
    </row>
    <row r="371" spans="1:9" x14ac:dyDescent="0.35">
      <c r="A371" s="2" t="s">
        <v>76</v>
      </c>
      <c r="B371" s="3">
        <v>44835</v>
      </c>
      <c r="C371" s="2">
        <v>16</v>
      </c>
      <c r="D371" s="2">
        <v>25580</v>
      </c>
      <c r="E371" s="17">
        <v>59254.91</v>
      </c>
      <c r="F371" s="11">
        <v>6.63</v>
      </c>
      <c r="G371" s="9">
        <v>3859.3</v>
      </c>
      <c r="H371" s="10">
        <v>0.438</v>
      </c>
      <c r="I371" s="11">
        <v>7.3</v>
      </c>
    </row>
    <row r="372" spans="1:9" x14ac:dyDescent="0.35">
      <c r="A372" s="2" t="s">
        <v>76</v>
      </c>
      <c r="B372" s="3">
        <v>44866</v>
      </c>
      <c r="C372" s="2">
        <v>18</v>
      </c>
      <c r="D372" s="2">
        <v>23651</v>
      </c>
      <c r="E372" s="17">
        <v>48774.52</v>
      </c>
      <c r="F372" s="11">
        <v>6.32</v>
      </c>
      <c r="G372" s="9">
        <v>3697.4</v>
      </c>
      <c r="H372" s="10">
        <v>0.44400000000000001</v>
      </c>
      <c r="I372" s="11">
        <v>6.7</v>
      </c>
    </row>
    <row r="373" spans="1:9" x14ac:dyDescent="0.35">
      <c r="A373" s="2" t="s">
        <v>76</v>
      </c>
      <c r="B373" s="3">
        <v>44896</v>
      </c>
      <c r="C373" s="2">
        <v>25</v>
      </c>
      <c r="D373" s="2">
        <v>36200</v>
      </c>
      <c r="E373" s="17">
        <v>77175.28</v>
      </c>
      <c r="F373" s="11">
        <v>6.48</v>
      </c>
      <c r="G373" s="9">
        <v>5674.7</v>
      </c>
      <c r="H373" s="10">
        <v>0.28000000000000003</v>
      </c>
      <c r="I373" s="11">
        <v>6.3</v>
      </c>
    </row>
    <row r="374" spans="1:9" x14ac:dyDescent="0.35">
      <c r="A374" s="2" t="s">
        <v>76</v>
      </c>
      <c r="B374" s="3">
        <v>44927</v>
      </c>
      <c r="C374" s="2">
        <v>23</v>
      </c>
      <c r="D374" s="2">
        <v>38145</v>
      </c>
      <c r="E374" s="17">
        <v>80646.11</v>
      </c>
      <c r="F374" s="11">
        <v>6.32</v>
      </c>
      <c r="G374" s="9">
        <v>6037.9</v>
      </c>
      <c r="H374" s="10">
        <v>0.39100000000000001</v>
      </c>
      <c r="I374" s="11">
        <v>6.7</v>
      </c>
    </row>
    <row r="375" spans="1:9" x14ac:dyDescent="0.35">
      <c r="A375" s="2" t="s">
        <v>76</v>
      </c>
      <c r="B375" s="3">
        <v>44958</v>
      </c>
      <c r="C375" s="2">
        <v>12</v>
      </c>
      <c r="D375" s="2">
        <v>15489</v>
      </c>
      <c r="E375" s="17">
        <v>34599.94</v>
      </c>
      <c r="F375" s="11">
        <v>6.45</v>
      </c>
      <c r="G375" s="9">
        <v>2396.5</v>
      </c>
      <c r="H375" s="10">
        <v>0.58299999999999996</v>
      </c>
      <c r="I375" s="11">
        <v>6.6</v>
      </c>
    </row>
    <row r="376" spans="1:9" x14ac:dyDescent="0.35">
      <c r="A376" s="2" t="s">
        <v>76</v>
      </c>
      <c r="B376" s="3">
        <v>44986</v>
      </c>
      <c r="C376" s="2">
        <v>16</v>
      </c>
      <c r="D376" s="2">
        <v>16383</v>
      </c>
      <c r="E376" s="17">
        <v>37321.78</v>
      </c>
      <c r="F376" s="11">
        <v>6.53</v>
      </c>
      <c r="G376" s="9">
        <v>2508.8000000000002</v>
      </c>
      <c r="H376" s="10">
        <v>0.375</v>
      </c>
      <c r="I376" s="11">
        <v>5.9</v>
      </c>
    </row>
    <row r="377" spans="1:9" x14ac:dyDescent="0.35">
      <c r="A377" s="2" t="s">
        <v>76</v>
      </c>
      <c r="B377" s="3">
        <v>45017</v>
      </c>
      <c r="C377" s="2">
        <v>16</v>
      </c>
      <c r="D377" s="2">
        <v>23825</v>
      </c>
      <c r="E377" s="17">
        <v>50881.88</v>
      </c>
      <c r="F377" s="11">
        <v>6.42</v>
      </c>
      <c r="G377" s="9">
        <v>3769.4</v>
      </c>
      <c r="H377" s="10">
        <v>0.375</v>
      </c>
      <c r="I377" s="11">
        <v>7.1</v>
      </c>
    </row>
    <row r="378" spans="1:9" x14ac:dyDescent="0.35">
      <c r="A378" s="2" t="s">
        <v>76</v>
      </c>
      <c r="B378" s="3">
        <v>45047</v>
      </c>
      <c r="C378" s="2">
        <v>23</v>
      </c>
      <c r="D378" s="2">
        <v>30923</v>
      </c>
      <c r="E378" s="17">
        <v>68178.63</v>
      </c>
      <c r="F378" s="11">
        <v>6.67</v>
      </c>
      <c r="G378" s="9">
        <v>4632.8</v>
      </c>
      <c r="H378" s="10">
        <v>0.65200000000000002</v>
      </c>
      <c r="I378" s="11">
        <v>7.8</v>
      </c>
    </row>
    <row r="379" spans="1:9" x14ac:dyDescent="0.35">
      <c r="A379" s="2" t="s">
        <v>76</v>
      </c>
      <c r="B379" s="3">
        <v>45078</v>
      </c>
      <c r="C379" s="2">
        <v>17</v>
      </c>
      <c r="D379" s="2">
        <v>29745</v>
      </c>
      <c r="E379" s="17">
        <v>58831.79</v>
      </c>
      <c r="F379" s="11">
        <v>6.66</v>
      </c>
      <c r="G379" s="9">
        <v>4539.8</v>
      </c>
      <c r="H379" s="10">
        <v>0.41199999999999998</v>
      </c>
      <c r="I379" s="11">
        <v>7.2</v>
      </c>
    </row>
    <row r="380" spans="1:9" x14ac:dyDescent="0.35">
      <c r="A380" s="2" t="s">
        <v>76</v>
      </c>
      <c r="B380" s="3">
        <v>45108</v>
      </c>
      <c r="C380" s="2">
        <v>25</v>
      </c>
      <c r="D380" s="2">
        <v>40750</v>
      </c>
      <c r="E380" s="17">
        <v>87614.2</v>
      </c>
      <c r="F380" s="11">
        <v>6.46</v>
      </c>
      <c r="G380" s="9">
        <v>6404.8</v>
      </c>
      <c r="H380" s="10">
        <v>0.56000000000000005</v>
      </c>
      <c r="I380" s="11">
        <v>6.9</v>
      </c>
    </row>
    <row r="381" spans="1:9" x14ac:dyDescent="0.35">
      <c r="A381" s="2" t="s">
        <v>76</v>
      </c>
      <c r="B381" s="3">
        <v>45139</v>
      </c>
      <c r="C381" s="2">
        <v>14</v>
      </c>
      <c r="D381" s="2">
        <v>14879</v>
      </c>
      <c r="E381" s="17">
        <v>34024.54</v>
      </c>
      <c r="F381" s="11">
        <v>6.47</v>
      </c>
      <c r="G381" s="9">
        <v>2278.6999999999998</v>
      </c>
      <c r="H381" s="10">
        <v>0.64300000000000002</v>
      </c>
      <c r="I381" s="11">
        <v>7.2</v>
      </c>
    </row>
    <row r="382" spans="1:9" x14ac:dyDescent="0.35">
      <c r="A382" s="2" t="s">
        <v>76</v>
      </c>
      <c r="B382" s="3">
        <v>45170</v>
      </c>
      <c r="C382" s="2">
        <v>17</v>
      </c>
      <c r="D382" s="2">
        <v>22698</v>
      </c>
      <c r="E382" s="17">
        <v>46663.82</v>
      </c>
      <c r="F382" s="11">
        <v>6.7</v>
      </c>
      <c r="G382" s="9">
        <v>3457.9</v>
      </c>
      <c r="H382" s="10">
        <v>0.58799999999999997</v>
      </c>
      <c r="I382" s="11">
        <v>6.9</v>
      </c>
    </row>
    <row r="383" spans="1:9" x14ac:dyDescent="0.35">
      <c r="A383" s="2" t="s">
        <v>76</v>
      </c>
      <c r="B383" s="3">
        <v>45200</v>
      </c>
      <c r="C383" s="2">
        <v>13</v>
      </c>
      <c r="D383" s="2">
        <v>20941</v>
      </c>
      <c r="E383" s="17">
        <v>47003.03</v>
      </c>
      <c r="F383" s="11">
        <v>6.3</v>
      </c>
      <c r="G383" s="9">
        <v>3382.7</v>
      </c>
      <c r="H383" s="10">
        <v>0.23100000000000001</v>
      </c>
      <c r="I383" s="11">
        <v>8.1999999999999993</v>
      </c>
    </row>
    <row r="384" spans="1:9" x14ac:dyDescent="0.35">
      <c r="A384" s="2" t="s">
        <v>76</v>
      </c>
      <c r="B384" s="3">
        <v>45231</v>
      </c>
      <c r="C384" s="2">
        <v>11</v>
      </c>
      <c r="D384" s="2">
        <v>15706</v>
      </c>
      <c r="E384" s="17">
        <v>39896.519999999997</v>
      </c>
      <c r="F384" s="11">
        <v>6.3</v>
      </c>
      <c r="G384" s="9">
        <v>2486</v>
      </c>
      <c r="H384" s="10">
        <v>0.36399999999999999</v>
      </c>
      <c r="I384" s="11">
        <v>6.7</v>
      </c>
    </row>
    <row r="385" spans="1:9" x14ac:dyDescent="0.35">
      <c r="A385" s="2" t="s">
        <v>76</v>
      </c>
      <c r="B385" s="3">
        <v>45261</v>
      </c>
      <c r="C385" s="2">
        <v>27</v>
      </c>
      <c r="D385" s="2">
        <v>34058</v>
      </c>
      <c r="E385" s="17">
        <v>71528.22</v>
      </c>
      <c r="F385" s="11">
        <v>6.26</v>
      </c>
      <c r="G385" s="9">
        <v>5542.2</v>
      </c>
      <c r="H385" s="10">
        <v>0.51900000000000002</v>
      </c>
      <c r="I385" s="11">
        <v>6</v>
      </c>
    </row>
    <row r="386" spans="1:9" x14ac:dyDescent="0.35">
      <c r="A386" s="2" t="s">
        <v>76</v>
      </c>
      <c r="B386" s="3">
        <v>45292</v>
      </c>
      <c r="C386" s="2">
        <v>17</v>
      </c>
      <c r="D386" s="2">
        <v>21049</v>
      </c>
      <c r="E386" s="17">
        <v>47247.68</v>
      </c>
      <c r="F386" s="11">
        <v>6.43</v>
      </c>
      <c r="G386" s="9">
        <v>3318.4</v>
      </c>
      <c r="H386" s="10">
        <v>0.47099999999999997</v>
      </c>
      <c r="I386" s="11">
        <v>7.1</v>
      </c>
    </row>
    <row r="387" spans="1:9" x14ac:dyDescent="0.35">
      <c r="A387" s="2" t="s">
        <v>76</v>
      </c>
      <c r="B387" s="3">
        <v>45323</v>
      </c>
      <c r="C387" s="2">
        <v>17</v>
      </c>
      <c r="D387" s="2">
        <v>22108</v>
      </c>
      <c r="E387" s="17">
        <v>48422.65</v>
      </c>
      <c r="F387" s="11">
        <v>6.41</v>
      </c>
      <c r="G387" s="9">
        <v>3451.8</v>
      </c>
      <c r="H387" s="10">
        <v>0.35299999999999998</v>
      </c>
      <c r="I387" s="11">
        <v>6.7</v>
      </c>
    </row>
    <row r="388" spans="1:9" x14ac:dyDescent="0.35">
      <c r="A388" s="2" t="s">
        <v>76</v>
      </c>
      <c r="B388" s="3">
        <v>45352</v>
      </c>
      <c r="C388" s="2">
        <v>23</v>
      </c>
      <c r="D388" s="2">
        <v>30427</v>
      </c>
      <c r="E388" s="17">
        <v>60927.82</v>
      </c>
      <c r="F388" s="11">
        <v>6.6</v>
      </c>
      <c r="G388" s="9">
        <v>4612.3</v>
      </c>
      <c r="H388" s="10">
        <v>0.30399999999999999</v>
      </c>
      <c r="I388" s="11">
        <v>6.7</v>
      </c>
    </row>
    <row r="389" spans="1:9" x14ac:dyDescent="0.35">
      <c r="A389" s="2" t="s">
        <v>76</v>
      </c>
      <c r="B389" s="3">
        <v>45383</v>
      </c>
      <c r="C389" s="2">
        <v>14</v>
      </c>
      <c r="D389" s="2">
        <v>26766</v>
      </c>
      <c r="E389" s="17">
        <v>55771.16</v>
      </c>
      <c r="F389" s="11">
        <v>6.65</v>
      </c>
      <c r="G389" s="9">
        <v>4146.2</v>
      </c>
      <c r="H389" s="10">
        <v>0.35699999999999998</v>
      </c>
      <c r="I389" s="11">
        <v>5.3</v>
      </c>
    </row>
    <row r="390" spans="1:9" x14ac:dyDescent="0.35">
      <c r="A390" s="2" t="s">
        <v>76</v>
      </c>
      <c r="B390" s="3">
        <v>45413</v>
      </c>
      <c r="C390" s="2">
        <v>16</v>
      </c>
      <c r="D390" s="2">
        <v>20439</v>
      </c>
      <c r="E390" s="17">
        <v>42927.12</v>
      </c>
      <c r="F390" s="11">
        <v>6.38</v>
      </c>
      <c r="G390" s="9">
        <v>3246.6</v>
      </c>
      <c r="H390" s="10">
        <v>0.375</v>
      </c>
      <c r="I390" s="11">
        <v>6.5</v>
      </c>
    </row>
    <row r="391" spans="1:9" x14ac:dyDescent="0.35">
      <c r="A391" s="2" t="s">
        <v>76</v>
      </c>
      <c r="B391" s="3">
        <v>45444</v>
      </c>
      <c r="C391" s="2">
        <v>20</v>
      </c>
      <c r="D391" s="2">
        <v>35492</v>
      </c>
      <c r="E391" s="17">
        <v>81686.320000000007</v>
      </c>
      <c r="F391" s="11">
        <v>6.2</v>
      </c>
      <c r="G391" s="9">
        <v>5759.8</v>
      </c>
      <c r="H391" s="10">
        <v>0.4</v>
      </c>
      <c r="I391" s="11">
        <v>5.8</v>
      </c>
    </row>
    <row r="392" spans="1:9" x14ac:dyDescent="0.35">
      <c r="A392" s="2" t="s">
        <v>76</v>
      </c>
      <c r="B392" s="3">
        <v>45474</v>
      </c>
      <c r="C392" s="2">
        <v>15</v>
      </c>
      <c r="D392" s="2">
        <v>20298</v>
      </c>
      <c r="E392" s="17">
        <v>43728.22</v>
      </c>
      <c r="F392" s="11">
        <v>6.51</v>
      </c>
      <c r="G392" s="9">
        <v>3193.4</v>
      </c>
      <c r="H392" s="10">
        <v>0.33300000000000002</v>
      </c>
      <c r="I392" s="11">
        <v>7.7</v>
      </c>
    </row>
    <row r="393" spans="1:9" x14ac:dyDescent="0.35">
      <c r="A393" s="2" t="s">
        <v>76</v>
      </c>
      <c r="B393" s="3">
        <v>45505</v>
      </c>
      <c r="C393" s="2">
        <v>23</v>
      </c>
      <c r="D393" s="2">
        <v>36418</v>
      </c>
      <c r="E393" s="17">
        <v>75706.53</v>
      </c>
      <c r="F393" s="11">
        <v>6.47</v>
      </c>
      <c r="G393" s="9">
        <v>5825.2</v>
      </c>
      <c r="H393" s="10">
        <v>0.52200000000000002</v>
      </c>
      <c r="I393" s="11">
        <v>7.7</v>
      </c>
    </row>
    <row r="394" spans="1:9" x14ac:dyDescent="0.35">
      <c r="A394" s="2" t="s">
        <v>76</v>
      </c>
      <c r="B394" s="3">
        <v>45536</v>
      </c>
      <c r="C394" s="2">
        <v>17</v>
      </c>
      <c r="D394" s="2">
        <v>31887</v>
      </c>
      <c r="E394" s="17">
        <v>72219.399999999994</v>
      </c>
      <c r="F394" s="11">
        <v>6.25</v>
      </c>
      <c r="G394" s="9">
        <v>5141.1000000000004</v>
      </c>
      <c r="H394" s="10">
        <v>0.35299999999999998</v>
      </c>
      <c r="I394" s="11">
        <v>6.4</v>
      </c>
    </row>
    <row r="395" spans="1:9" x14ac:dyDescent="0.35">
      <c r="A395" s="2" t="s">
        <v>76</v>
      </c>
      <c r="B395" s="3">
        <v>45566</v>
      </c>
      <c r="C395" s="2">
        <v>19</v>
      </c>
      <c r="D395" s="2">
        <v>27150</v>
      </c>
      <c r="E395" s="17">
        <v>57413.29</v>
      </c>
      <c r="F395" s="11">
        <v>6.48</v>
      </c>
      <c r="G395" s="9">
        <v>4254.8999999999996</v>
      </c>
      <c r="H395" s="10">
        <v>0.57899999999999996</v>
      </c>
      <c r="I395" s="11">
        <v>7.1</v>
      </c>
    </row>
    <row r="396" spans="1:9" x14ac:dyDescent="0.35">
      <c r="A396" s="2" t="s">
        <v>76</v>
      </c>
      <c r="B396" s="3">
        <v>45597</v>
      </c>
      <c r="C396" s="2">
        <v>24</v>
      </c>
      <c r="D396" s="2">
        <v>28869</v>
      </c>
      <c r="E396" s="17">
        <v>60699.3</v>
      </c>
      <c r="F396" s="11">
        <v>6.74</v>
      </c>
      <c r="G396" s="9">
        <v>4288.1000000000004</v>
      </c>
      <c r="H396" s="10">
        <v>0.33300000000000002</v>
      </c>
      <c r="I396" s="11">
        <v>6.8</v>
      </c>
    </row>
    <row r="397" spans="1:9" x14ac:dyDescent="0.35">
      <c r="A397" s="2" t="s">
        <v>76</v>
      </c>
      <c r="B397" s="3">
        <v>45627</v>
      </c>
      <c r="C397" s="2">
        <v>17</v>
      </c>
      <c r="D397" s="2">
        <v>31385</v>
      </c>
      <c r="E397" s="17">
        <v>57548.26</v>
      </c>
      <c r="F397" s="11">
        <v>6.52</v>
      </c>
      <c r="G397" s="9">
        <v>4937.1000000000004</v>
      </c>
      <c r="H397" s="10">
        <v>0.29399999999999998</v>
      </c>
      <c r="I397" s="11">
        <v>7.5</v>
      </c>
    </row>
    <row r="398" spans="1:9" x14ac:dyDescent="0.35">
      <c r="A398" s="2" t="s">
        <v>81</v>
      </c>
      <c r="B398" s="3">
        <v>44562</v>
      </c>
      <c r="C398" s="2">
        <v>22</v>
      </c>
      <c r="D398" s="2">
        <v>29766</v>
      </c>
      <c r="E398" s="17">
        <v>67144.25</v>
      </c>
      <c r="F398" s="11">
        <v>6.43</v>
      </c>
      <c r="G398" s="9">
        <v>4552.8999999999996</v>
      </c>
      <c r="H398" s="10">
        <v>0.27300000000000002</v>
      </c>
      <c r="I398" s="11">
        <v>6.4</v>
      </c>
    </row>
    <row r="399" spans="1:9" x14ac:dyDescent="0.35">
      <c r="A399" s="2" t="s">
        <v>81</v>
      </c>
      <c r="B399" s="3">
        <v>44593</v>
      </c>
      <c r="C399" s="2">
        <v>23</v>
      </c>
      <c r="D399" s="2">
        <v>33077</v>
      </c>
      <c r="E399" s="17">
        <v>67575.16</v>
      </c>
      <c r="F399" s="11">
        <v>6.29</v>
      </c>
      <c r="G399" s="9">
        <v>5354.3</v>
      </c>
      <c r="H399" s="10">
        <v>0.39100000000000001</v>
      </c>
      <c r="I399" s="11">
        <v>7.4</v>
      </c>
    </row>
    <row r="400" spans="1:9" x14ac:dyDescent="0.35">
      <c r="A400" s="2" t="s">
        <v>81</v>
      </c>
      <c r="B400" s="3">
        <v>44621</v>
      </c>
      <c r="C400" s="2">
        <v>28</v>
      </c>
      <c r="D400" s="2">
        <v>43452</v>
      </c>
      <c r="E400" s="17">
        <v>92897.18</v>
      </c>
      <c r="F400" s="11">
        <v>6.32</v>
      </c>
      <c r="G400" s="9">
        <v>6969.9</v>
      </c>
      <c r="H400" s="10">
        <v>0.39300000000000002</v>
      </c>
      <c r="I400" s="11">
        <v>7.6</v>
      </c>
    </row>
    <row r="401" spans="1:9" x14ac:dyDescent="0.35">
      <c r="A401" s="2" t="s">
        <v>81</v>
      </c>
      <c r="B401" s="3">
        <v>44652</v>
      </c>
      <c r="C401" s="2">
        <v>21</v>
      </c>
      <c r="D401" s="2">
        <v>25848</v>
      </c>
      <c r="E401" s="17">
        <v>53607.1</v>
      </c>
      <c r="F401" s="11">
        <v>6.68</v>
      </c>
      <c r="G401" s="9">
        <v>3952.9</v>
      </c>
      <c r="H401" s="10">
        <v>0.23799999999999999</v>
      </c>
      <c r="I401" s="11">
        <v>6.2</v>
      </c>
    </row>
    <row r="402" spans="1:9" x14ac:dyDescent="0.35">
      <c r="A402" s="2" t="s">
        <v>81</v>
      </c>
      <c r="B402" s="3">
        <v>44682</v>
      </c>
      <c r="C402" s="2">
        <v>20</v>
      </c>
      <c r="D402" s="2">
        <v>32107</v>
      </c>
      <c r="E402" s="17">
        <v>70804.63</v>
      </c>
      <c r="F402" s="11">
        <v>6.58</v>
      </c>
      <c r="G402" s="9">
        <v>4936.1000000000004</v>
      </c>
      <c r="H402" s="10">
        <v>0.5</v>
      </c>
      <c r="I402" s="11">
        <v>7.4</v>
      </c>
    </row>
    <row r="403" spans="1:9" x14ac:dyDescent="0.35">
      <c r="A403" s="2" t="s">
        <v>81</v>
      </c>
      <c r="B403" s="3">
        <v>44713</v>
      </c>
      <c r="C403" s="2">
        <v>15</v>
      </c>
      <c r="D403" s="2">
        <v>23241</v>
      </c>
      <c r="E403" s="17">
        <v>50445.39</v>
      </c>
      <c r="F403" s="11">
        <v>6.58</v>
      </c>
      <c r="G403" s="9">
        <v>3514.1</v>
      </c>
      <c r="H403" s="10">
        <v>0.46700000000000003</v>
      </c>
      <c r="I403" s="11">
        <v>8.3000000000000007</v>
      </c>
    </row>
    <row r="404" spans="1:9" x14ac:dyDescent="0.35">
      <c r="A404" s="2" t="s">
        <v>81</v>
      </c>
      <c r="B404" s="3">
        <v>44743</v>
      </c>
      <c r="C404" s="2">
        <v>18</v>
      </c>
      <c r="D404" s="2">
        <v>20554</v>
      </c>
      <c r="E404" s="17">
        <v>45220.27</v>
      </c>
      <c r="F404" s="11">
        <v>6.79</v>
      </c>
      <c r="G404" s="9">
        <v>3057.3</v>
      </c>
      <c r="H404" s="10">
        <v>0.5</v>
      </c>
      <c r="I404" s="11">
        <v>7.6</v>
      </c>
    </row>
    <row r="405" spans="1:9" x14ac:dyDescent="0.35">
      <c r="A405" s="2" t="s">
        <v>81</v>
      </c>
      <c r="B405" s="3">
        <v>44774</v>
      </c>
      <c r="C405" s="2">
        <v>24</v>
      </c>
      <c r="D405" s="2">
        <v>33387</v>
      </c>
      <c r="E405" s="17">
        <v>72245.08</v>
      </c>
      <c r="F405" s="11">
        <v>6.62</v>
      </c>
      <c r="G405" s="9">
        <v>5057.8999999999996</v>
      </c>
      <c r="H405" s="10">
        <v>0.58299999999999996</v>
      </c>
      <c r="I405" s="11">
        <v>6.1</v>
      </c>
    </row>
    <row r="406" spans="1:9" x14ac:dyDescent="0.35">
      <c r="A406" s="2" t="s">
        <v>81</v>
      </c>
      <c r="B406" s="3">
        <v>44805</v>
      </c>
      <c r="C406" s="2">
        <v>16</v>
      </c>
      <c r="D406" s="2">
        <v>28647</v>
      </c>
      <c r="E406" s="17">
        <v>59240.49</v>
      </c>
      <c r="F406" s="11">
        <v>6.57</v>
      </c>
      <c r="G406" s="9">
        <v>4340.5</v>
      </c>
      <c r="H406" s="10">
        <v>0.375</v>
      </c>
      <c r="I406" s="11">
        <v>6.7</v>
      </c>
    </row>
    <row r="407" spans="1:9" x14ac:dyDescent="0.35">
      <c r="A407" s="2" t="s">
        <v>81</v>
      </c>
      <c r="B407" s="3">
        <v>44835</v>
      </c>
      <c r="C407" s="2">
        <v>19</v>
      </c>
      <c r="D407" s="2">
        <v>28344</v>
      </c>
      <c r="E407" s="17">
        <v>61186.73</v>
      </c>
      <c r="F407" s="11">
        <v>6.35</v>
      </c>
      <c r="G407" s="9">
        <v>4564.1000000000004</v>
      </c>
      <c r="H407" s="10">
        <v>0.36799999999999999</v>
      </c>
      <c r="I407" s="11">
        <v>7</v>
      </c>
    </row>
    <row r="408" spans="1:9" x14ac:dyDescent="0.35">
      <c r="A408" s="2" t="s">
        <v>81</v>
      </c>
      <c r="B408" s="3">
        <v>44866</v>
      </c>
      <c r="C408" s="2">
        <v>16</v>
      </c>
      <c r="D408" s="2">
        <v>26205</v>
      </c>
      <c r="E408" s="17">
        <v>52919.8</v>
      </c>
      <c r="F408" s="11">
        <v>6.5</v>
      </c>
      <c r="G408" s="9">
        <v>4069.1</v>
      </c>
      <c r="H408" s="10">
        <v>0.188</v>
      </c>
      <c r="I408" s="11">
        <v>7.9</v>
      </c>
    </row>
    <row r="409" spans="1:9" x14ac:dyDescent="0.35">
      <c r="A409" s="2" t="s">
        <v>81</v>
      </c>
      <c r="B409" s="3">
        <v>44896</v>
      </c>
      <c r="C409" s="2">
        <v>27</v>
      </c>
      <c r="D409" s="2">
        <v>41337</v>
      </c>
      <c r="E409" s="17">
        <v>87456.95</v>
      </c>
      <c r="F409" s="11">
        <v>6.47</v>
      </c>
      <c r="G409" s="9">
        <v>6416.4</v>
      </c>
      <c r="H409" s="10">
        <v>0.40699999999999997</v>
      </c>
      <c r="I409" s="11">
        <v>7.7</v>
      </c>
    </row>
    <row r="410" spans="1:9" x14ac:dyDescent="0.35">
      <c r="A410" s="2" t="s">
        <v>81</v>
      </c>
      <c r="B410" s="3">
        <v>44927</v>
      </c>
      <c r="C410" s="2">
        <v>12</v>
      </c>
      <c r="D410" s="2">
        <v>17984</v>
      </c>
      <c r="E410" s="17">
        <v>39256.480000000003</v>
      </c>
      <c r="F410" s="11">
        <v>6.53</v>
      </c>
      <c r="G410" s="9">
        <v>2794.8</v>
      </c>
      <c r="H410" s="10">
        <v>0.58299999999999996</v>
      </c>
      <c r="I410" s="11">
        <v>6</v>
      </c>
    </row>
    <row r="411" spans="1:9" x14ac:dyDescent="0.35">
      <c r="A411" s="2" t="s">
        <v>81</v>
      </c>
      <c r="B411" s="3">
        <v>44958</v>
      </c>
      <c r="C411" s="2">
        <v>21</v>
      </c>
      <c r="D411" s="2">
        <v>31260</v>
      </c>
      <c r="E411" s="17">
        <v>72551.09</v>
      </c>
      <c r="F411" s="11">
        <v>6.31</v>
      </c>
      <c r="G411" s="9">
        <v>5135.8999999999996</v>
      </c>
      <c r="H411" s="10">
        <v>0.38100000000000001</v>
      </c>
      <c r="I411" s="11">
        <v>7</v>
      </c>
    </row>
    <row r="412" spans="1:9" x14ac:dyDescent="0.35">
      <c r="A412" s="2" t="s">
        <v>81</v>
      </c>
      <c r="B412" s="3">
        <v>44986</v>
      </c>
      <c r="C412" s="2">
        <v>24</v>
      </c>
      <c r="D412" s="2">
        <v>40884</v>
      </c>
      <c r="E412" s="17">
        <v>94016.36</v>
      </c>
      <c r="F412" s="11">
        <v>6.6</v>
      </c>
      <c r="G412" s="9">
        <v>6290.7</v>
      </c>
      <c r="H412" s="10">
        <v>0.33300000000000002</v>
      </c>
      <c r="I412" s="11">
        <v>6.2</v>
      </c>
    </row>
    <row r="413" spans="1:9" x14ac:dyDescent="0.35">
      <c r="A413" s="2" t="s">
        <v>81</v>
      </c>
      <c r="B413" s="3">
        <v>45017</v>
      </c>
      <c r="C413" s="2">
        <v>16</v>
      </c>
      <c r="D413" s="2">
        <v>27617</v>
      </c>
      <c r="E413" s="17">
        <v>59552.21</v>
      </c>
      <c r="F413" s="11">
        <v>6.3</v>
      </c>
      <c r="G413" s="9">
        <v>4428.8999999999996</v>
      </c>
      <c r="H413" s="10">
        <v>0.56200000000000006</v>
      </c>
      <c r="I413" s="11">
        <v>7.3</v>
      </c>
    </row>
    <row r="414" spans="1:9" x14ac:dyDescent="0.35">
      <c r="A414" s="2" t="s">
        <v>81</v>
      </c>
      <c r="B414" s="3">
        <v>45047</v>
      </c>
      <c r="C414" s="2">
        <v>21</v>
      </c>
      <c r="D414" s="2">
        <v>28626</v>
      </c>
      <c r="E414" s="17">
        <v>59351.72</v>
      </c>
      <c r="F414" s="11">
        <v>6.58</v>
      </c>
      <c r="G414" s="9">
        <v>4390.3</v>
      </c>
      <c r="H414" s="10">
        <v>0.57099999999999995</v>
      </c>
      <c r="I414" s="11">
        <v>7.4</v>
      </c>
    </row>
    <row r="415" spans="1:9" x14ac:dyDescent="0.35">
      <c r="A415" s="2" t="s">
        <v>81</v>
      </c>
      <c r="B415" s="3">
        <v>45078</v>
      </c>
      <c r="C415" s="2">
        <v>25</v>
      </c>
      <c r="D415" s="2">
        <v>37209</v>
      </c>
      <c r="E415" s="17">
        <v>83349.240000000005</v>
      </c>
      <c r="F415" s="11">
        <v>6.25</v>
      </c>
      <c r="G415" s="9">
        <v>6066.4</v>
      </c>
      <c r="H415" s="10">
        <v>0.44</v>
      </c>
      <c r="I415" s="11">
        <v>7.4</v>
      </c>
    </row>
    <row r="416" spans="1:9" x14ac:dyDescent="0.35">
      <c r="A416" s="2" t="s">
        <v>81</v>
      </c>
      <c r="B416" s="3">
        <v>45108</v>
      </c>
      <c r="C416" s="2">
        <v>18</v>
      </c>
      <c r="D416" s="2">
        <v>24025</v>
      </c>
      <c r="E416" s="17">
        <v>54350.11</v>
      </c>
      <c r="F416" s="11">
        <v>6.6</v>
      </c>
      <c r="G416" s="9">
        <v>3693.4</v>
      </c>
      <c r="H416" s="10">
        <v>0.33300000000000002</v>
      </c>
      <c r="I416" s="11">
        <v>7.5</v>
      </c>
    </row>
    <row r="417" spans="1:9" x14ac:dyDescent="0.35">
      <c r="A417" s="2" t="s">
        <v>81</v>
      </c>
      <c r="B417" s="3">
        <v>45139</v>
      </c>
      <c r="C417" s="2">
        <v>19</v>
      </c>
      <c r="D417" s="2">
        <v>29993</v>
      </c>
      <c r="E417" s="17">
        <v>63100.51</v>
      </c>
      <c r="F417" s="11">
        <v>6.54</v>
      </c>
      <c r="G417" s="9">
        <v>4568.3</v>
      </c>
      <c r="H417" s="10">
        <v>0.26300000000000001</v>
      </c>
      <c r="I417" s="11">
        <v>6.9</v>
      </c>
    </row>
    <row r="418" spans="1:9" x14ac:dyDescent="0.35">
      <c r="A418" s="2" t="s">
        <v>81</v>
      </c>
      <c r="B418" s="3">
        <v>45170</v>
      </c>
      <c r="C418" s="2">
        <v>20</v>
      </c>
      <c r="D418" s="2">
        <v>28459</v>
      </c>
      <c r="E418" s="17">
        <v>62424.72</v>
      </c>
      <c r="F418" s="11">
        <v>6.55</v>
      </c>
      <c r="G418" s="9">
        <v>4345.8999999999996</v>
      </c>
      <c r="H418" s="10">
        <v>0.25</v>
      </c>
      <c r="I418" s="11">
        <v>7</v>
      </c>
    </row>
    <row r="419" spans="1:9" x14ac:dyDescent="0.35">
      <c r="A419" s="2" t="s">
        <v>81</v>
      </c>
      <c r="B419" s="3">
        <v>45200</v>
      </c>
      <c r="C419" s="2">
        <v>19</v>
      </c>
      <c r="D419" s="2">
        <v>32989</v>
      </c>
      <c r="E419" s="17">
        <v>71025.990000000005</v>
      </c>
      <c r="F419" s="11">
        <v>6.31</v>
      </c>
      <c r="G419" s="9">
        <v>5247.7</v>
      </c>
      <c r="H419" s="10">
        <v>0.47399999999999998</v>
      </c>
      <c r="I419" s="11">
        <v>7.8</v>
      </c>
    </row>
    <row r="420" spans="1:9" x14ac:dyDescent="0.35">
      <c r="A420" s="2" t="s">
        <v>81</v>
      </c>
      <c r="B420" s="3">
        <v>45231</v>
      </c>
      <c r="C420" s="2">
        <v>24</v>
      </c>
      <c r="D420" s="2">
        <v>31930</v>
      </c>
      <c r="E420" s="17">
        <v>68391.09</v>
      </c>
      <c r="F420" s="11">
        <v>6.46</v>
      </c>
      <c r="G420" s="9">
        <v>4926.7</v>
      </c>
      <c r="H420" s="10">
        <v>0.41699999999999998</v>
      </c>
      <c r="I420" s="11">
        <v>7.2</v>
      </c>
    </row>
    <row r="421" spans="1:9" x14ac:dyDescent="0.35">
      <c r="A421" s="2" t="s">
        <v>81</v>
      </c>
      <c r="B421" s="3">
        <v>45261</v>
      </c>
      <c r="C421" s="2">
        <v>23</v>
      </c>
      <c r="D421" s="2">
        <v>29402</v>
      </c>
      <c r="E421" s="17">
        <v>67209.7</v>
      </c>
      <c r="F421" s="11">
        <v>6.62</v>
      </c>
      <c r="G421" s="9">
        <v>4326.3999999999996</v>
      </c>
      <c r="H421" s="10">
        <v>0.47799999999999998</v>
      </c>
      <c r="I421" s="11">
        <v>7.3</v>
      </c>
    </row>
    <row r="422" spans="1:9" x14ac:dyDescent="0.35">
      <c r="A422" s="2" t="s">
        <v>81</v>
      </c>
      <c r="B422" s="3">
        <v>45292</v>
      </c>
      <c r="C422" s="2">
        <v>19</v>
      </c>
      <c r="D422" s="2">
        <v>22042</v>
      </c>
      <c r="E422" s="17">
        <v>42219.69</v>
      </c>
      <c r="F422" s="11">
        <v>6.5</v>
      </c>
      <c r="G422" s="9">
        <v>3371.2</v>
      </c>
      <c r="H422" s="10">
        <v>0.42099999999999999</v>
      </c>
      <c r="I422" s="11">
        <v>7.3</v>
      </c>
    </row>
    <row r="423" spans="1:9" x14ac:dyDescent="0.35">
      <c r="A423" s="2" t="s">
        <v>81</v>
      </c>
      <c r="B423" s="3">
        <v>45323</v>
      </c>
      <c r="C423" s="2">
        <v>20</v>
      </c>
      <c r="D423" s="2">
        <v>28957</v>
      </c>
      <c r="E423" s="17">
        <v>59184.3</v>
      </c>
      <c r="F423" s="11">
        <v>6.62</v>
      </c>
      <c r="G423" s="9">
        <v>4481.8999999999996</v>
      </c>
      <c r="H423" s="10">
        <v>0.45</v>
      </c>
      <c r="I423" s="11">
        <v>7.5</v>
      </c>
    </row>
    <row r="424" spans="1:9" x14ac:dyDescent="0.35">
      <c r="A424" s="2" t="s">
        <v>81</v>
      </c>
      <c r="B424" s="3">
        <v>45352</v>
      </c>
      <c r="C424" s="2">
        <v>15</v>
      </c>
      <c r="D424" s="2">
        <v>16958</v>
      </c>
      <c r="E424" s="17">
        <v>33711.67</v>
      </c>
      <c r="F424" s="11">
        <v>6.36</v>
      </c>
      <c r="G424" s="9">
        <v>2643.3</v>
      </c>
      <c r="H424" s="10">
        <v>0.53300000000000003</v>
      </c>
      <c r="I424" s="11">
        <v>6.9</v>
      </c>
    </row>
    <row r="425" spans="1:9" x14ac:dyDescent="0.35">
      <c r="A425" s="2" t="s">
        <v>81</v>
      </c>
      <c r="B425" s="3">
        <v>45383</v>
      </c>
      <c r="C425" s="2">
        <v>21</v>
      </c>
      <c r="D425" s="2">
        <v>35858</v>
      </c>
      <c r="E425" s="17">
        <v>76660.460000000006</v>
      </c>
      <c r="F425" s="11">
        <v>6.45</v>
      </c>
      <c r="G425" s="9">
        <v>5650.1</v>
      </c>
      <c r="H425" s="10">
        <v>0.47599999999999998</v>
      </c>
      <c r="I425" s="11">
        <v>8.5</v>
      </c>
    </row>
    <row r="426" spans="1:9" x14ac:dyDescent="0.35">
      <c r="A426" s="2" t="s">
        <v>81</v>
      </c>
      <c r="B426" s="3">
        <v>45413</v>
      </c>
      <c r="C426" s="2">
        <v>18</v>
      </c>
      <c r="D426" s="2">
        <v>25228</v>
      </c>
      <c r="E426" s="17">
        <v>58044.42</v>
      </c>
      <c r="F426" s="11">
        <v>6.65</v>
      </c>
      <c r="G426" s="9">
        <v>3766.3</v>
      </c>
      <c r="H426" s="10">
        <v>0.44400000000000001</v>
      </c>
      <c r="I426" s="11">
        <v>6.4</v>
      </c>
    </row>
    <row r="427" spans="1:9" x14ac:dyDescent="0.35">
      <c r="A427" s="2" t="s">
        <v>81</v>
      </c>
      <c r="B427" s="3">
        <v>45444</v>
      </c>
      <c r="C427" s="2">
        <v>22</v>
      </c>
      <c r="D427" s="2">
        <v>29877</v>
      </c>
      <c r="E427" s="17">
        <v>63590.57</v>
      </c>
      <c r="F427" s="11">
        <v>6.38</v>
      </c>
      <c r="G427" s="9">
        <v>4742.6000000000004</v>
      </c>
      <c r="H427" s="10">
        <v>0.45500000000000002</v>
      </c>
      <c r="I427" s="11">
        <v>6.6</v>
      </c>
    </row>
    <row r="428" spans="1:9" x14ac:dyDescent="0.35">
      <c r="A428" s="2" t="s">
        <v>81</v>
      </c>
      <c r="B428" s="3">
        <v>45474</v>
      </c>
      <c r="C428" s="2">
        <v>12</v>
      </c>
      <c r="D428" s="2">
        <v>14468</v>
      </c>
      <c r="E428" s="17">
        <v>30413.599999999999</v>
      </c>
      <c r="F428" s="11">
        <v>6.38</v>
      </c>
      <c r="G428" s="9">
        <v>2235.3000000000002</v>
      </c>
      <c r="H428" s="10">
        <v>0.58299999999999996</v>
      </c>
      <c r="I428" s="11">
        <v>6.6</v>
      </c>
    </row>
    <row r="429" spans="1:9" x14ac:dyDescent="0.35">
      <c r="A429" s="2" t="s">
        <v>81</v>
      </c>
      <c r="B429" s="3">
        <v>45505</v>
      </c>
      <c r="C429" s="2">
        <v>17</v>
      </c>
      <c r="D429" s="2">
        <v>26132</v>
      </c>
      <c r="E429" s="17">
        <v>54155.11</v>
      </c>
      <c r="F429" s="11">
        <v>6.78</v>
      </c>
      <c r="G429" s="9">
        <v>3855.1</v>
      </c>
      <c r="H429" s="10">
        <v>0.35299999999999998</v>
      </c>
      <c r="I429" s="11">
        <v>7.5</v>
      </c>
    </row>
    <row r="430" spans="1:9" x14ac:dyDescent="0.35">
      <c r="A430" s="2" t="s">
        <v>81</v>
      </c>
      <c r="B430" s="3">
        <v>45536</v>
      </c>
      <c r="C430" s="2">
        <v>15</v>
      </c>
      <c r="D430" s="2">
        <v>16716</v>
      </c>
      <c r="E430" s="17">
        <v>36228.17</v>
      </c>
      <c r="F430" s="11">
        <v>6.72</v>
      </c>
      <c r="G430" s="9">
        <v>2479</v>
      </c>
      <c r="H430" s="10">
        <v>0.46700000000000003</v>
      </c>
      <c r="I430" s="11">
        <v>7.9</v>
      </c>
    </row>
    <row r="431" spans="1:9" x14ac:dyDescent="0.35">
      <c r="A431" s="2" t="s">
        <v>81</v>
      </c>
      <c r="B431" s="3">
        <v>45566</v>
      </c>
      <c r="C431" s="2">
        <v>18</v>
      </c>
      <c r="D431" s="2">
        <v>22883</v>
      </c>
      <c r="E431" s="17">
        <v>46316.800000000003</v>
      </c>
      <c r="F431" s="11">
        <v>6.56</v>
      </c>
      <c r="G431" s="9">
        <v>3472.2</v>
      </c>
      <c r="H431" s="10">
        <v>0.66700000000000004</v>
      </c>
      <c r="I431" s="11">
        <v>6.5</v>
      </c>
    </row>
    <row r="432" spans="1:9" x14ac:dyDescent="0.35">
      <c r="A432" s="2" t="s">
        <v>81</v>
      </c>
      <c r="B432" s="3">
        <v>45597</v>
      </c>
      <c r="C432" s="2">
        <v>15</v>
      </c>
      <c r="D432" s="2">
        <v>16364</v>
      </c>
      <c r="E432" s="17">
        <v>30880.6</v>
      </c>
      <c r="F432" s="11">
        <v>6.49</v>
      </c>
      <c r="G432" s="9">
        <v>2532</v>
      </c>
      <c r="H432" s="10">
        <v>0.46700000000000003</v>
      </c>
      <c r="I432" s="11">
        <v>6.2</v>
      </c>
    </row>
    <row r="433" spans="1:9" x14ac:dyDescent="0.35">
      <c r="A433" s="2" t="s">
        <v>81</v>
      </c>
      <c r="B433" s="3">
        <v>45627</v>
      </c>
      <c r="C433" s="2">
        <v>24</v>
      </c>
      <c r="D433" s="2">
        <v>31690</v>
      </c>
      <c r="E433" s="17">
        <v>67698.22</v>
      </c>
      <c r="F433" s="11">
        <v>6.5</v>
      </c>
      <c r="G433" s="9">
        <v>4825.6000000000004</v>
      </c>
      <c r="H433" s="10">
        <v>0.5</v>
      </c>
      <c r="I433" s="11">
        <v>7.4</v>
      </c>
    </row>
    <row r="434" spans="1:9" x14ac:dyDescent="0.35">
      <c r="A434" s="2" t="s">
        <v>85</v>
      </c>
      <c r="B434" s="3">
        <v>44562</v>
      </c>
      <c r="C434" s="2">
        <v>25</v>
      </c>
      <c r="D434" s="2">
        <v>41730</v>
      </c>
      <c r="E434" s="17">
        <v>90162.99</v>
      </c>
      <c r="F434" s="11">
        <v>6.43</v>
      </c>
      <c r="G434" s="9">
        <v>6487</v>
      </c>
      <c r="H434" s="10">
        <v>0.28000000000000003</v>
      </c>
      <c r="I434" s="11">
        <v>6.9</v>
      </c>
    </row>
    <row r="435" spans="1:9" x14ac:dyDescent="0.35">
      <c r="A435" s="2" t="s">
        <v>85</v>
      </c>
      <c r="B435" s="3">
        <v>44593</v>
      </c>
      <c r="C435" s="2">
        <v>17</v>
      </c>
      <c r="D435" s="2">
        <v>24069</v>
      </c>
      <c r="E435" s="17">
        <v>50159.839999999997</v>
      </c>
      <c r="F435" s="11">
        <v>6.55</v>
      </c>
      <c r="G435" s="9">
        <v>3758.7</v>
      </c>
      <c r="H435" s="10">
        <v>0.41199999999999998</v>
      </c>
      <c r="I435" s="11">
        <v>7.1</v>
      </c>
    </row>
    <row r="436" spans="1:9" x14ac:dyDescent="0.35">
      <c r="A436" s="2" t="s">
        <v>85</v>
      </c>
      <c r="B436" s="3">
        <v>44621</v>
      </c>
      <c r="C436" s="2">
        <v>20</v>
      </c>
      <c r="D436" s="2">
        <v>22815</v>
      </c>
      <c r="E436" s="17">
        <v>49097.84</v>
      </c>
      <c r="F436" s="11">
        <v>6.26</v>
      </c>
      <c r="G436" s="9">
        <v>3657.6</v>
      </c>
      <c r="H436" s="10">
        <v>0.4</v>
      </c>
      <c r="I436" s="11">
        <v>5.8</v>
      </c>
    </row>
    <row r="437" spans="1:9" x14ac:dyDescent="0.35">
      <c r="A437" s="2" t="s">
        <v>85</v>
      </c>
      <c r="B437" s="3">
        <v>44652</v>
      </c>
      <c r="C437" s="2">
        <v>21</v>
      </c>
      <c r="D437" s="2">
        <v>28761</v>
      </c>
      <c r="E437" s="17">
        <v>63494.77</v>
      </c>
      <c r="F437" s="11">
        <v>6.57</v>
      </c>
      <c r="G437" s="9">
        <v>4424.3</v>
      </c>
      <c r="H437" s="10">
        <v>0.57099999999999995</v>
      </c>
      <c r="I437" s="11">
        <v>6.7</v>
      </c>
    </row>
    <row r="438" spans="1:9" x14ac:dyDescent="0.35">
      <c r="A438" s="2" t="s">
        <v>85</v>
      </c>
      <c r="B438" s="3">
        <v>44682</v>
      </c>
      <c r="C438" s="2">
        <v>10</v>
      </c>
      <c r="D438" s="2">
        <v>21735</v>
      </c>
      <c r="E438" s="17">
        <v>45725.98</v>
      </c>
      <c r="F438" s="11">
        <v>6.51</v>
      </c>
      <c r="G438" s="9">
        <v>3417.8</v>
      </c>
      <c r="H438" s="10">
        <v>0.3</v>
      </c>
      <c r="I438" s="11">
        <v>6.4</v>
      </c>
    </row>
    <row r="439" spans="1:9" x14ac:dyDescent="0.35">
      <c r="A439" s="2" t="s">
        <v>85</v>
      </c>
      <c r="B439" s="3">
        <v>44713</v>
      </c>
      <c r="C439" s="2">
        <v>20</v>
      </c>
      <c r="D439" s="2">
        <v>33406</v>
      </c>
      <c r="E439" s="17">
        <v>69324.210000000006</v>
      </c>
      <c r="F439" s="11">
        <v>6.76</v>
      </c>
      <c r="G439" s="9">
        <v>5023.8</v>
      </c>
      <c r="H439" s="10">
        <v>0.7</v>
      </c>
      <c r="I439" s="11">
        <v>7.7</v>
      </c>
    </row>
    <row r="440" spans="1:9" x14ac:dyDescent="0.35">
      <c r="A440" s="2" t="s">
        <v>85</v>
      </c>
      <c r="B440" s="3">
        <v>44743</v>
      </c>
      <c r="C440" s="2">
        <v>19</v>
      </c>
      <c r="D440" s="2">
        <v>26623</v>
      </c>
      <c r="E440" s="17">
        <v>48800.6</v>
      </c>
      <c r="F440" s="11">
        <v>6.47</v>
      </c>
      <c r="G440" s="9">
        <v>4137.6000000000004</v>
      </c>
      <c r="H440" s="10">
        <v>0.52600000000000002</v>
      </c>
      <c r="I440" s="11">
        <v>7.7</v>
      </c>
    </row>
    <row r="441" spans="1:9" x14ac:dyDescent="0.35">
      <c r="A441" s="2" t="s">
        <v>85</v>
      </c>
      <c r="B441" s="3">
        <v>44774</v>
      </c>
      <c r="C441" s="2">
        <v>25</v>
      </c>
      <c r="D441" s="2">
        <v>37963</v>
      </c>
      <c r="E441" s="17">
        <v>81911.89</v>
      </c>
      <c r="F441" s="11">
        <v>6.51</v>
      </c>
      <c r="G441" s="9">
        <v>5849.5</v>
      </c>
      <c r="H441" s="10">
        <v>0.28000000000000003</v>
      </c>
      <c r="I441" s="11">
        <v>5.7</v>
      </c>
    </row>
    <row r="442" spans="1:9" x14ac:dyDescent="0.35">
      <c r="A442" s="2" t="s">
        <v>85</v>
      </c>
      <c r="B442" s="3">
        <v>44805</v>
      </c>
      <c r="C442" s="2">
        <v>16</v>
      </c>
      <c r="D442" s="2">
        <v>20619</v>
      </c>
      <c r="E442" s="17">
        <v>44688.800000000003</v>
      </c>
      <c r="F442" s="11">
        <v>6.53</v>
      </c>
      <c r="G442" s="9">
        <v>3175.1</v>
      </c>
      <c r="H442" s="10">
        <v>0.312</v>
      </c>
      <c r="I442" s="11">
        <v>7.6</v>
      </c>
    </row>
    <row r="443" spans="1:9" x14ac:dyDescent="0.35">
      <c r="A443" s="2" t="s">
        <v>85</v>
      </c>
      <c r="B443" s="3">
        <v>44835</v>
      </c>
      <c r="C443" s="2">
        <v>23</v>
      </c>
      <c r="D443" s="2">
        <v>46012</v>
      </c>
      <c r="E443" s="17">
        <v>102518.83</v>
      </c>
      <c r="F443" s="11">
        <v>6.45</v>
      </c>
      <c r="G443" s="9">
        <v>7166</v>
      </c>
      <c r="H443" s="10">
        <v>0.56499999999999995</v>
      </c>
      <c r="I443" s="11">
        <v>7.4</v>
      </c>
    </row>
    <row r="444" spans="1:9" x14ac:dyDescent="0.35">
      <c r="A444" s="2" t="s">
        <v>85</v>
      </c>
      <c r="B444" s="3">
        <v>44866</v>
      </c>
      <c r="C444" s="2">
        <v>21</v>
      </c>
      <c r="D444" s="2">
        <v>39853</v>
      </c>
      <c r="E444" s="17">
        <v>88717.86</v>
      </c>
      <c r="F444" s="11">
        <v>6.39</v>
      </c>
      <c r="G444" s="9">
        <v>6303.9</v>
      </c>
      <c r="H444" s="10">
        <v>0.47599999999999998</v>
      </c>
      <c r="I444" s="11">
        <v>6.7</v>
      </c>
    </row>
    <row r="445" spans="1:9" x14ac:dyDescent="0.35">
      <c r="A445" s="2" t="s">
        <v>85</v>
      </c>
      <c r="B445" s="3">
        <v>44896</v>
      </c>
      <c r="C445" s="2">
        <v>20</v>
      </c>
      <c r="D445" s="2">
        <v>34229</v>
      </c>
      <c r="E445" s="17">
        <v>75447.350000000006</v>
      </c>
      <c r="F445" s="11">
        <v>6.42</v>
      </c>
      <c r="G445" s="9">
        <v>5291.2</v>
      </c>
      <c r="H445" s="10">
        <v>0.45</v>
      </c>
      <c r="I445" s="11">
        <v>6.6</v>
      </c>
    </row>
    <row r="446" spans="1:9" x14ac:dyDescent="0.35">
      <c r="A446" s="2" t="s">
        <v>85</v>
      </c>
      <c r="B446" s="3">
        <v>44927</v>
      </c>
      <c r="C446" s="2">
        <v>23</v>
      </c>
      <c r="D446" s="2">
        <v>33523</v>
      </c>
      <c r="E446" s="17">
        <v>68015.92</v>
      </c>
      <c r="F446" s="11">
        <v>6.64</v>
      </c>
      <c r="G446" s="9">
        <v>5106.2</v>
      </c>
      <c r="H446" s="10">
        <v>0.39100000000000001</v>
      </c>
      <c r="I446" s="11">
        <v>7.1</v>
      </c>
    </row>
    <row r="447" spans="1:9" x14ac:dyDescent="0.35">
      <c r="A447" s="2" t="s">
        <v>85</v>
      </c>
      <c r="B447" s="3">
        <v>44958</v>
      </c>
      <c r="C447" s="2">
        <v>18</v>
      </c>
      <c r="D447" s="2">
        <v>21428</v>
      </c>
      <c r="E447" s="17">
        <v>44647.9</v>
      </c>
      <c r="F447" s="11">
        <v>6.36</v>
      </c>
      <c r="G447" s="9">
        <v>3371.8</v>
      </c>
      <c r="H447" s="10">
        <v>0.33300000000000002</v>
      </c>
      <c r="I447" s="11">
        <v>7.4</v>
      </c>
    </row>
    <row r="448" spans="1:9" x14ac:dyDescent="0.35">
      <c r="A448" s="2" t="s">
        <v>85</v>
      </c>
      <c r="B448" s="3">
        <v>44986</v>
      </c>
      <c r="C448" s="2">
        <v>26</v>
      </c>
      <c r="D448" s="2">
        <v>38382</v>
      </c>
      <c r="E448" s="17">
        <v>87003.26</v>
      </c>
      <c r="F448" s="11">
        <v>6.76</v>
      </c>
      <c r="G448" s="9">
        <v>5736.8</v>
      </c>
      <c r="H448" s="10">
        <v>0.53800000000000003</v>
      </c>
      <c r="I448" s="11">
        <v>7.3</v>
      </c>
    </row>
    <row r="449" spans="1:9" x14ac:dyDescent="0.35">
      <c r="A449" s="2" t="s">
        <v>85</v>
      </c>
      <c r="B449" s="3">
        <v>45017</v>
      </c>
      <c r="C449" s="2">
        <v>17</v>
      </c>
      <c r="D449" s="2">
        <v>23666</v>
      </c>
      <c r="E449" s="17">
        <v>54546.78</v>
      </c>
      <c r="F449" s="11">
        <v>6.3</v>
      </c>
      <c r="G449" s="9">
        <v>3841.2</v>
      </c>
      <c r="H449" s="10">
        <v>0.23499999999999999</v>
      </c>
      <c r="I449" s="11">
        <v>6.6</v>
      </c>
    </row>
    <row r="450" spans="1:9" x14ac:dyDescent="0.35">
      <c r="A450" s="2" t="s">
        <v>85</v>
      </c>
      <c r="B450" s="3">
        <v>45047</v>
      </c>
      <c r="C450" s="2">
        <v>17</v>
      </c>
      <c r="D450" s="2">
        <v>23951</v>
      </c>
      <c r="E450" s="17">
        <v>54491.57</v>
      </c>
      <c r="F450" s="11">
        <v>6.51</v>
      </c>
      <c r="G450" s="9">
        <v>3674.5</v>
      </c>
      <c r="H450" s="10">
        <v>0.52900000000000003</v>
      </c>
      <c r="I450" s="11">
        <v>7.2</v>
      </c>
    </row>
    <row r="451" spans="1:9" x14ac:dyDescent="0.35">
      <c r="A451" s="2" t="s">
        <v>85</v>
      </c>
      <c r="B451" s="3">
        <v>45078</v>
      </c>
      <c r="C451" s="2">
        <v>18</v>
      </c>
      <c r="D451" s="2">
        <v>19725</v>
      </c>
      <c r="E451" s="17">
        <v>42083.040000000001</v>
      </c>
      <c r="F451" s="11">
        <v>6.46</v>
      </c>
      <c r="G451" s="9">
        <v>3160.9</v>
      </c>
      <c r="H451" s="10">
        <v>0.33300000000000002</v>
      </c>
      <c r="I451" s="11">
        <v>6.5</v>
      </c>
    </row>
    <row r="452" spans="1:9" x14ac:dyDescent="0.35">
      <c r="A452" s="2" t="s">
        <v>85</v>
      </c>
      <c r="B452" s="3">
        <v>45108</v>
      </c>
      <c r="C452" s="2">
        <v>24</v>
      </c>
      <c r="D452" s="2">
        <v>28986</v>
      </c>
      <c r="E452" s="17">
        <v>64443.89</v>
      </c>
      <c r="F452" s="11">
        <v>6.2</v>
      </c>
      <c r="G452" s="9">
        <v>4650.8</v>
      </c>
      <c r="H452" s="10">
        <v>0.625</v>
      </c>
      <c r="I452" s="11">
        <v>6.6</v>
      </c>
    </row>
    <row r="453" spans="1:9" x14ac:dyDescent="0.35">
      <c r="A453" s="2" t="s">
        <v>85</v>
      </c>
      <c r="B453" s="3">
        <v>45139</v>
      </c>
      <c r="C453" s="2">
        <v>10</v>
      </c>
      <c r="D453" s="2">
        <v>15552</v>
      </c>
      <c r="E453" s="17">
        <v>31663.61</v>
      </c>
      <c r="F453" s="11">
        <v>6.26</v>
      </c>
      <c r="G453" s="9">
        <v>2462.4</v>
      </c>
      <c r="H453" s="10">
        <v>0.6</v>
      </c>
      <c r="I453" s="11">
        <v>7.9</v>
      </c>
    </row>
    <row r="454" spans="1:9" x14ac:dyDescent="0.35">
      <c r="A454" s="2" t="s">
        <v>85</v>
      </c>
      <c r="B454" s="3">
        <v>45170</v>
      </c>
      <c r="C454" s="2">
        <v>12</v>
      </c>
      <c r="D454" s="2">
        <v>14367</v>
      </c>
      <c r="E454" s="17">
        <v>28678.93</v>
      </c>
      <c r="F454" s="11">
        <v>6.43</v>
      </c>
      <c r="G454" s="9">
        <v>2268.6</v>
      </c>
      <c r="H454" s="10">
        <v>0.33300000000000002</v>
      </c>
      <c r="I454" s="11">
        <v>6.3</v>
      </c>
    </row>
    <row r="455" spans="1:9" x14ac:dyDescent="0.35">
      <c r="A455" s="2" t="s">
        <v>85</v>
      </c>
      <c r="B455" s="3">
        <v>45200</v>
      </c>
      <c r="C455" s="2">
        <v>15</v>
      </c>
      <c r="D455" s="2">
        <v>21295</v>
      </c>
      <c r="E455" s="17">
        <v>49894.67</v>
      </c>
      <c r="F455" s="11">
        <v>6.55</v>
      </c>
      <c r="G455" s="9">
        <v>3262</v>
      </c>
      <c r="H455" s="10">
        <v>0.26700000000000002</v>
      </c>
      <c r="I455" s="11">
        <v>7.3</v>
      </c>
    </row>
    <row r="456" spans="1:9" x14ac:dyDescent="0.35">
      <c r="A456" s="2" t="s">
        <v>85</v>
      </c>
      <c r="B456" s="3">
        <v>45231</v>
      </c>
      <c r="C456" s="2">
        <v>23</v>
      </c>
      <c r="D456" s="2">
        <v>35498</v>
      </c>
      <c r="E456" s="17">
        <v>75750.33</v>
      </c>
      <c r="F456" s="11">
        <v>6.26</v>
      </c>
      <c r="G456" s="9">
        <v>5730.7</v>
      </c>
      <c r="H456" s="10">
        <v>0.26100000000000001</v>
      </c>
      <c r="I456" s="11">
        <v>6.9</v>
      </c>
    </row>
    <row r="457" spans="1:9" x14ac:dyDescent="0.35">
      <c r="A457" s="2" t="s">
        <v>85</v>
      </c>
      <c r="B457" s="3">
        <v>45261</v>
      </c>
      <c r="C457" s="2">
        <v>22</v>
      </c>
      <c r="D457" s="2">
        <v>24676</v>
      </c>
      <c r="E457" s="17">
        <v>51733.47</v>
      </c>
      <c r="F457" s="11">
        <v>6.76</v>
      </c>
      <c r="G457" s="9">
        <v>3666.9</v>
      </c>
      <c r="H457" s="10">
        <v>0.5</v>
      </c>
      <c r="I457" s="11">
        <v>6.3</v>
      </c>
    </row>
    <row r="458" spans="1:9" x14ac:dyDescent="0.35">
      <c r="A458" s="2" t="s">
        <v>85</v>
      </c>
      <c r="B458" s="3">
        <v>45292</v>
      </c>
      <c r="C458" s="2">
        <v>18</v>
      </c>
      <c r="D458" s="2">
        <v>25497</v>
      </c>
      <c r="E458" s="17">
        <v>51336.31</v>
      </c>
      <c r="F458" s="11">
        <v>6.56</v>
      </c>
      <c r="G458" s="9">
        <v>3887.6</v>
      </c>
      <c r="H458" s="10">
        <v>0.61099999999999999</v>
      </c>
      <c r="I458" s="11">
        <v>7.5</v>
      </c>
    </row>
    <row r="459" spans="1:9" x14ac:dyDescent="0.35">
      <c r="A459" s="2" t="s">
        <v>85</v>
      </c>
      <c r="B459" s="3">
        <v>45323</v>
      </c>
      <c r="C459" s="2">
        <v>20</v>
      </c>
      <c r="D459" s="2">
        <v>21685</v>
      </c>
      <c r="E459" s="17">
        <v>44463.16</v>
      </c>
      <c r="F459" s="11">
        <v>6.67</v>
      </c>
      <c r="G459" s="9">
        <v>3283</v>
      </c>
      <c r="H459" s="10">
        <v>0.65</v>
      </c>
      <c r="I459" s="11">
        <v>7.8</v>
      </c>
    </row>
    <row r="460" spans="1:9" x14ac:dyDescent="0.35">
      <c r="A460" s="2" t="s">
        <v>85</v>
      </c>
      <c r="B460" s="3">
        <v>45352</v>
      </c>
      <c r="C460" s="2">
        <v>26</v>
      </c>
      <c r="D460" s="2">
        <v>45810</v>
      </c>
      <c r="E460" s="17">
        <v>103177.58</v>
      </c>
      <c r="F460" s="11">
        <v>6.59</v>
      </c>
      <c r="G460" s="9">
        <v>6994.7</v>
      </c>
      <c r="H460" s="10">
        <v>0.38500000000000001</v>
      </c>
      <c r="I460" s="11">
        <v>7.1</v>
      </c>
    </row>
    <row r="461" spans="1:9" x14ac:dyDescent="0.35">
      <c r="A461" s="2" t="s">
        <v>85</v>
      </c>
      <c r="B461" s="3">
        <v>45383</v>
      </c>
      <c r="C461" s="2">
        <v>18</v>
      </c>
      <c r="D461" s="2">
        <v>27901</v>
      </c>
      <c r="E461" s="17">
        <v>62259.13</v>
      </c>
      <c r="F461" s="11">
        <v>6.79</v>
      </c>
      <c r="G461" s="9">
        <v>4114</v>
      </c>
      <c r="H461" s="10">
        <v>0.33300000000000002</v>
      </c>
      <c r="I461" s="11">
        <v>6.3</v>
      </c>
    </row>
    <row r="462" spans="1:9" x14ac:dyDescent="0.35">
      <c r="A462" s="2" t="s">
        <v>85</v>
      </c>
      <c r="B462" s="3">
        <v>45413</v>
      </c>
      <c r="C462" s="2">
        <v>17</v>
      </c>
      <c r="D462" s="2">
        <v>25976</v>
      </c>
      <c r="E462" s="17">
        <v>54818.17</v>
      </c>
      <c r="F462" s="11">
        <v>6.58</v>
      </c>
      <c r="G462" s="9">
        <v>3963.3</v>
      </c>
      <c r="H462" s="10">
        <v>0.41199999999999998</v>
      </c>
      <c r="I462" s="11">
        <v>7.7</v>
      </c>
    </row>
    <row r="463" spans="1:9" x14ac:dyDescent="0.35">
      <c r="A463" s="2" t="s">
        <v>85</v>
      </c>
      <c r="B463" s="3">
        <v>45444</v>
      </c>
      <c r="C463" s="2">
        <v>19</v>
      </c>
      <c r="D463" s="2">
        <v>27852</v>
      </c>
      <c r="E463" s="17">
        <v>61535.96</v>
      </c>
      <c r="F463" s="11">
        <v>6.57</v>
      </c>
      <c r="G463" s="9">
        <v>4250.8999999999996</v>
      </c>
      <c r="H463" s="10">
        <v>0.36799999999999999</v>
      </c>
      <c r="I463" s="11">
        <v>6.3</v>
      </c>
    </row>
    <row r="464" spans="1:9" x14ac:dyDescent="0.35">
      <c r="A464" s="2" t="s">
        <v>85</v>
      </c>
      <c r="B464" s="3">
        <v>45474</v>
      </c>
      <c r="C464" s="2">
        <v>21</v>
      </c>
      <c r="D464" s="2">
        <v>29918</v>
      </c>
      <c r="E464" s="17">
        <v>67815.33</v>
      </c>
      <c r="F464" s="11">
        <v>6.34</v>
      </c>
      <c r="G464" s="9">
        <v>4736.8</v>
      </c>
      <c r="H464" s="10">
        <v>0.38100000000000001</v>
      </c>
      <c r="I464" s="11">
        <v>5.9</v>
      </c>
    </row>
    <row r="465" spans="1:9" x14ac:dyDescent="0.35">
      <c r="A465" s="2" t="s">
        <v>85</v>
      </c>
      <c r="B465" s="3">
        <v>45505</v>
      </c>
      <c r="C465" s="2">
        <v>14</v>
      </c>
      <c r="D465" s="2">
        <v>21192</v>
      </c>
      <c r="E465" s="17">
        <v>48667.57</v>
      </c>
      <c r="F465" s="11">
        <v>6.51</v>
      </c>
      <c r="G465" s="9">
        <v>3191.9</v>
      </c>
      <c r="H465" s="10">
        <v>0.35699999999999998</v>
      </c>
      <c r="I465" s="11">
        <v>6.5</v>
      </c>
    </row>
    <row r="466" spans="1:9" x14ac:dyDescent="0.35">
      <c r="A466" s="2" t="s">
        <v>85</v>
      </c>
      <c r="B466" s="3">
        <v>45536</v>
      </c>
      <c r="C466" s="2">
        <v>20</v>
      </c>
      <c r="D466" s="2">
        <v>27504</v>
      </c>
      <c r="E466" s="17">
        <v>65332.82</v>
      </c>
      <c r="F466" s="11">
        <v>6.41</v>
      </c>
      <c r="G466" s="9">
        <v>4380.6000000000004</v>
      </c>
      <c r="H466" s="10">
        <v>0.3</v>
      </c>
      <c r="I466" s="11">
        <v>6</v>
      </c>
    </row>
    <row r="467" spans="1:9" x14ac:dyDescent="0.35">
      <c r="A467" s="2" t="s">
        <v>85</v>
      </c>
      <c r="B467" s="3">
        <v>45566</v>
      </c>
      <c r="C467" s="2">
        <v>18</v>
      </c>
      <c r="D467" s="2">
        <v>22214</v>
      </c>
      <c r="E467" s="17">
        <v>49696.11</v>
      </c>
      <c r="F467" s="11">
        <v>6.45</v>
      </c>
      <c r="G467" s="9">
        <v>3457.6</v>
      </c>
      <c r="H467" s="10">
        <v>0.44400000000000001</v>
      </c>
      <c r="I467" s="11">
        <v>7.3</v>
      </c>
    </row>
    <row r="468" spans="1:9" x14ac:dyDescent="0.35">
      <c r="A468" s="2" t="s">
        <v>85</v>
      </c>
      <c r="B468" s="3">
        <v>45597</v>
      </c>
      <c r="C468" s="2">
        <v>17</v>
      </c>
      <c r="D468" s="2">
        <v>24117</v>
      </c>
      <c r="E468" s="17">
        <v>48364.05</v>
      </c>
      <c r="F468" s="11">
        <v>6.38</v>
      </c>
      <c r="G468" s="9">
        <v>3868.8</v>
      </c>
      <c r="H468" s="10">
        <v>0.35299999999999998</v>
      </c>
      <c r="I468" s="11">
        <v>6.4</v>
      </c>
    </row>
    <row r="469" spans="1:9" x14ac:dyDescent="0.35">
      <c r="A469" s="2" t="s">
        <v>85</v>
      </c>
      <c r="B469" s="3">
        <v>45627</v>
      </c>
      <c r="C469" s="2">
        <v>21</v>
      </c>
      <c r="D469" s="2">
        <v>26516</v>
      </c>
      <c r="E469" s="17">
        <v>57680.160000000003</v>
      </c>
      <c r="F469" s="11">
        <v>6.39</v>
      </c>
      <c r="G469" s="9">
        <v>4151.1000000000004</v>
      </c>
      <c r="H469" s="10">
        <v>0.47599999999999998</v>
      </c>
      <c r="I469" s="11">
        <v>7.3</v>
      </c>
    </row>
    <row r="470" spans="1:9" x14ac:dyDescent="0.35">
      <c r="A470" s="2" t="s">
        <v>89</v>
      </c>
      <c r="B470" s="3">
        <v>44562</v>
      </c>
      <c r="C470" s="2">
        <v>20</v>
      </c>
      <c r="D470" s="2">
        <v>30167</v>
      </c>
      <c r="E470" s="17">
        <v>71044.509999999995</v>
      </c>
      <c r="F470" s="11">
        <v>6.69</v>
      </c>
      <c r="G470" s="9">
        <v>4566.8999999999996</v>
      </c>
      <c r="H470" s="10">
        <v>0.4</v>
      </c>
      <c r="I470" s="11">
        <v>6.5</v>
      </c>
    </row>
    <row r="471" spans="1:9" x14ac:dyDescent="0.35">
      <c r="A471" s="2" t="s">
        <v>89</v>
      </c>
      <c r="B471" s="3">
        <v>44593</v>
      </c>
      <c r="C471" s="2">
        <v>11</v>
      </c>
      <c r="D471" s="2">
        <v>14700</v>
      </c>
      <c r="E471" s="17">
        <v>28262.75</v>
      </c>
      <c r="F471" s="11">
        <v>6.41</v>
      </c>
      <c r="G471" s="9">
        <v>2265.9</v>
      </c>
      <c r="H471" s="10">
        <v>0.54500000000000004</v>
      </c>
      <c r="I471" s="11">
        <v>6.4</v>
      </c>
    </row>
    <row r="472" spans="1:9" x14ac:dyDescent="0.35">
      <c r="A472" s="2" t="s">
        <v>89</v>
      </c>
      <c r="B472" s="3">
        <v>44621</v>
      </c>
      <c r="C472" s="2">
        <v>27</v>
      </c>
      <c r="D472" s="2">
        <v>40641</v>
      </c>
      <c r="E472" s="17">
        <v>87125.35</v>
      </c>
      <c r="F472" s="11">
        <v>6.54</v>
      </c>
      <c r="G472" s="9">
        <v>6245</v>
      </c>
      <c r="H472" s="10">
        <v>0.44400000000000001</v>
      </c>
      <c r="I472" s="11">
        <v>6.6</v>
      </c>
    </row>
    <row r="473" spans="1:9" x14ac:dyDescent="0.35">
      <c r="A473" s="2" t="s">
        <v>89</v>
      </c>
      <c r="B473" s="3">
        <v>44652</v>
      </c>
      <c r="C473" s="2">
        <v>17</v>
      </c>
      <c r="D473" s="2">
        <v>23843</v>
      </c>
      <c r="E473" s="17">
        <v>53500.72</v>
      </c>
      <c r="F473" s="11">
        <v>6.4</v>
      </c>
      <c r="G473" s="9">
        <v>3774.3</v>
      </c>
      <c r="H473" s="10">
        <v>0.23499999999999999</v>
      </c>
      <c r="I473" s="11">
        <v>8</v>
      </c>
    </row>
    <row r="474" spans="1:9" x14ac:dyDescent="0.35">
      <c r="A474" s="2" t="s">
        <v>89</v>
      </c>
      <c r="B474" s="3">
        <v>44682</v>
      </c>
      <c r="C474" s="2">
        <v>26</v>
      </c>
      <c r="D474" s="2">
        <v>38455</v>
      </c>
      <c r="E474" s="17">
        <v>86316.6</v>
      </c>
      <c r="F474" s="11">
        <v>6.71</v>
      </c>
      <c r="G474" s="9">
        <v>5805.9</v>
      </c>
      <c r="H474" s="10">
        <v>0.46200000000000002</v>
      </c>
      <c r="I474" s="11">
        <v>6.6</v>
      </c>
    </row>
    <row r="475" spans="1:9" x14ac:dyDescent="0.35">
      <c r="A475" s="2" t="s">
        <v>89</v>
      </c>
      <c r="B475" s="3">
        <v>44713</v>
      </c>
      <c r="C475" s="2">
        <v>17</v>
      </c>
      <c r="D475" s="2">
        <v>25745</v>
      </c>
      <c r="E475" s="17">
        <v>56002.59</v>
      </c>
      <c r="F475" s="11">
        <v>6.69</v>
      </c>
      <c r="G475" s="9">
        <v>3872</v>
      </c>
      <c r="H475" s="10">
        <v>0.47099999999999997</v>
      </c>
      <c r="I475" s="11">
        <v>8.1</v>
      </c>
    </row>
    <row r="476" spans="1:9" x14ac:dyDescent="0.35">
      <c r="A476" s="2" t="s">
        <v>89</v>
      </c>
      <c r="B476" s="3">
        <v>44743</v>
      </c>
      <c r="C476" s="2">
        <v>18</v>
      </c>
      <c r="D476" s="2">
        <v>26460</v>
      </c>
      <c r="E476" s="17">
        <v>58997.74</v>
      </c>
      <c r="F476" s="11">
        <v>6.68</v>
      </c>
      <c r="G476" s="9">
        <v>3998.8</v>
      </c>
      <c r="H476" s="10">
        <v>0.5</v>
      </c>
      <c r="I476" s="11">
        <v>6.4</v>
      </c>
    </row>
    <row r="477" spans="1:9" x14ac:dyDescent="0.35">
      <c r="A477" s="2" t="s">
        <v>89</v>
      </c>
      <c r="B477" s="3">
        <v>44774</v>
      </c>
      <c r="C477" s="2">
        <v>24</v>
      </c>
      <c r="D477" s="2">
        <v>31643</v>
      </c>
      <c r="E477" s="17">
        <v>72993.490000000005</v>
      </c>
      <c r="F477" s="11">
        <v>6.41</v>
      </c>
      <c r="G477" s="9">
        <v>5001.6000000000004</v>
      </c>
      <c r="H477" s="10">
        <v>0.5</v>
      </c>
      <c r="I477" s="11">
        <v>6.7</v>
      </c>
    </row>
    <row r="478" spans="1:9" x14ac:dyDescent="0.35">
      <c r="A478" s="2" t="s">
        <v>89</v>
      </c>
      <c r="B478" s="3">
        <v>44805</v>
      </c>
      <c r="C478" s="2">
        <v>22</v>
      </c>
      <c r="D478" s="2">
        <v>24613</v>
      </c>
      <c r="E478" s="17">
        <v>51084.13</v>
      </c>
      <c r="F478" s="11">
        <v>6.61</v>
      </c>
      <c r="G478" s="9">
        <v>3742.8</v>
      </c>
      <c r="H478" s="10">
        <v>0.45500000000000002</v>
      </c>
      <c r="I478" s="11">
        <v>7.6</v>
      </c>
    </row>
    <row r="479" spans="1:9" x14ac:dyDescent="0.35">
      <c r="A479" s="2" t="s">
        <v>89</v>
      </c>
      <c r="B479" s="3">
        <v>44835</v>
      </c>
      <c r="C479" s="2">
        <v>14</v>
      </c>
      <c r="D479" s="2">
        <v>23483</v>
      </c>
      <c r="E479" s="17">
        <v>51584.53</v>
      </c>
      <c r="F479" s="11">
        <v>6.14</v>
      </c>
      <c r="G479" s="9">
        <v>3896.3</v>
      </c>
      <c r="H479" s="10">
        <v>0.42899999999999999</v>
      </c>
      <c r="I479" s="11">
        <v>8.1999999999999993</v>
      </c>
    </row>
    <row r="480" spans="1:9" x14ac:dyDescent="0.35">
      <c r="A480" s="2" t="s">
        <v>89</v>
      </c>
      <c r="B480" s="3">
        <v>44866</v>
      </c>
      <c r="C480" s="2">
        <v>24</v>
      </c>
      <c r="D480" s="2">
        <v>24597</v>
      </c>
      <c r="E480" s="17">
        <v>52370.29</v>
      </c>
      <c r="F480" s="11">
        <v>6.45</v>
      </c>
      <c r="G480" s="9">
        <v>3771</v>
      </c>
      <c r="H480" s="10">
        <v>0.54200000000000004</v>
      </c>
      <c r="I480" s="11">
        <v>7.1</v>
      </c>
    </row>
    <row r="481" spans="1:9" x14ac:dyDescent="0.35">
      <c r="A481" s="2" t="s">
        <v>89</v>
      </c>
      <c r="B481" s="3">
        <v>44896</v>
      </c>
      <c r="C481" s="2">
        <v>20</v>
      </c>
      <c r="D481" s="2">
        <v>33853</v>
      </c>
      <c r="E481" s="17">
        <v>79541.53</v>
      </c>
      <c r="F481" s="11">
        <v>6.35</v>
      </c>
      <c r="G481" s="9">
        <v>5375.4</v>
      </c>
      <c r="H481" s="10">
        <v>0.35</v>
      </c>
      <c r="I481" s="11">
        <v>7.1</v>
      </c>
    </row>
    <row r="482" spans="1:9" x14ac:dyDescent="0.35">
      <c r="A482" s="2" t="s">
        <v>89</v>
      </c>
      <c r="B482" s="3">
        <v>44927</v>
      </c>
      <c r="C482" s="2">
        <v>15</v>
      </c>
      <c r="D482" s="2">
        <v>24783</v>
      </c>
      <c r="E482" s="17">
        <v>51630.26</v>
      </c>
      <c r="F482" s="11">
        <v>6.42</v>
      </c>
      <c r="G482" s="9">
        <v>3829.1</v>
      </c>
      <c r="H482" s="10">
        <v>0.4</v>
      </c>
      <c r="I482" s="11">
        <v>6.3</v>
      </c>
    </row>
    <row r="483" spans="1:9" x14ac:dyDescent="0.35">
      <c r="A483" s="2" t="s">
        <v>89</v>
      </c>
      <c r="B483" s="3">
        <v>44958</v>
      </c>
      <c r="C483" s="2">
        <v>17</v>
      </c>
      <c r="D483" s="2">
        <v>16474</v>
      </c>
      <c r="E483" s="17">
        <v>33446.559999999998</v>
      </c>
      <c r="F483" s="11">
        <v>6.6</v>
      </c>
      <c r="G483" s="9">
        <v>2528.9</v>
      </c>
      <c r="H483" s="10">
        <v>0.47099999999999997</v>
      </c>
      <c r="I483" s="11">
        <v>8</v>
      </c>
    </row>
    <row r="484" spans="1:9" x14ac:dyDescent="0.35">
      <c r="A484" s="2" t="s">
        <v>89</v>
      </c>
      <c r="B484" s="3">
        <v>44986</v>
      </c>
      <c r="C484" s="2">
        <v>15</v>
      </c>
      <c r="D484" s="2">
        <v>23050</v>
      </c>
      <c r="E484" s="17">
        <v>45204.98</v>
      </c>
      <c r="F484" s="11">
        <v>6.39</v>
      </c>
      <c r="G484" s="9">
        <v>3577.4</v>
      </c>
      <c r="H484" s="10">
        <v>0.46700000000000003</v>
      </c>
      <c r="I484" s="11">
        <v>7.1</v>
      </c>
    </row>
    <row r="485" spans="1:9" x14ac:dyDescent="0.35">
      <c r="A485" s="2" t="s">
        <v>89</v>
      </c>
      <c r="B485" s="3">
        <v>45017</v>
      </c>
      <c r="C485" s="2">
        <v>17</v>
      </c>
      <c r="D485" s="2">
        <v>22124</v>
      </c>
      <c r="E485" s="17">
        <v>52147.96</v>
      </c>
      <c r="F485" s="11">
        <v>6.14</v>
      </c>
      <c r="G485" s="9">
        <v>3568.1</v>
      </c>
      <c r="H485" s="10">
        <v>0.47099999999999997</v>
      </c>
      <c r="I485" s="11">
        <v>7.4</v>
      </c>
    </row>
    <row r="486" spans="1:9" x14ac:dyDescent="0.35">
      <c r="A486" s="2" t="s">
        <v>89</v>
      </c>
      <c r="B486" s="3">
        <v>45047</v>
      </c>
      <c r="C486" s="2">
        <v>22</v>
      </c>
      <c r="D486" s="2">
        <v>28937</v>
      </c>
      <c r="E486" s="17">
        <v>59349.74</v>
      </c>
      <c r="F486" s="11">
        <v>6.59</v>
      </c>
      <c r="G486" s="9">
        <v>4374.2</v>
      </c>
      <c r="H486" s="10">
        <v>0.59099999999999997</v>
      </c>
      <c r="I486" s="11">
        <v>6.9</v>
      </c>
    </row>
    <row r="487" spans="1:9" x14ac:dyDescent="0.35">
      <c r="A487" s="2" t="s">
        <v>89</v>
      </c>
      <c r="B487" s="3">
        <v>45078</v>
      </c>
      <c r="C487" s="2">
        <v>27</v>
      </c>
      <c r="D487" s="2">
        <v>47073</v>
      </c>
      <c r="E487" s="17">
        <v>97848.46</v>
      </c>
      <c r="F487" s="11">
        <v>6.58</v>
      </c>
      <c r="G487" s="9">
        <v>7122</v>
      </c>
      <c r="H487" s="10">
        <v>0.51900000000000002</v>
      </c>
      <c r="I487" s="11">
        <v>7.3</v>
      </c>
    </row>
    <row r="488" spans="1:9" x14ac:dyDescent="0.35">
      <c r="A488" s="2" t="s">
        <v>89</v>
      </c>
      <c r="B488" s="3">
        <v>45108</v>
      </c>
      <c r="C488" s="2">
        <v>15</v>
      </c>
      <c r="D488" s="2">
        <v>18968</v>
      </c>
      <c r="E488" s="17">
        <v>44655.56</v>
      </c>
      <c r="F488" s="11">
        <v>6.46</v>
      </c>
      <c r="G488" s="9">
        <v>3020.2</v>
      </c>
      <c r="H488" s="10">
        <v>0.4</v>
      </c>
      <c r="I488" s="11">
        <v>6.9</v>
      </c>
    </row>
    <row r="489" spans="1:9" x14ac:dyDescent="0.35">
      <c r="A489" s="2" t="s">
        <v>89</v>
      </c>
      <c r="B489" s="3">
        <v>45139</v>
      </c>
      <c r="C489" s="2">
        <v>20</v>
      </c>
      <c r="D489" s="2">
        <v>30629</v>
      </c>
      <c r="E489" s="17">
        <v>66568.240000000005</v>
      </c>
      <c r="F489" s="11">
        <v>6.72</v>
      </c>
      <c r="G489" s="9">
        <v>4539.5</v>
      </c>
      <c r="H489" s="10">
        <v>0.45</v>
      </c>
      <c r="I489" s="11">
        <v>7.4</v>
      </c>
    </row>
    <row r="490" spans="1:9" x14ac:dyDescent="0.35">
      <c r="A490" s="2" t="s">
        <v>89</v>
      </c>
      <c r="B490" s="3">
        <v>45170</v>
      </c>
      <c r="C490" s="2">
        <v>20</v>
      </c>
      <c r="D490" s="2">
        <v>29507</v>
      </c>
      <c r="E490" s="17">
        <v>67059.100000000006</v>
      </c>
      <c r="F490" s="11">
        <v>6.66</v>
      </c>
      <c r="G490" s="9">
        <v>4455.3999999999996</v>
      </c>
      <c r="H490" s="10">
        <v>0.35</v>
      </c>
      <c r="I490" s="11">
        <v>6.6</v>
      </c>
    </row>
    <row r="491" spans="1:9" x14ac:dyDescent="0.35">
      <c r="A491" s="2" t="s">
        <v>89</v>
      </c>
      <c r="B491" s="3">
        <v>45200</v>
      </c>
      <c r="C491" s="2">
        <v>19</v>
      </c>
      <c r="D491" s="2">
        <v>31025</v>
      </c>
      <c r="E491" s="17">
        <v>68824.47</v>
      </c>
      <c r="F491" s="11">
        <v>6.37</v>
      </c>
      <c r="G491" s="9">
        <v>4832.8999999999996</v>
      </c>
      <c r="H491" s="10">
        <v>0.52600000000000002</v>
      </c>
      <c r="I491" s="11">
        <v>6.6</v>
      </c>
    </row>
    <row r="492" spans="1:9" x14ac:dyDescent="0.35">
      <c r="A492" s="2" t="s">
        <v>89</v>
      </c>
      <c r="B492" s="3">
        <v>45231</v>
      </c>
      <c r="C492" s="2">
        <v>14</v>
      </c>
      <c r="D492" s="2">
        <v>25748</v>
      </c>
      <c r="E492" s="17">
        <v>56767.08</v>
      </c>
      <c r="F492" s="11">
        <v>6.22</v>
      </c>
      <c r="G492" s="9">
        <v>4128.1000000000004</v>
      </c>
      <c r="H492" s="10">
        <v>0.64300000000000002</v>
      </c>
      <c r="I492" s="11">
        <v>6.5</v>
      </c>
    </row>
    <row r="493" spans="1:9" x14ac:dyDescent="0.35">
      <c r="A493" s="2" t="s">
        <v>89</v>
      </c>
      <c r="B493" s="3">
        <v>45261</v>
      </c>
      <c r="C493" s="2">
        <v>22</v>
      </c>
      <c r="D493" s="2">
        <v>30245</v>
      </c>
      <c r="E493" s="17">
        <v>65736.38</v>
      </c>
      <c r="F493" s="11">
        <v>6.38</v>
      </c>
      <c r="G493" s="9">
        <v>4764.1000000000004</v>
      </c>
      <c r="H493" s="10">
        <v>0.40899999999999997</v>
      </c>
      <c r="I493" s="11">
        <v>6.4</v>
      </c>
    </row>
    <row r="494" spans="1:9" x14ac:dyDescent="0.35">
      <c r="A494" s="2" t="s">
        <v>89</v>
      </c>
      <c r="B494" s="3">
        <v>45292</v>
      </c>
      <c r="C494" s="2">
        <v>28</v>
      </c>
      <c r="D494" s="2">
        <v>50837</v>
      </c>
      <c r="E494" s="17">
        <v>104855.72</v>
      </c>
      <c r="F494" s="11">
        <v>6.46</v>
      </c>
      <c r="G494" s="9">
        <v>7967.7</v>
      </c>
      <c r="H494" s="10">
        <v>0.39300000000000002</v>
      </c>
      <c r="I494" s="11">
        <v>7.8</v>
      </c>
    </row>
    <row r="495" spans="1:9" x14ac:dyDescent="0.35">
      <c r="A495" s="2" t="s">
        <v>89</v>
      </c>
      <c r="B495" s="3">
        <v>45323</v>
      </c>
      <c r="C495" s="2">
        <v>18</v>
      </c>
      <c r="D495" s="2">
        <v>21684</v>
      </c>
      <c r="E495" s="17">
        <v>45517.61</v>
      </c>
      <c r="F495" s="11">
        <v>6.42</v>
      </c>
      <c r="G495" s="9">
        <v>3492.8</v>
      </c>
      <c r="H495" s="10">
        <v>0.27800000000000002</v>
      </c>
      <c r="I495" s="11">
        <v>7.7</v>
      </c>
    </row>
    <row r="496" spans="1:9" x14ac:dyDescent="0.35">
      <c r="A496" s="2" t="s">
        <v>89</v>
      </c>
      <c r="B496" s="3">
        <v>45352</v>
      </c>
      <c r="C496" s="2">
        <v>24</v>
      </c>
      <c r="D496" s="2">
        <v>26633</v>
      </c>
      <c r="E496" s="17">
        <v>60750</v>
      </c>
      <c r="F496" s="11">
        <v>6.4</v>
      </c>
      <c r="G496" s="9">
        <v>4132.3</v>
      </c>
      <c r="H496" s="10">
        <v>0.41699999999999998</v>
      </c>
      <c r="I496" s="11">
        <v>6.9</v>
      </c>
    </row>
    <row r="497" spans="1:9" x14ac:dyDescent="0.35">
      <c r="A497" s="2" t="s">
        <v>89</v>
      </c>
      <c r="B497" s="3">
        <v>45383</v>
      </c>
      <c r="C497" s="2">
        <v>23</v>
      </c>
      <c r="D497" s="2">
        <v>39148</v>
      </c>
      <c r="E497" s="17">
        <v>87033.42</v>
      </c>
      <c r="F497" s="11">
        <v>6.43</v>
      </c>
      <c r="G497" s="9">
        <v>6162.8</v>
      </c>
      <c r="H497" s="10">
        <v>0.34799999999999998</v>
      </c>
      <c r="I497" s="11">
        <v>7.2</v>
      </c>
    </row>
    <row r="498" spans="1:9" x14ac:dyDescent="0.35">
      <c r="A498" s="2" t="s">
        <v>89</v>
      </c>
      <c r="B498" s="3">
        <v>45413</v>
      </c>
      <c r="C498" s="2">
        <v>23</v>
      </c>
      <c r="D498" s="2">
        <v>37417</v>
      </c>
      <c r="E498" s="17">
        <v>80155.94</v>
      </c>
      <c r="F498" s="11">
        <v>6.47</v>
      </c>
      <c r="G498" s="9">
        <v>5861.1</v>
      </c>
      <c r="H498" s="10">
        <v>0.435</v>
      </c>
      <c r="I498" s="11">
        <v>7.6</v>
      </c>
    </row>
    <row r="499" spans="1:9" x14ac:dyDescent="0.35">
      <c r="A499" s="2" t="s">
        <v>89</v>
      </c>
      <c r="B499" s="3">
        <v>45444</v>
      </c>
      <c r="C499" s="2">
        <v>18</v>
      </c>
      <c r="D499" s="2">
        <v>27486</v>
      </c>
      <c r="E499" s="17">
        <v>59100.3</v>
      </c>
      <c r="F499" s="11">
        <v>6.54</v>
      </c>
      <c r="G499" s="9">
        <v>4267.1000000000004</v>
      </c>
      <c r="H499" s="10">
        <v>0.33300000000000002</v>
      </c>
      <c r="I499" s="11">
        <v>8.6</v>
      </c>
    </row>
    <row r="500" spans="1:9" x14ac:dyDescent="0.35">
      <c r="A500" s="2" t="s">
        <v>89</v>
      </c>
      <c r="B500" s="3">
        <v>45474</v>
      </c>
      <c r="C500" s="2">
        <v>21</v>
      </c>
      <c r="D500" s="2">
        <v>29909</v>
      </c>
      <c r="E500" s="17">
        <v>62553.98</v>
      </c>
      <c r="F500" s="11">
        <v>6.5</v>
      </c>
      <c r="G500" s="9">
        <v>4611.3</v>
      </c>
      <c r="H500" s="10">
        <v>0.52400000000000002</v>
      </c>
      <c r="I500" s="11">
        <v>5.8</v>
      </c>
    </row>
    <row r="501" spans="1:9" x14ac:dyDescent="0.35">
      <c r="A501" s="2" t="s">
        <v>89</v>
      </c>
      <c r="B501" s="3">
        <v>45505</v>
      </c>
      <c r="C501" s="2">
        <v>17</v>
      </c>
      <c r="D501" s="2">
        <v>21906</v>
      </c>
      <c r="E501" s="17">
        <v>50151.25</v>
      </c>
      <c r="F501" s="11">
        <v>6.39</v>
      </c>
      <c r="G501" s="9">
        <v>3477.5</v>
      </c>
      <c r="H501" s="10">
        <v>0.41199999999999998</v>
      </c>
      <c r="I501" s="11">
        <v>7.7</v>
      </c>
    </row>
    <row r="502" spans="1:9" x14ac:dyDescent="0.35">
      <c r="A502" s="2" t="s">
        <v>89</v>
      </c>
      <c r="B502" s="3">
        <v>45536</v>
      </c>
      <c r="C502" s="2">
        <v>16</v>
      </c>
      <c r="D502" s="2">
        <v>23976</v>
      </c>
      <c r="E502" s="17">
        <v>56859.1</v>
      </c>
      <c r="F502" s="11">
        <v>6.66</v>
      </c>
      <c r="G502" s="9">
        <v>3669.6</v>
      </c>
      <c r="H502" s="10">
        <v>0.56200000000000006</v>
      </c>
      <c r="I502" s="11">
        <v>7.4</v>
      </c>
    </row>
    <row r="503" spans="1:9" x14ac:dyDescent="0.35">
      <c r="A503" s="2" t="s">
        <v>89</v>
      </c>
      <c r="B503" s="3">
        <v>45566</v>
      </c>
      <c r="C503" s="2">
        <v>25</v>
      </c>
      <c r="D503" s="2">
        <v>40400</v>
      </c>
      <c r="E503" s="17">
        <v>88223.88</v>
      </c>
      <c r="F503" s="11">
        <v>6.55</v>
      </c>
      <c r="G503" s="9">
        <v>6290.2</v>
      </c>
      <c r="H503" s="10">
        <v>0.52</v>
      </c>
      <c r="I503" s="11">
        <v>6.5</v>
      </c>
    </row>
    <row r="504" spans="1:9" x14ac:dyDescent="0.35">
      <c r="A504" s="2" t="s">
        <v>89</v>
      </c>
      <c r="B504" s="3">
        <v>45597</v>
      </c>
      <c r="C504" s="2">
        <v>21</v>
      </c>
      <c r="D504" s="2">
        <v>34232</v>
      </c>
      <c r="E504" s="17">
        <v>76679.55</v>
      </c>
      <c r="F504" s="11">
        <v>6.46</v>
      </c>
      <c r="G504" s="9">
        <v>5338.1</v>
      </c>
      <c r="H504" s="10">
        <v>0.61899999999999999</v>
      </c>
      <c r="I504" s="11">
        <v>7.7</v>
      </c>
    </row>
    <row r="505" spans="1:9" x14ac:dyDescent="0.35">
      <c r="A505" s="2" t="s">
        <v>89</v>
      </c>
      <c r="B505" s="3">
        <v>45627</v>
      </c>
      <c r="C505" s="2">
        <v>15</v>
      </c>
      <c r="D505" s="2">
        <v>22240</v>
      </c>
      <c r="E505" s="17">
        <v>48631.11</v>
      </c>
      <c r="F505" s="11">
        <v>6.76</v>
      </c>
      <c r="G505" s="9">
        <v>3352.8</v>
      </c>
      <c r="H505" s="10">
        <v>0.33300000000000002</v>
      </c>
      <c r="I505" s="11">
        <v>6.1</v>
      </c>
    </row>
    <row r="506" spans="1:9" x14ac:dyDescent="0.35">
      <c r="A506" s="2" t="s">
        <v>93</v>
      </c>
      <c r="B506" s="3">
        <v>44562</v>
      </c>
      <c r="C506" s="2">
        <v>15</v>
      </c>
      <c r="D506" s="2">
        <v>17802</v>
      </c>
      <c r="E506" s="17">
        <v>39663.56</v>
      </c>
      <c r="F506" s="11">
        <v>6.74</v>
      </c>
      <c r="G506" s="9">
        <v>2685.5</v>
      </c>
      <c r="H506" s="10">
        <v>0.4</v>
      </c>
      <c r="I506" s="11">
        <v>8.1</v>
      </c>
    </row>
    <row r="507" spans="1:9" x14ac:dyDescent="0.35">
      <c r="A507" s="2" t="s">
        <v>93</v>
      </c>
      <c r="B507" s="3">
        <v>44593</v>
      </c>
      <c r="C507" s="2">
        <v>19</v>
      </c>
      <c r="D507" s="2">
        <v>29814</v>
      </c>
      <c r="E507" s="17">
        <v>61524.160000000003</v>
      </c>
      <c r="F507" s="11">
        <v>6.59</v>
      </c>
      <c r="G507" s="9">
        <v>4549.6000000000004</v>
      </c>
      <c r="H507" s="10">
        <v>0.42099999999999999</v>
      </c>
      <c r="I507" s="11">
        <v>7.5</v>
      </c>
    </row>
    <row r="508" spans="1:9" x14ac:dyDescent="0.35">
      <c r="A508" s="2" t="s">
        <v>93</v>
      </c>
      <c r="B508" s="3">
        <v>44621</v>
      </c>
      <c r="C508" s="2">
        <v>19</v>
      </c>
      <c r="D508" s="2">
        <v>26557</v>
      </c>
      <c r="E508" s="17">
        <v>54634.47</v>
      </c>
      <c r="F508" s="11">
        <v>6.39</v>
      </c>
      <c r="G508" s="9">
        <v>4188.3</v>
      </c>
      <c r="H508" s="10">
        <v>0.63200000000000001</v>
      </c>
      <c r="I508" s="11">
        <v>7.9</v>
      </c>
    </row>
    <row r="509" spans="1:9" x14ac:dyDescent="0.35">
      <c r="A509" s="2" t="s">
        <v>93</v>
      </c>
      <c r="B509" s="3">
        <v>44652</v>
      </c>
      <c r="C509" s="2">
        <v>14</v>
      </c>
      <c r="D509" s="2">
        <v>21970</v>
      </c>
      <c r="E509" s="17">
        <v>49846.89</v>
      </c>
      <c r="F509" s="11">
        <v>6.47</v>
      </c>
      <c r="G509" s="9">
        <v>3445.2</v>
      </c>
      <c r="H509" s="10">
        <v>0.5</v>
      </c>
      <c r="I509" s="11">
        <v>7.4</v>
      </c>
    </row>
    <row r="510" spans="1:9" x14ac:dyDescent="0.35">
      <c r="A510" s="2" t="s">
        <v>93</v>
      </c>
      <c r="B510" s="3">
        <v>44682</v>
      </c>
      <c r="C510" s="2">
        <v>27</v>
      </c>
      <c r="D510" s="2">
        <v>43302</v>
      </c>
      <c r="E510" s="17">
        <v>96016.48</v>
      </c>
      <c r="F510" s="11">
        <v>6.36</v>
      </c>
      <c r="G510" s="9">
        <v>6925.1</v>
      </c>
      <c r="H510" s="10">
        <v>0.40699999999999997</v>
      </c>
      <c r="I510" s="11">
        <v>7.9</v>
      </c>
    </row>
    <row r="511" spans="1:9" x14ac:dyDescent="0.35">
      <c r="A511" s="2" t="s">
        <v>93</v>
      </c>
      <c r="B511" s="3">
        <v>44713</v>
      </c>
      <c r="C511" s="2">
        <v>21</v>
      </c>
      <c r="D511" s="2">
        <v>32197</v>
      </c>
      <c r="E511" s="17">
        <v>72195.31</v>
      </c>
      <c r="F511" s="11">
        <v>6.42</v>
      </c>
      <c r="G511" s="9">
        <v>5016.3999999999996</v>
      </c>
      <c r="H511" s="10">
        <v>0.52400000000000002</v>
      </c>
      <c r="I511" s="11">
        <v>7.1</v>
      </c>
    </row>
    <row r="512" spans="1:9" x14ac:dyDescent="0.35">
      <c r="A512" s="2" t="s">
        <v>93</v>
      </c>
      <c r="B512" s="3">
        <v>44743</v>
      </c>
      <c r="C512" s="2">
        <v>13</v>
      </c>
      <c r="D512" s="2">
        <v>19124</v>
      </c>
      <c r="E512" s="17">
        <v>44656.22</v>
      </c>
      <c r="F512" s="11">
        <v>6.47</v>
      </c>
      <c r="G512" s="9">
        <v>2945.7</v>
      </c>
      <c r="H512" s="10">
        <v>0.53800000000000003</v>
      </c>
      <c r="I512" s="11">
        <v>7.8</v>
      </c>
    </row>
    <row r="513" spans="1:9" x14ac:dyDescent="0.35">
      <c r="A513" s="2" t="s">
        <v>93</v>
      </c>
      <c r="B513" s="3">
        <v>44774</v>
      </c>
      <c r="C513" s="2">
        <v>19</v>
      </c>
      <c r="D513" s="2">
        <v>26628</v>
      </c>
      <c r="E513" s="17">
        <v>56447.59</v>
      </c>
      <c r="F513" s="11">
        <v>6.41</v>
      </c>
      <c r="G513" s="9">
        <v>4216.8999999999996</v>
      </c>
      <c r="H513" s="10">
        <v>0.36799999999999999</v>
      </c>
      <c r="I513" s="11">
        <v>6.9</v>
      </c>
    </row>
    <row r="514" spans="1:9" x14ac:dyDescent="0.35">
      <c r="A514" s="2" t="s">
        <v>93</v>
      </c>
      <c r="B514" s="3">
        <v>44805</v>
      </c>
      <c r="C514" s="2">
        <v>13</v>
      </c>
      <c r="D514" s="2">
        <v>18199</v>
      </c>
      <c r="E514" s="17">
        <v>35927.620000000003</v>
      </c>
      <c r="F514" s="11">
        <v>6.49</v>
      </c>
      <c r="G514" s="9">
        <v>2822.2</v>
      </c>
      <c r="H514" s="10">
        <v>0.46200000000000002</v>
      </c>
      <c r="I514" s="11">
        <v>6.5</v>
      </c>
    </row>
    <row r="515" spans="1:9" x14ac:dyDescent="0.35">
      <c r="A515" s="2" t="s">
        <v>93</v>
      </c>
      <c r="B515" s="3">
        <v>44835</v>
      </c>
      <c r="C515" s="2">
        <v>12</v>
      </c>
      <c r="D515" s="2">
        <v>19609</v>
      </c>
      <c r="E515" s="17">
        <v>43107.16</v>
      </c>
      <c r="F515" s="11">
        <v>6.26</v>
      </c>
      <c r="G515" s="9">
        <v>3138.9</v>
      </c>
      <c r="H515" s="10">
        <v>0.25</v>
      </c>
      <c r="I515" s="11">
        <v>7.6</v>
      </c>
    </row>
    <row r="516" spans="1:9" x14ac:dyDescent="0.35">
      <c r="A516" s="2" t="s">
        <v>93</v>
      </c>
      <c r="B516" s="3">
        <v>44866</v>
      </c>
      <c r="C516" s="2">
        <v>15</v>
      </c>
      <c r="D516" s="2">
        <v>22124</v>
      </c>
      <c r="E516" s="17">
        <v>49211.33</v>
      </c>
      <c r="F516" s="11">
        <v>6.36</v>
      </c>
      <c r="G516" s="9">
        <v>3491.5</v>
      </c>
      <c r="H516" s="10">
        <v>0.4</v>
      </c>
      <c r="I516" s="11">
        <v>8</v>
      </c>
    </row>
    <row r="517" spans="1:9" x14ac:dyDescent="0.35">
      <c r="A517" s="2" t="s">
        <v>93</v>
      </c>
      <c r="B517" s="3">
        <v>44896</v>
      </c>
      <c r="C517" s="2">
        <v>32</v>
      </c>
      <c r="D517" s="2">
        <v>46228</v>
      </c>
      <c r="E517" s="17">
        <v>102164.17</v>
      </c>
      <c r="F517" s="11">
        <v>6.63</v>
      </c>
      <c r="G517" s="9">
        <v>7088.7</v>
      </c>
      <c r="H517" s="10">
        <v>0.438</v>
      </c>
      <c r="I517" s="11">
        <v>7.5</v>
      </c>
    </row>
    <row r="518" spans="1:9" x14ac:dyDescent="0.35">
      <c r="A518" s="2" t="s">
        <v>93</v>
      </c>
      <c r="B518" s="3">
        <v>44927</v>
      </c>
      <c r="C518" s="2">
        <v>16</v>
      </c>
      <c r="D518" s="2">
        <v>22311</v>
      </c>
      <c r="E518" s="17">
        <v>38855.24</v>
      </c>
      <c r="F518" s="11">
        <v>6.32</v>
      </c>
      <c r="G518" s="9">
        <v>3556.1</v>
      </c>
      <c r="H518" s="10">
        <v>0.375</v>
      </c>
      <c r="I518" s="11">
        <v>5.8</v>
      </c>
    </row>
    <row r="519" spans="1:9" x14ac:dyDescent="0.35">
      <c r="A519" s="2" t="s">
        <v>93</v>
      </c>
      <c r="B519" s="3">
        <v>44958</v>
      </c>
      <c r="C519" s="2">
        <v>13</v>
      </c>
      <c r="D519" s="2">
        <v>23752</v>
      </c>
      <c r="E519" s="17">
        <v>52788.74</v>
      </c>
      <c r="F519" s="11">
        <v>6.52</v>
      </c>
      <c r="G519" s="9">
        <v>3683.8</v>
      </c>
      <c r="H519" s="10">
        <v>0.308</v>
      </c>
      <c r="I519" s="11">
        <v>7.9</v>
      </c>
    </row>
    <row r="520" spans="1:9" x14ac:dyDescent="0.35">
      <c r="A520" s="2" t="s">
        <v>93</v>
      </c>
      <c r="B520" s="3">
        <v>44986</v>
      </c>
      <c r="C520" s="2">
        <v>19</v>
      </c>
      <c r="D520" s="2">
        <v>23226</v>
      </c>
      <c r="E520" s="17">
        <v>50803.12</v>
      </c>
      <c r="F520" s="11">
        <v>6.55</v>
      </c>
      <c r="G520" s="9">
        <v>3532.2</v>
      </c>
      <c r="H520" s="10">
        <v>0.42099999999999999</v>
      </c>
      <c r="I520" s="11">
        <v>7.7</v>
      </c>
    </row>
    <row r="521" spans="1:9" x14ac:dyDescent="0.35">
      <c r="A521" s="2" t="s">
        <v>93</v>
      </c>
      <c r="B521" s="3">
        <v>45017</v>
      </c>
      <c r="C521" s="2">
        <v>16</v>
      </c>
      <c r="D521" s="2">
        <v>23485</v>
      </c>
      <c r="E521" s="17">
        <v>48559.66</v>
      </c>
      <c r="F521" s="11">
        <v>6.37</v>
      </c>
      <c r="G521" s="9">
        <v>3715.9</v>
      </c>
      <c r="H521" s="10">
        <v>0.68799999999999994</v>
      </c>
      <c r="I521" s="11">
        <v>6.2</v>
      </c>
    </row>
    <row r="522" spans="1:9" x14ac:dyDescent="0.35">
      <c r="A522" s="2" t="s">
        <v>93</v>
      </c>
      <c r="B522" s="3">
        <v>45047</v>
      </c>
      <c r="C522" s="2">
        <v>18</v>
      </c>
      <c r="D522" s="2">
        <v>29875</v>
      </c>
      <c r="E522" s="17">
        <v>63024.3</v>
      </c>
      <c r="F522" s="11">
        <v>6.31</v>
      </c>
      <c r="G522" s="9">
        <v>4841.6000000000004</v>
      </c>
      <c r="H522" s="10">
        <v>0.5</v>
      </c>
      <c r="I522" s="11">
        <v>6.9</v>
      </c>
    </row>
    <row r="523" spans="1:9" x14ac:dyDescent="0.35">
      <c r="A523" s="2" t="s">
        <v>93</v>
      </c>
      <c r="B523" s="3">
        <v>45078</v>
      </c>
      <c r="C523" s="2">
        <v>17</v>
      </c>
      <c r="D523" s="2">
        <v>26947</v>
      </c>
      <c r="E523" s="17">
        <v>59850.96</v>
      </c>
      <c r="F523" s="11">
        <v>6.62</v>
      </c>
      <c r="G523" s="9">
        <v>4022.5</v>
      </c>
      <c r="H523" s="10">
        <v>0.35299999999999998</v>
      </c>
      <c r="I523" s="11">
        <v>7.2</v>
      </c>
    </row>
    <row r="524" spans="1:9" x14ac:dyDescent="0.35">
      <c r="A524" s="2" t="s">
        <v>93</v>
      </c>
      <c r="B524" s="3">
        <v>45108</v>
      </c>
      <c r="C524" s="2">
        <v>11</v>
      </c>
      <c r="D524" s="2">
        <v>9864</v>
      </c>
      <c r="E524" s="17">
        <v>21466.3</v>
      </c>
      <c r="F524" s="11">
        <v>6.42</v>
      </c>
      <c r="G524" s="9">
        <v>1510.2</v>
      </c>
      <c r="H524" s="10">
        <v>0.36399999999999999</v>
      </c>
      <c r="I524" s="11">
        <v>8.8000000000000007</v>
      </c>
    </row>
    <row r="525" spans="1:9" x14ac:dyDescent="0.35">
      <c r="A525" s="2" t="s">
        <v>93</v>
      </c>
      <c r="B525" s="3">
        <v>45139</v>
      </c>
      <c r="C525" s="2">
        <v>14</v>
      </c>
      <c r="D525" s="2">
        <v>18265</v>
      </c>
      <c r="E525" s="17">
        <v>34975.339999999997</v>
      </c>
      <c r="F525" s="11">
        <v>6.41</v>
      </c>
      <c r="G525" s="9">
        <v>2944.6</v>
      </c>
      <c r="H525" s="10">
        <v>0.5</v>
      </c>
      <c r="I525" s="11">
        <v>7</v>
      </c>
    </row>
    <row r="526" spans="1:9" x14ac:dyDescent="0.35">
      <c r="A526" s="2" t="s">
        <v>93</v>
      </c>
      <c r="B526" s="3">
        <v>45170</v>
      </c>
      <c r="C526" s="2">
        <v>17</v>
      </c>
      <c r="D526" s="2">
        <v>20424</v>
      </c>
      <c r="E526" s="17">
        <v>42247.81</v>
      </c>
      <c r="F526" s="11">
        <v>6.47</v>
      </c>
      <c r="G526" s="9">
        <v>3173.1</v>
      </c>
      <c r="H526" s="10">
        <v>0.64700000000000002</v>
      </c>
      <c r="I526" s="11">
        <v>7.8</v>
      </c>
    </row>
    <row r="527" spans="1:9" x14ac:dyDescent="0.35">
      <c r="A527" s="2" t="s">
        <v>93</v>
      </c>
      <c r="B527" s="3">
        <v>45200</v>
      </c>
      <c r="C527" s="2">
        <v>20</v>
      </c>
      <c r="D527" s="2">
        <v>29624</v>
      </c>
      <c r="E527" s="17">
        <v>63360.78</v>
      </c>
      <c r="F527" s="11">
        <v>6.49</v>
      </c>
      <c r="G527" s="9">
        <v>4582.2</v>
      </c>
      <c r="H527" s="10">
        <v>0.2</v>
      </c>
      <c r="I527" s="11">
        <v>7.7</v>
      </c>
    </row>
    <row r="528" spans="1:9" x14ac:dyDescent="0.35">
      <c r="A528" s="2" t="s">
        <v>93</v>
      </c>
      <c r="B528" s="3">
        <v>45231</v>
      </c>
      <c r="C528" s="2">
        <v>11</v>
      </c>
      <c r="D528" s="2">
        <v>15036</v>
      </c>
      <c r="E528" s="17">
        <v>36776.050000000003</v>
      </c>
      <c r="F528" s="11">
        <v>6.56</v>
      </c>
      <c r="G528" s="9">
        <v>2331.8000000000002</v>
      </c>
      <c r="H528" s="10">
        <v>0.63600000000000001</v>
      </c>
      <c r="I528" s="11">
        <v>6.4</v>
      </c>
    </row>
    <row r="529" spans="1:9" x14ac:dyDescent="0.35">
      <c r="A529" s="2" t="s">
        <v>93</v>
      </c>
      <c r="B529" s="3">
        <v>45261</v>
      </c>
      <c r="C529" s="2">
        <v>24</v>
      </c>
      <c r="D529" s="2">
        <v>36319</v>
      </c>
      <c r="E529" s="17">
        <v>71380.070000000007</v>
      </c>
      <c r="F529" s="11">
        <v>6.54</v>
      </c>
      <c r="G529" s="9">
        <v>5577.5</v>
      </c>
      <c r="H529" s="10">
        <v>0.33300000000000002</v>
      </c>
      <c r="I529" s="11">
        <v>7.6</v>
      </c>
    </row>
    <row r="530" spans="1:9" x14ac:dyDescent="0.35">
      <c r="A530" s="2" t="s">
        <v>93</v>
      </c>
      <c r="B530" s="3">
        <v>45292</v>
      </c>
      <c r="C530" s="2">
        <v>17</v>
      </c>
      <c r="D530" s="2">
        <v>21905</v>
      </c>
      <c r="E530" s="17">
        <v>49481.02</v>
      </c>
      <c r="F530" s="11">
        <v>6.55</v>
      </c>
      <c r="G530" s="9">
        <v>3435.8</v>
      </c>
      <c r="H530" s="10">
        <v>0.47099999999999997</v>
      </c>
      <c r="I530" s="11">
        <v>7.7</v>
      </c>
    </row>
    <row r="531" spans="1:9" x14ac:dyDescent="0.35">
      <c r="A531" s="2" t="s">
        <v>93</v>
      </c>
      <c r="B531" s="3">
        <v>45323</v>
      </c>
      <c r="C531" s="2">
        <v>20</v>
      </c>
      <c r="D531" s="2">
        <v>23780</v>
      </c>
      <c r="E531" s="17">
        <v>53550.83</v>
      </c>
      <c r="F531" s="11">
        <v>6.61</v>
      </c>
      <c r="G531" s="9">
        <v>3676.8</v>
      </c>
      <c r="H531" s="10">
        <v>0.55000000000000004</v>
      </c>
      <c r="I531" s="11">
        <v>6.5</v>
      </c>
    </row>
    <row r="532" spans="1:9" x14ac:dyDescent="0.35">
      <c r="A532" s="2" t="s">
        <v>93</v>
      </c>
      <c r="B532" s="3">
        <v>45352</v>
      </c>
      <c r="C532" s="2">
        <v>17</v>
      </c>
      <c r="D532" s="2">
        <v>23001</v>
      </c>
      <c r="E532" s="17">
        <v>48699.91</v>
      </c>
      <c r="F532" s="11">
        <v>6.74</v>
      </c>
      <c r="G532" s="9">
        <v>3404.7</v>
      </c>
      <c r="H532" s="10">
        <v>0.47099999999999997</v>
      </c>
      <c r="I532" s="11">
        <v>6.9</v>
      </c>
    </row>
    <row r="533" spans="1:9" x14ac:dyDescent="0.35">
      <c r="A533" s="2" t="s">
        <v>93</v>
      </c>
      <c r="B533" s="3">
        <v>45383</v>
      </c>
      <c r="C533" s="2">
        <v>25</v>
      </c>
      <c r="D533" s="2">
        <v>36302</v>
      </c>
      <c r="E533" s="17">
        <v>78901.55</v>
      </c>
      <c r="F533" s="11">
        <v>6.52</v>
      </c>
      <c r="G533" s="9">
        <v>5742.8</v>
      </c>
      <c r="H533" s="10">
        <v>0.36</v>
      </c>
      <c r="I533" s="11">
        <v>7.9</v>
      </c>
    </row>
    <row r="534" spans="1:9" x14ac:dyDescent="0.35">
      <c r="A534" s="2" t="s">
        <v>93</v>
      </c>
      <c r="B534" s="3">
        <v>45413</v>
      </c>
      <c r="C534" s="2">
        <v>27</v>
      </c>
      <c r="D534" s="2">
        <v>35455</v>
      </c>
      <c r="E534" s="17">
        <v>76033.55</v>
      </c>
      <c r="F534" s="11">
        <v>6.72</v>
      </c>
      <c r="G534" s="9">
        <v>5288.4</v>
      </c>
      <c r="H534" s="10">
        <v>0.40699999999999997</v>
      </c>
      <c r="I534" s="11">
        <v>6.4</v>
      </c>
    </row>
    <row r="535" spans="1:9" x14ac:dyDescent="0.35">
      <c r="A535" s="2" t="s">
        <v>93</v>
      </c>
      <c r="B535" s="3">
        <v>45444</v>
      </c>
      <c r="C535" s="2">
        <v>16</v>
      </c>
      <c r="D535" s="2">
        <v>23990</v>
      </c>
      <c r="E535" s="17">
        <v>51733.96</v>
      </c>
      <c r="F535" s="11">
        <v>6.62</v>
      </c>
      <c r="G535" s="9">
        <v>3746.3</v>
      </c>
      <c r="H535" s="10">
        <v>0.375</v>
      </c>
      <c r="I535" s="11">
        <v>6.5</v>
      </c>
    </row>
    <row r="536" spans="1:9" x14ac:dyDescent="0.35">
      <c r="A536" s="2" t="s">
        <v>93</v>
      </c>
      <c r="B536" s="3">
        <v>45474</v>
      </c>
      <c r="C536" s="2">
        <v>17</v>
      </c>
      <c r="D536" s="2">
        <v>30902</v>
      </c>
      <c r="E536" s="17">
        <v>63050.36</v>
      </c>
      <c r="F536" s="11">
        <v>6.6</v>
      </c>
      <c r="G536" s="9">
        <v>4743.7</v>
      </c>
      <c r="H536" s="10">
        <v>0.58799999999999997</v>
      </c>
      <c r="I536" s="11">
        <v>7.4</v>
      </c>
    </row>
    <row r="537" spans="1:9" x14ac:dyDescent="0.35">
      <c r="A537" s="2" t="s">
        <v>93</v>
      </c>
      <c r="B537" s="3">
        <v>45505</v>
      </c>
      <c r="C537" s="2">
        <v>19</v>
      </c>
      <c r="D537" s="2">
        <v>21690</v>
      </c>
      <c r="E537" s="17">
        <v>43872.54</v>
      </c>
      <c r="F537" s="11">
        <v>6.68</v>
      </c>
      <c r="G537" s="9">
        <v>3248.9</v>
      </c>
      <c r="H537" s="10">
        <v>0.63200000000000001</v>
      </c>
      <c r="I537" s="11">
        <v>7.9</v>
      </c>
    </row>
    <row r="538" spans="1:9" x14ac:dyDescent="0.35">
      <c r="A538" s="2" t="s">
        <v>93</v>
      </c>
      <c r="B538" s="3">
        <v>45536</v>
      </c>
      <c r="C538" s="2">
        <v>22</v>
      </c>
      <c r="D538" s="2">
        <v>38143</v>
      </c>
      <c r="E538" s="17">
        <v>79616.62</v>
      </c>
      <c r="F538" s="11">
        <v>6.39</v>
      </c>
      <c r="G538" s="9">
        <v>5987.3</v>
      </c>
      <c r="H538" s="10">
        <v>0.40899999999999997</v>
      </c>
      <c r="I538" s="11">
        <v>7.8</v>
      </c>
    </row>
    <row r="539" spans="1:9" x14ac:dyDescent="0.35">
      <c r="A539" s="2" t="s">
        <v>93</v>
      </c>
      <c r="B539" s="3">
        <v>45566</v>
      </c>
      <c r="C539" s="2">
        <v>21</v>
      </c>
      <c r="D539" s="2">
        <v>23725</v>
      </c>
      <c r="E539" s="17">
        <v>48250.98</v>
      </c>
      <c r="F539" s="11">
        <v>6.69</v>
      </c>
      <c r="G539" s="9">
        <v>3484.2</v>
      </c>
      <c r="H539" s="10">
        <v>0.47599999999999998</v>
      </c>
      <c r="I539" s="11">
        <v>6.9</v>
      </c>
    </row>
    <row r="540" spans="1:9" x14ac:dyDescent="0.35">
      <c r="A540" s="2" t="s">
        <v>93</v>
      </c>
      <c r="B540" s="3">
        <v>45597</v>
      </c>
      <c r="C540" s="2">
        <v>14</v>
      </c>
      <c r="D540" s="2">
        <v>19467</v>
      </c>
      <c r="E540" s="17">
        <v>43611.99</v>
      </c>
      <c r="F540" s="11">
        <v>6.51</v>
      </c>
      <c r="G540" s="9">
        <v>3058.7</v>
      </c>
      <c r="H540" s="10">
        <v>0.35699999999999998</v>
      </c>
      <c r="I540" s="11">
        <v>7.8</v>
      </c>
    </row>
    <row r="541" spans="1:9" x14ac:dyDescent="0.35">
      <c r="A541" s="2" t="s">
        <v>93</v>
      </c>
      <c r="B541" s="3">
        <v>45627</v>
      </c>
      <c r="C541" s="2">
        <v>22</v>
      </c>
      <c r="D541" s="2">
        <v>31686</v>
      </c>
      <c r="E541" s="17">
        <v>71974.39</v>
      </c>
      <c r="F541" s="11">
        <v>6.6</v>
      </c>
      <c r="G541" s="9">
        <v>4888.8999999999996</v>
      </c>
      <c r="H541" s="10">
        <v>0.72699999999999998</v>
      </c>
      <c r="I541" s="11">
        <v>7.7</v>
      </c>
    </row>
    <row r="542" spans="1:9" x14ac:dyDescent="0.35">
      <c r="A542" s="2" t="s">
        <v>98</v>
      </c>
      <c r="B542" s="3">
        <v>44562</v>
      </c>
      <c r="C542" s="2">
        <v>15</v>
      </c>
      <c r="D542" s="2">
        <v>21140</v>
      </c>
      <c r="E542" s="17">
        <v>45453.13</v>
      </c>
      <c r="F542" s="11">
        <v>6.55</v>
      </c>
      <c r="G542" s="9">
        <v>3319.2</v>
      </c>
      <c r="H542" s="10">
        <v>0.4</v>
      </c>
      <c r="I542" s="11">
        <v>8</v>
      </c>
    </row>
    <row r="543" spans="1:9" x14ac:dyDescent="0.35">
      <c r="A543" s="2" t="s">
        <v>98</v>
      </c>
      <c r="B543" s="3">
        <v>44593</v>
      </c>
      <c r="C543" s="2">
        <v>18</v>
      </c>
      <c r="D543" s="2">
        <v>24665</v>
      </c>
      <c r="E543" s="17">
        <v>52270.44</v>
      </c>
      <c r="F543" s="11">
        <v>6.52</v>
      </c>
      <c r="G543" s="9">
        <v>3812.4</v>
      </c>
      <c r="H543" s="10">
        <v>0.55600000000000005</v>
      </c>
      <c r="I543" s="11">
        <v>7.1</v>
      </c>
    </row>
    <row r="544" spans="1:9" x14ac:dyDescent="0.35">
      <c r="A544" s="2" t="s">
        <v>98</v>
      </c>
      <c r="B544" s="3">
        <v>44621</v>
      </c>
      <c r="C544" s="2">
        <v>18</v>
      </c>
      <c r="D544" s="2">
        <v>27733</v>
      </c>
      <c r="E544" s="17">
        <v>61565.78</v>
      </c>
      <c r="F544" s="11">
        <v>6.45</v>
      </c>
      <c r="G544" s="9">
        <v>4382</v>
      </c>
      <c r="H544" s="10">
        <v>0.55600000000000005</v>
      </c>
      <c r="I544" s="11">
        <v>5.0999999999999996</v>
      </c>
    </row>
    <row r="545" spans="1:9" x14ac:dyDescent="0.35">
      <c r="A545" s="2" t="s">
        <v>98</v>
      </c>
      <c r="B545" s="3">
        <v>44652</v>
      </c>
      <c r="C545" s="2">
        <v>18</v>
      </c>
      <c r="D545" s="2">
        <v>16526</v>
      </c>
      <c r="E545" s="17">
        <v>35617.81</v>
      </c>
      <c r="F545" s="11">
        <v>6.56</v>
      </c>
      <c r="G545" s="9">
        <v>2499.5</v>
      </c>
      <c r="H545" s="10">
        <v>0.55600000000000005</v>
      </c>
      <c r="I545" s="11">
        <v>7.5</v>
      </c>
    </row>
    <row r="546" spans="1:9" x14ac:dyDescent="0.35">
      <c r="A546" s="2" t="s">
        <v>98</v>
      </c>
      <c r="B546" s="3">
        <v>44682</v>
      </c>
      <c r="C546" s="2">
        <v>19</v>
      </c>
      <c r="D546" s="2">
        <v>25699</v>
      </c>
      <c r="E546" s="17">
        <v>57584.74</v>
      </c>
      <c r="F546" s="11">
        <v>6.42</v>
      </c>
      <c r="G546" s="9">
        <v>4084.5</v>
      </c>
      <c r="H546" s="10">
        <v>0.68400000000000005</v>
      </c>
      <c r="I546" s="11">
        <v>7.2</v>
      </c>
    </row>
    <row r="547" spans="1:9" x14ac:dyDescent="0.35">
      <c r="A547" s="2" t="s">
        <v>98</v>
      </c>
      <c r="B547" s="3">
        <v>44713</v>
      </c>
      <c r="C547" s="2">
        <v>12</v>
      </c>
      <c r="D547" s="2">
        <v>14119</v>
      </c>
      <c r="E547" s="17">
        <v>29963.47</v>
      </c>
      <c r="F547" s="11">
        <v>6.63</v>
      </c>
      <c r="G547" s="9">
        <v>2144.6</v>
      </c>
      <c r="H547" s="10">
        <v>0.41699999999999998</v>
      </c>
      <c r="I547" s="11">
        <v>8.5</v>
      </c>
    </row>
    <row r="548" spans="1:9" x14ac:dyDescent="0.35">
      <c r="A548" s="2" t="s">
        <v>98</v>
      </c>
      <c r="B548" s="3">
        <v>44743</v>
      </c>
      <c r="C548" s="2">
        <v>18</v>
      </c>
      <c r="D548" s="2">
        <v>28493</v>
      </c>
      <c r="E548" s="17">
        <v>61634.41</v>
      </c>
      <c r="F548" s="11">
        <v>6.25</v>
      </c>
      <c r="G548" s="9">
        <v>4616</v>
      </c>
      <c r="H548" s="10">
        <v>0.5</v>
      </c>
      <c r="I548" s="11">
        <v>6.5</v>
      </c>
    </row>
    <row r="549" spans="1:9" x14ac:dyDescent="0.35">
      <c r="A549" s="2" t="s">
        <v>98</v>
      </c>
      <c r="B549" s="3">
        <v>44774</v>
      </c>
      <c r="C549" s="2">
        <v>20</v>
      </c>
      <c r="D549" s="2">
        <v>32804</v>
      </c>
      <c r="E549" s="17">
        <v>72407.320000000007</v>
      </c>
      <c r="F549" s="11">
        <v>6.41</v>
      </c>
      <c r="G549" s="9">
        <v>5166.3999999999996</v>
      </c>
      <c r="H549" s="10">
        <v>0.7</v>
      </c>
      <c r="I549" s="11">
        <v>7.1</v>
      </c>
    </row>
    <row r="550" spans="1:9" x14ac:dyDescent="0.35">
      <c r="A550" s="2" t="s">
        <v>98</v>
      </c>
      <c r="B550" s="3">
        <v>44805</v>
      </c>
      <c r="C550" s="2">
        <v>28</v>
      </c>
      <c r="D550" s="2">
        <v>45714</v>
      </c>
      <c r="E550" s="17">
        <v>106386.72</v>
      </c>
      <c r="F550" s="11">
        <v>6.36</v>
      </c>
      <c r="G550" s="9">
        <v>7192</v>
      </c>
      <c r="H550" s="10">
        <v>0.46400000000000002</v>
      </c>
      <c r="I550" s="11">
        <v>6.7</v>
      </c>
    </row>
    <row r="551" spans="1:9" x14ac:dyDescent="0.35">
      <c r="A551" s="2" t="s">
        <v>98</v>
      </c>
      <c r="B551" s="3">
        <v>44835</v>
      </c>
      <c r="C551" s="2">
        <v>19</v>
      </c>
      <c r="D551" s="2">
        <v>22032</v>
      </c>
      <c r="E551" s="17">
        <v>42106.97</v>
      </c>
      <c r="F551" s="11">
        <v>6.54</v>
      </c>
      <c r="G551" s="9">
        <v>3306.9</v>
      </c>
      <c r="H551" s="10">
        <v>0.21099999999999999</v>
      </c>
      <c r="I551" s="11">
        <v>6.7</v>
      </c>
    </row>
    <row r="552" spans="1:9" x14ac:dyDescent="0.35">
      <c r="A552" s="2" t="s">
        <v>98</v>
      </c>
      <c r="B552" s="3">
        <v>44866</v>
      </c>
      <c r="C552" s="2">
        <v>20</v>
      </c>
      <c r="D552" s="2">
        <v>31990</v>
      </c>
      <c r="E552" s="17">
        <v>71887.490000000005</v>
      </c>
      <c r="F552" s="11">
        <v>6.64</v>
      </c>
      <c r="G552" s="9">
        <v>4859.1000000000004</v>
      </c>
      <c r="H552" s="10">
        <v>0.4</v>
      </c>
      <c r="I552" s="11">
        <v>7.1</v>
      </c>
    </row>
    <row r="553" spans="1:9" x14ac:dyDescent="0.35">
      <c r="A553" s="2" t="s">
        <v>98</v>
      </c>
      <c r="B553" s="3">
        <v>44896</v>
      </c>
      <c r="C553" s="2">
        <v>19</v>
      </c>
      <c r="D553" s="2">
        <v>18857</v>
      </c>
      <c r="E553" s="17">
        <v>38263</v>
      </c>
      <c r="F553" s="11">
        <v>6.5</v>
      </c>
      <c r="G553" s="9">
        <v>2944.9</v>
      </c>
      <c r="H553" s="10">
        <v>0.26300000000000001</v>
      </c>
      <c r="I553" s="11">
        <v>6.1</v>
      </c>
    </row>
    <row r="554" spans="1:9" x14ac:dyDescent="0.35">
      <c r="A554" s="2" t="s">
        <v>98</v>
      </c>
      <c r="B554" s="3">
        <v>44927</v>
      </c>
      <c r="C554" s="2">
        <v>11</v>
      </c>
      <c r="D554" s="2">
        <v>17670</v>
      </c>
      <c r="E554" s="17">
        <v>37659.81</v>
      </c>
      <c r="F554" s="11">
        <v>6.46</v>
      </c>
      <c r="G554" s="9">
        <v>2719.6</v>
      </c>
      <c r="H554" s="10">
        <v>0.182</v>
      </c>
      <c r="I554" s="11">
        <v>7.1</v>
      </c>
    </row>
    <row r="555" spans="1:9" x14ac:dyDescent="0.35">
      <c r="A555" s="2" t="s">
        <v>98</v>
      </c>
      <c r="B555" s="3">
        <v>44958</v>
      </c>
      <c r="C555" s="2">
        <v>18</v>
      </c>
      <c r="D555" s="2">
        <v>18235</v>
      </c>
      <c r="E555" s="17">
        <v>36592.67</v>
      </c>
      <c r="F555" s="11">
        <v>6.51</v>
      </c>
      <c r="G555" s="9">
        <v>2852.6</v>
      </c>
      <c r="H555" s="10">
        <v>0.27800000000000002</v>
      </c>
      <c r="I555" s="11">
        <v>6.7</v>
      </c>
    </row>
    <row r="556" spans="1:9" x14ac:dyDescent="0.35">
      <c r="A556" s="2" t="s">
        <v>98</v>
      </c>
      <c r="B556" s="3">
        <v>44986</v>
      </c>
      <c r="C556" s="2">
        <v>16</v>
      </c>
      <c r="D556" s="2">
        <v>18254</v>
      </c>
      <c r="E556" s="17">
        <v>42680.66</v>
      </c>
      <c r="F556" s="11">
        <v>6.48</v>
      </c>
      <c r="G556" s="9">
        <v>2799.8</v>
      </c>
      <c r="H556" s="10">
        <v>0.312</v>
      </c>
      <c r="I556" s="11">
        <v>7.4</v>
      </c>
    </row>
    <row r="557" spans="1:9" x14ac:dyDescent="0.35">
      <c r="A557" s="2" t="s">
        <v>98</v>
      </c>
      <c r="B557" s="3">
        <v>45017</v>
      </c>
      <c r="C557" s="2">
        <v>21</v>
      </c>
      <c r="D557" s="2">
        <v>27271</v>
      </c>
      <c r="E557" s="17">
        <v>58532.95</v>
      </c>
      <c r="F557" s="11">
        <v>6.67</v>
      </c>
      <c r="G557" s="9">
        <v>4095.7</v>
      </c>
      <c r="H557" s="10">
        <v>0.42899999999999999</v>
      </c>
      <c r="I557" s="11">
        <v>7.1</v>
      </c>
    </row>
    <row r="558" spans="1:9" x14ac:dyDescent="0.35">
      <c r="A558" s="2" t="s">
        <v>98</v>
      </c>
      <c r="B558" s="3">
        <v>45047</v>
      </c>
      <c r="C558" s="2">
        <v>20</v>
      </c>
      <c r="D558" s="2">
        <v>22743</v>
      </c>
      <c r="E558" s="17">
        <v>51588.82</v>
      </c>
      <c r="F558" s="11">
        <v>6.39</v>
      </c>
      <c r="G558" s="9">
        <v>3627</v>
      </c>
      <c r="H558" s="10">
        <v>0.35</v>
      </c>
      <c r="I558" s="11">
        <v>7.6</v>
      </c>
    </row>
    <row r="559" spans="1:9" x14ac:dyDescent="0.35">
      <c r="A559" s="2" t="s">
        <v>98</v>
      </c>
      <c r="B559" s="3">
        <v>45078</v>
      </c>
      <c r="C559" s="2">
        <v>20</v>
      </c>
      <c r="D559" s="2">
        <v>22451</v>
      </c>
      <c r="E559" s="17">
        <v>47276.3</v>
      </c>
      <c r="F559" s="11">
        <v>6.56</v>
      </c>
      <c r="G559" s="9">
        <v>3481.6</v>
      </c>
      <c r="H559" s="10">
        <v>0.35</v>
      </c>
      <c r="I559" s="11">
        <v>7.1</v>
      </c>
    </row>
    <row r="560" spans="1:9" x14ac:dyDescent="0.35">
      <c r="A560" s="2" t="s">
        <v>98</v>
      </c>
      <c r="B560" s="3">
        <v>45108</v>
      </c>
      <c r="C560" s="2">
        <v>25</v>
      </c>
      <c r="D560" s="2">
        <v>38312</v>
      </c>
      <c r="E560" s="17">
        <v>79972.100000000006</v>
      </c>
      <c r="F560" s="11">
        <v>6.48</v>
      </c>
      <c r="G560" s="9">
        <v>6036.8</v>
      </c>
      <c r="H560" s="10">
        <v>0.4</v>
      </c>
      <c r="I560" s="11">
        <v>6.6</v>
      </c>
    </row>
    <row r="561" spans="1:9" x14ac:dyDescent="0.35">
      <c r="A561" s="2" t="s">
        <v>98</v>
      </c>
      <c r="B561" s="3">
        <v>45139</v>
      </c>
      <c r="C561" s="2">
        <v>24</v>
      </c>
      <c r="D561" s="2">
        <v>44588</v>
      </c>
      <c r="E561" s="17">
        <v>95126.1</v>
      </c>
      <c r="F561" s="11">
        <v>6.61</v>
      </c>
      <c r="G561" s="9">
        <v>6832.8</v>
      </c>
      <c r="H561" s="10">
        <v>0.58299999999999996</v>
      </c>
      <c r="I561" s="11">
        <v>7.8</v>
      </c>
    </row>
    <row r="562" spans="1:9" x14ac:dyDescent="0.35">
      <c r="A562" s="2" t="s">
        <v>98</v>
      </c>
      <c r="B562" s="3">
        <v>45170</v>
      </c>
      <c r="C562" s="2">
        <v>14</v>
      </c>
      <c r="D562" s="2">
        <v>17851</v>
      </c>
      <c r="E562" s="17">
        <v>39974.89</v>
      </c>
      <c r="F562" s="11">
        <v>6.74</v>
      </c>
      <c r="G562" s="9">
        <v>2696.6</v>
      </c>
      <c r="H562" s="10">
        <v>0.71399999999999997</v>
      </c>
      <c r="I562" s="11">
        <v>7.7</v>
      </c>
    </row>
    <row r="563" spans="1:9" x14ac:dyDescent="0.35">
      <c r="A563" s="2" t="s">
        <v>98</v>
      </c>
      <c r="B563" s="3">
        <v>45200</v>
      </c>
      <c r="C563" s="2">
        <v>18</v>
      </c>
      <c r="D563" s="2">
        <v>19501</v>
      </c>
      <c r="E563" s="17">
        <v>41588.959999999999</v>
      </c>
      <c r="F563" s="11">
        <v>6.26</v>
      </c>
      <c r="G563" s="9">
        <v>3135.3</v>
      </c>
      <c r="H563" s="10">
        <v>0.27800000000000002</v>
      </c>
      <c r="I563" s="11">
        <v>7.1</v>
      </c>
    </row>
    <row r="564" spans="1:9" x14ac:dyDescent="0.35">
      <c r="A564" s="2" t="s">
        <v>98</v>
      </c>
      <c r="B564" s="3">
        <v>45231</v>
      </c>
      <c r="C564" s="2">
        <v>18</v>
      </c>
      <c r="D564" s="2">
        <v>26879</v>
      </c>
      <c r="E564" s="17">
        <v>55411.58</v>
      </c>
      <c r="F564" s="11">
        <v>6.47</v>
      </c>
      <c r="G564" s="9">
        <v>4197.6000000000004</v>
      </c>
      <c r="H564" s="10">
        <v>0.27800000000000002</v>
      </c>
      <c r="I564" s="11">
        <v>6.5</v>
      </c>
    </row>
    <row r="565" spans="1:9" x14ac:dyDescent="0.35">
      <c r="A565" s="2" t="s">
        <v>98</v>
      </c>
      <c r="B565" s="3">
        <v>45261</v>
      </c>
      <c r="C565" s="2">
        <v>12</v>
      </c>
      <c r="D565" s="2">
        <v>20851</v>
      </c>
      <c r="E565" s="17">
        <v>47997.68</v>
      </c>
      <c r="F565" s="11">
        <v>6.46</v>
      </c>
      <c r="G565" s="9">
        <v>3239.8</v>
      </c>
      <c r="H565" s="10">
        <v>0.5</v>
      </c>
      <c r="I565" s="11">
        <v>7</v>
      </c>
    </row>
    <row r="566" spans="1:9" x14ac:dyDescent="0.35">
      <c r="A566" s="2" t="s">
        <v>98</v>
      </c>
      <c r="B566" s="3">
        <v>45292</v>
      </c>
      <c r="C566" s="2">
        <v>22</v>
      </c>
      <c r="D566" s="2">
        <v>34515</v>
      </c>
      <c r="E566" s="17">
        <v>70923.38</v>
      </c>
      <c r="F566" s="11">
        <v>6.37</v>
      </c>
      <c r="G566" s="9">
        <v>5516.9</v>
      </c>
      <c r="H566" s="10">
        <v>0.36399999999999999</v>
      </c>
      <c r="I566" s="11">
        <v>7.9</v>
      </c>
    </row>
    <row r="567" spans="1:9" x14ac:dyDescent="0.35">
      <c r="A567" s="2" t="s">
        <v>98</v>
      </c>
      <c r="B567" s="3">
        <v>45323</v>
      </c>
      <c r="C567" s="2">
        <v>13</v>
      </c>
      <c r="D567" s="2">
        <v>19370</v>
      </c>
      <c r="E567" s="17">
        <v>41256.17</v>
      </c>
      <c r="F567" s="11">
        <v>6.47</v>
      </c>
      <c r="G567" s="9">
        <v>3059.9</v>
      </c>
      <c r="H567" s="10">
        <v>0.38500000000000001</v>
      </c>
      <c r="I567" s="11">
        <v>8.3000000000000007</v>
      </c>
    </row>
    <row r="568" spans="1:9" x14ac:dyDescent="0.35">
      <c r="A568" s="2" t="s">
        <v>98</v>
      </c>
      <c r="B568" s="3">
        <v>45352</v>
      </c>
      <c r="C568" s="2">
        <v>17</v>
      </c>
      <c r="D568" s="2">
        <v>25875</v>
      </c>
      <c r="E568" s="17">
        <v>57245.29</v>
      </c>
      <c r="F568" s="11">
        <v>6.69</v>
      </c>
      <c r="G568" s="9">
        <v>3924.1</v>
      </c>
      <c r="H568" s="10">
        <v>0.47099999999999997</v>
      </c>
      <c r="I568" s="11">
        <v>5.8</v>
      </c>
    </row>
    <row r="569" spans="1:9" x14ac:dyDescent="0.35">
      <c r="A569" s="2" t="s">
        <v>98</v>
      </c>
      <c r="B569" s="3">
        <v>45383</v>
      </c>
      <c r="C569" s="2">
        <v>14</v>
      </c>
      <c r="D569" s="2">
        <v>23610</v>
      </c>
      <c r="E569" s="17">
        <v>54420.93</v>
      </c>
      <c r="F569" s="11">
        <v>6.49</v>
      </c>
      <c r="G569" s="9">
        <v>3679.2</v>
      </c>
      <c r="H569" s="10">
        <v>0.28599999999999998</v>
      </c>
      <c r="I569" s="11">
        <v>7.2</v>
      </c>
    </row>
    <row r="570" spans="1:9" x14ac:dyDescent="0.35">
      <c r="A570" s="2" t="s">
        <v>98</v>
      </c>
      <c r="B570" s="3">
        <v>45413</v>
      </c>
      <c r="C570" s="2">
        <v>21</v>
      </c>
      <c r="D570" s="2">
        <v>36068</v>
      </c>
      <c r="E570" s="17">
        <v>77124.12</v>
      </c>
      <c r="F570" s="11">
        <v>6.29</v>
      </c>
      <c r="G570" s="9">
        <v>5768.8</v>
      </c>
      <c r="H570" s="10">
        <v>0.38100000000000001</v>
      </c>
      <c r="I570" s="11">
        <v>7.4</v>
      </c>
    </row>
    <row r="571" spans="1:9" x14ac:dyDescent="0.35">
      <c r="A571" s="2" t="s">
        <v>98</v>
      </c>
      <c r="B571" s="3">
        <v>45444</v>
      </c>
      <c r="C571" s="2">
        <v>16</v>
      </c>
      <c r="D571" s="2">
        <v>23371</v>
      </c>
      <c r="E571" s="17">
        <v>48653.73</v>
      </c>
      <c r="F571" s="11">
        <v>6.66</v>
      </c>
      <c r="G571" s="9">
        <v>3570</v>
      </c>
      <c r="H571" s="10">
        <v>0.438</v>
      </c>
      <c r="I571" s="11">
        <v>6.5</v>
      </c>
    </row>
    <row r="572" spans="1:9" x14ac:dyDescent="0.35">
      <c r="A572" s="2" t="s">
        <v>98</v>
      </c>
      <c r="B572" s="3">
        <v>45474</v>
      </c>
      <c r="C572" s="2">
        <v>19</v>
      </c>
      <c r="D572" s="2">
        <v>27610</v>
      </c>
      <c r="E572" s="17">
        <v>60649.83</v>
      </c>
      <c r="F572" s="11">
        <v>6.57</v>
      </c>
      <c r="G572" s="9">
        <v>4276.1000000000004</v>
      </c>
      <c r="H572" s="10">
        <v>0.42099999999999999</v>
      </c>
      <c r="I572" s="11">
        <v>5.6</v>
      </c>
    </row>
    <row r="573" spans="1:9" x14ac:dyDescent="0.35">
      <c r="A573" s="2" t="s">
        <v>98</v>
      </c>
      <c r="B573" s="3">
        <v>45505</v>
      </c>
      <c r="C573" s="2">
        <v>15</v>
      </c>
      <c r="D573" s="2">
        <v>23279</v>
      </c>
      <c r="E573" s="17">
        <v>50775.83</v>
      </c>
      <c r="F573" s="11">
        <v>6.62</v>
      </c>
      <c r="G573" s="9">
        <v>3506.3</v>
      </c>
      <c r="H573" s="10">
        <v>0.46700000000000003</v>
      </c>
      <c r="I573" s="11">
        <v>6.4</v>
      </c>
    </row>
    <row r="574" spans="1:9" x14ac:dyDescent="0.35">
      <c r="A574" s="2" t="s">
        <v>98</v>
      </c>
      <c r="B574" s="3">
        <v>45536</v>
      </c>
      <c r="C574" s="2">
        <v>17</v>
      </c>
      <c r="D574" s="2">
        <v>23198</v>
      </c>
      <c r="E574" s="17">
        <v>50112.38</v>
      </c>
      <c r="F574" s="11">
        <v>6.17</v>
      </c>
      <c r="G574" s="9">
        <v>3824.2</v>
      </c>
      <c r="H574" s="10">
        <v>0.47099999999999997</v>
      </c>
      <c r="I574" s="11">
        <v>8</v>
      </c>
    </row>
    <row r="575" spans="1:9" x14ac:dyDescent="0.35">
      <c r="A575" s="2" t="s">
        <v>98</v>
      </c>
      <c r="B575" s="3">
        <v>45566</v>
      </c>
      <c r="C575" s="2">
        <v>18</v>
      </c>
      <c r="D575" s="2">
        <v>22325</v>
      </c>
      <c r="E575" s="17">
        <v>47395.95</v>
      </c>
      <c r="F575" s="11">
        <v>6.29</v>
      </c>
      <c r="G575" s="9">
        <v>3632.4</v>
      </c>
      <c r="H575" s="10">
        <v>0.55600000000000005</v>
      </c>
      <c r="I575" s="11">
        <v>7.9</v>
      </c>
    </row>
    <row r="576" spans="1:9" x14ac:dyDescent="0.35">
      <c r="A576" s="2" t="s">
        <v>98</v>
      </c>
      <c r="B576" s="3">
        <v>45597</v>
      </c>
      <c r="C576" s="2">
        <v>24</v>
      </c>
      <c r="D576" s="2">
        <v>33936</v>
      </c>
      <c r="E576" s="17">
        <v>73727.06</v>
      </c>
      <c r="F576" s="11">
        <v>6.66</v>
      </c>
      <c r="G576" s="9">
        <v>5126.5</v>
      </c>
      <c r="H576" s="10">
        <v>0.54200000000000004</v>
      </c>
      <c r="I576" s="11">
        <v>7.3</v>
      </c>
    </row>
    <row r="577" spans="1:9" x14ac:dyDescent="0.35">
      <c r="A577" s="2" t="s">
        <v>98</v>
      </c>
      <c r="B577" s="3">
        <v>45627</v>
      </c>
      <c r="C577" s="2">
        <v>22</v>
      </c>
      <c r="D577" s="2">
        <v>33862</v>
      </c>
      <c r="E577" s="17">
        <v>76179.38</v>
      </c>
      <c r="F577" s="11">
        <v>6.52</v>
      </c>
      <c r="G577" s="9">
        <v>5189</v>
      </c>
      <c r="H577" s="10">
        <v>0.45500000000000002</v>
      </c>
      <c r="I577" s="11">
        <v>6.9</v>
      </c>
    </row>
    <row r="578" spans="1:9" x14ac:dyDescent="0.35">
      <c r="A578" s="2" t="s">
        <v>101</v>
      </c>
      <c r="B578" s="3">
        <v>44562</v>
      </c>
      <c r="C578" s="2">
        <v>25</v>
      </c>
      <c r="D578" s="2">
        <v>35862</v>
      </c>
      <c r="E578" s="17">
        <v>82028.92</v>
      </c>
      <c r="F578" s="11">
        <v>6.48</v>
      </c>
      <c r="G578" s="9">
        <v>5528.7</v>
      </c>
      <c r="H578" s="10">
        <v>0.48</v>
      </c>
      <c r="I578" s="11">
        <v>6.2</v>
      </c>
    </row>
    <row r="579" spans="1:9" x14ac:dyDescent="0.35">
      <c r="A579" s="2" t="s">
        <v>101</v>
      </c>
      <c r="B579" s="3">
        <v>44593</v>
      </c>
      <c r="C579" s="2">
        <v>12</v>
      </c>
      <c r="D579" s="2">
        <v>13290</v>
      </c>
      <c r="E579" s="17">
        <v>32794.42</v>
      </c>
      <c r="F579" s="11">
        <v>6.45</v>
      </c>
      <c r="G579" s="9">
        <v>2065.1</v>
      </c>
      <c r="H579" s="10">
        <v>0.41699999999999998</v>
      </c>
      <c r="I579" s="11">
        <v>8.5</v>
      </c>
    </row>
    <row r="580" spans="1:9" x14ac:dyDescent="0.35">
      <c r="A580" s="2" t="s">
        <v>101</v>
      </c>
      <c r="B580" s="3">
        <v>44621</v>
      </c>
      <c r="C580" s="2">
        <v>20</v>
      </c>
      <c r="D580" s="2">
        <v>24607</v>
      </c>
      <c r="E580" s="17">
        <v>55103.6</v>
      </c>
      <c r="F580" s="11">
        <v>6.57</v>
      </c>
      <c r="G580" s="9">
        <v>3757</v>
      </c>
      <c r="H580" s="10">
        <v>0.35</v>
      </c>
      <c r="I580" s="11">
        <v>7.4</v>
      </c>
    </row>
    <row r="581" spans="1:9" x14ac:dyDescent="0.35">
      <c r="A581" s="2" t="s">
        <v>101</v>
      </c>
      <c r="B581" s="3">
        <v>44652</v>
      </c>
      <c r="C581" s="2">
        <v>19</v>
      </c>
      <c r="D581" s="2">
        <v>25281</v>
      </c>
      <c r="E581" s="17">
        <v>59091.35</v>
      </c>
      <c r="F581" s="11">
        <v>6.62</v>
      </c>
      <c r="G581" s="9">
        <v>3788.4</v>
      </c>
      <c r="H581" s="10">
        <v>0.26300000000000001</v>
      </c>
      <c r="I581" s="11">
        <v>6.8</v>
      </c>
    </row>
    <row r="582" spans="1:9" x14ac:dyDescent="0.35">
      <c r="A582" s="2" t="s">
        <v>101</v>
      </c>
      <c r="B582" s="3">
        <v>44682</v>
      </c>
      <c r="C582" s="2">
        <v>28</v>
      </c>
      <c r="D582" s="2">
        <v>37093</v>
      </c>
      <c r="E582" s="17">
        <v>85848.08</v>
      </c>
      <c r="F582" s="11">
        <v>6.49</v>
      </c>
      <c r="G582" s="9">
        <v>5801.2</v>
      </c>
      <c r="H582" s="10">
        <v>0.39300000000000002</v>
      </c>
      <c r="I582" s="11">
        <v>7.5</v>
      </c>
    </row>
    <row r="583" spans="1:9" x14ac:dyDescent="0.35">
      <c r="A583" s="2" t="s">
        <v>101</v>
      </c>
      <c r="B583" s="3">
        <v>44713</v>
      </c>
      <c r="C583" s="2">
        <v>18</v>
      </c>
      <c r="D583" s="2">
        <v>35065</v>
      </c>
      <c r="E583" s="17">
        <v>74279.48</v>
      </c>
      <c r="F583" s="11">
        <v>6.35</v>
      </c>
      <c r="G583" s="9">
        <v>5511.9</v>
      </c>
      <c r="H583" s="10">
        <v>0.38900000000000001</v>
      </c>
      <c r="I583" s="11">
        <v>7.3</v>
      </c>
    </row>
    <row r="584" spans="1:9" x14ac:dyDescent="0.35">
      <c r="A584" s="2" t="s">
        <v>101</v>
      </c>
      <c r="B584" s="3">
        <v>44743</v>
      </c>
      <c r="C584" s="2">
        <v>27</v>
      </c>
      <c r="D584" s="2">
        <v>35882</v>
      </c>
      <c r="E584" s="17">
        <v>76367.399999999994</v>
      </c>
      <c r="F584" s="11">
        <v>6.51</v>
      </c>
      <c r="G584" s="9">
        <v>5602.4</v>
      </c>
      <c r="H584" s="10">
        <v>0.40699999999999997</v>
      </c>
      <c r="I584" s="11">
        <v>6.9</v>
      </c>
    </row>
    <row r="585" spans="1:9" x14ac:dyDescent="0.35">
      <c r="A585" s="2" t="s">
        <v>101</v>
      </c>
      <c r="B585" s="3">
        <v>44774</v>
      </c>
      <c r="C585" s="2">
        <v>30</v>
      </c>
      <c r="D585" s="2">
        <v>44549</v>
      </c>
      <c r="E585" s="17">
        <v>94378.83</v>
      </c>
      <c r="F585" s="11">
        <v>6.4</v>
      </c>
      <c r="G585" s="9">
        <v>7063.7</v>
      </c>
      <c r="H585" s="10">
        <v>0.4</v>
      </c>
      <c r="I585" s="11">
        <v>6.4</v>
      </c>
    </row>
    <row r="586" spans="1:9" x14ac:dyDescent="0.35">
      <c r="A586" s="2" t="s">
        <v>101</v>
      </c>
      <c r="B586" s="3">
        <v>44805</v>
      </c>
      <c r="C586" s="2">
        <v>26</v>
      </c>
      <c r="D586" s="2">
        <v>37793</v>
      </c>
      <c r="E586" s="17">
        <v>78459.23</v>
      </c>
      <c r="F586" s="11">
        <v>6.47</v>
      </c>
      <c r="G586" s="9">
        <v>5887.9</v>
      </c>
      <c r="H586" s="10">
        <v>0.53800000000000003</v>
      </c>
      <c r="I586" s="11">
        <v>8</v>
      </c>
    </row>
    <row r="587" spans="1:9" x14ac:dyDescent="0.35">
      <c r="A587" s="2" t="s">
        <v>101</v>
      </c>
      <c r="B587" s="3">
        <v>44835</v>
      </c>
      <c r="C587" s="2">
        <v>22</v>
      </c>
      <c r="D587" s="2">
        <v>32968</v>
      </c>
      <c r="E587" s="17">
        <v>67420.710000000006</v>
      </c>
      <c r="F587" s="11">
        <v>6.55</v>
      </c>
      <c r="G587" s="9">
        <v>5045.3999999999996</v>
      </c>
      <c r="H587" s="10">
        <v>0.59099999999999997</v>
      </c>
      <c r="I587" s="11">
        <v>7.1</v>
      </c>
    </row>
    <row r="588" spans="1:9" x14ac:dyDescent="0.35">
      <c r="A588" s="2" t="s">
        <v>101</v>
      </c>
      <c r="B588" s="3">
        <v>44866</v>
      </c>
      <c r="C588" s="2">
        <v>25</v>
      </c>
      <c r="D588" s="2">
        <v>32415</v>
      </c>
      <c r="E588" s="17">
        <v>66135.98</v>
      </c>
      <c r="F588" s="11">
        <v>6.49</v>
      </c>
      <c r="G588" s="9">
        <v>4989</v>
      </c>
      <c r="H588" s="10">
        <v>0.52</v>
      </c>
      <c r="I588" s="11">
        <v>6.7</v>
      </c>
    </row>
    <row r="589" spans="1:9" x14ac:dyDescent="0.35">
      <c r="A589" s="2" t="s">
        <v>101</v>
      </c>
      <c r="B589" s="3">
        <v>44896</v>
      </c>
      <c r="C589" s="2">
        <v>13</v>
      </c>
      <c r="D589" s="2">
        <v>19352</v>
      </c>
      <c r="E589" s="17">
        <v>41035.910000000003</v>
      </c>
      <c r="F589" s="11">
        <v>6.33</v>
      </c>
      <c r="G589" s="9">
        <v>3095.2</v>
      </c>
      <c r="H589" s="10">
        <v>0.46200000000000002</v>
      </c>
      <c r="I589" s="11">
        <v>6.8</v>
      </c>
    </row>
    <row r="590" spans="1:9" x14ac:dyDescent="0.35">
      <c r="A590" s="2" t="s">
        <v>101</v>
      </c>
      <c r="B590" s="3">
        <v>44927</v>
      </c>
      <c r="C590" s="2">
        <v>19</v>
      </c>
      <c r="D590" s="2">
        <v>30593</v>
      </c>
      <c r="E590" s="17">
        <v>64236.01</v>
      </c>
      <c r="F590" s="11">
        <v>6.59</v>
      </c>
      <c r="G590" s="9">
        <v>4671.5</v>
      </c>
      <c r="H590" s="10">
        <v>0.26300000000000001</v>
      </c>
      <c r="I590" s="11">
        <v>8</v>
      </c>
    </row>
    <row r="591" spans="1:9" x14ac:dyDescent="0.35">
      <c r="A591" s="2" t="s">
        <v>101</v>
      </c>
      <c r="B591" s="3">
        <v>44958</v>
      </c>
      <c r="C591" s="2">
        <v>22</v>
      </c>
      <c r="D591" s="2">
        <v>37360</v>
      </c>
      <c r="E591" s="17">
        <v>78401.39</v>
      </c>
      <c r="F591" s="11">
        <v>6.51</v>
      </c>
      <c r="G591" s="9">
        <v>5793.7</v>
      </c>
      <c r="H591" s="10">
        <v>0.36399999999999999</v>
      </c>
      <c r="I591" s="11">
        <v>6.2</v>
      </c>
    </row>
    <row r="592" spans="1:9" x14ac:dyDescent="0.35">
      <c r="A592" s="2" t="s">
        <v>101</v>
      </c>
      <c r="B592" s="3">
        <v>44986</v>
      </c>
      <c r="C592" s="2">
        <v>22</v>
      </c>
      <c r="D592" s="2">
        <v>35242</v>
      </c>
      <c r="E592" s="17">
        <v>76522.720000000001</v>
      </c>
      <c r="F592" s="11">
        <v>6.35</v>
      </c>
      <c r="G592" s="9">
        <v>5617.2</v>
      </c>
      <c r="H592" s="10">
        <v>0.63600000000000001</v>
      </c>
      <c r="I592" s="11">
        <v>6.6</v>
      </c>
    </row>
    <row r="593" spans="1:9" x14ac:dyDescent="0.35">
      <c r="A593" s="2" t="s">
        <v>101</v>
      </c>
      <c r="B593" s="3">
        <v>45017</v>
      </c>
      <c r="C593" s="2">
        <v>19</v>
      </c>
      <c r="D593" s="2">
        <v>32157</v>
      </c>
      <c r="E593" s="17">
        <v>68871.429999999993</v>
      </c>
      <c r="F593" s="11">
        <v>6.22</v>
      </c>
      <c r="G593" s="9">
        <v>5181</v>
      </c>
      <c r="H593" s="10">
        <v>0.36799999999999999</v>
      </c>
      <c r="I593" s="11">
        <v>8.5</v>
      </c>
    </row>
    <row r="594" spans="1:9" x14ac:dyDescent="0.35">
      <c r="A594" s="2" t="s">
        <v>101</v>
      </c>
      <c r="B594" s="3">
        <v>45047</v>
      </c>
      <c r="C594" s="2">
        <v>31</v>
      </c>
      <c r="D594" s="2">
        <v>45358</v>
      </c>
      <c r="E594" s="17">
        <v>96319.23</v>
      </c>
      <c r="F594" s="11">
        <v>6.22</v>
      </c>
      <c r="G594" s="9">
        <v>7424.7</v>
      </c>
      <c r="H594" s="10">
        <v>0.41899999999999998</v>
      </c>
      <c r="I594" s="11">
        <v>7.2</v>
      </c>
    </row>
    <row r="595" spans="1:9" x14ac:dyDescent="0.35">
      <c r="A595" s="2" t="s">
        <v>101</v>
      </c>
      <c r="B595" s="3">
        <v>45078</v>
      </c>
      <c r="C595" s="2">
        <v>20</v>
      </c>
      <c r="D595" s="2">
        <v>23642</v>
      </c>
      <c r="E595" s="17">
        <v>49877.33</v>
      </c>
      <c r="F595" s="11">
        <v>6.47</v>
      </c>
      <c r="G595" s="9">
        <v>3686.1</v>
      </c>
      <c r="H595" s="10">
        <v>0.4</v>
      </c>
      <c r="I595" s="11">
        <v>7.2</v>
      </c>
    </row>
    <row r="596" spans="1:9" x14ac:dyDescent="0.35">
      <c r="A596" s="2" t="s">
        <v>101</v>
      </c>
      <c r="B596" s="3">
        <v>45108</v>
      </c>
      <c r="C596" s="2">
        <v>26</v>
      </c>
      <c r="D596" s="2">
        <v>35662</v>
      </c>
      <c r="E596" s="17">
        <v>75329.66</v>
      </c>
      <c r="F596" s="11">
        <v>6.55</v>
      </c>
      <c r="G596" s="9">
        <v>5480.8</v>
      </c>
      <c r="H596" s="10">
        <v>0.42299999999999999</v>
      </c>
      <c r="I596" s="11">
        <v>7.6</v>
      </c>
    </row>
    <row r="597" spans="1:9" x14ac:dyDescent="0.35">
      <c r="A597" s="2" t="s">
        <v>101</v>
      </c>
      <c r="B597" s="3">
        <v>45139</v>
      </c>
      <c r="C597" s="2">
        <v>14</v>
      </c>
      <c r="D597" s="2">
        <v>16343</v>
      </c>
      <c r="E597" s="17">
        <v>32138.44</v>
      </c>
      <c r="F597" s="11">
        <v>6.28</v>
      </c>
      <c r="G597" s="9">
        <v>2603.9</v>
      </c>
      <c r="H597" s="10">
        <v>0.35699999999999998</v>
      </c>
      <c r="I597" s="11">
        <v>7.1</v>
      </c>
    </row>
    <row r="598" spans="1:9" x14ac:dyDescent="0.35">
      <c r="A598" s="2" t="s">
        <v>101</v>
      </c>
      <c r="B598" s="3">
        <v>45170</v>
      </c>
      <c r="C598" s="2">
        <v>16</v>
      </c>
      <c r="D598" s="2">
        <v>22552</v>
      </c>
      <c r="E598" s="17">
        <v>47857.15</v>
      </c>
      <c r="F598" s="11">
        <v>6.45</v>
      </c>
      <c r="G598" s="9">
        <v>3530.1</v>
      </c>
      <c r="H598" s="10">
        <v>0.625</v>
      </c>
      <c r="I598" s="11">
        <v>5.7</v>
      </c>
    </row>
    <row r="599" spans="1:9" x14ac:dyDescent="0.35">
      <c r="A599" s="2" t="s">
        <v>101</v>
      </c>
      <c r="B599" s="3">
        <v>45200</v>
      </c>
      <c r="C599" s="2">
        <v>25</v>
      </c>
      <c r="D599" s="2">
        <v>33218</v>
      </c>
      <c r="E599" s="17">
        <v>73717.86</v>
      </c>
      <c r="F599" s="11">
        <v>6.35</v>
      </c>
      <c r="G599" s="9">
        <v>5280.2</v>
      </c>
      <c r="H599" s="10">
        <v>0.4</v>
      </c>
      <c r="I599" s="11">
        <v>7.2</v>
      </c>
    </row>
    <row r="600" spans="1:9" x14ac:dyDescent="0.35">
      <c r="A600" s="2" t="s">
        <v>101</v>
      </c>
      <c r="B600" s="3">
        <v>45231</v>
      </c>
      <c r="C600" s="2">
        <v>16</v>
      </c>
      <c r="D600" s="2">
        <v>20743</v>
      </c>
      <c r="E600" s="17">
        <v>49409.41</v>
      </c>
      <c r="F600" s="11">
        <v>6.52</v>
      </c>
      <c r="G600" s="9">
        <v>3220.1</v>
      </c>
      <c r="H600" s="10">
        <v>0.5</v>
      </c>
      <c r="I600" s="11">
        <v>6.4</v>
      </c>
    </row>
    <row r="601" spans="1:9" x14ac:dyDescent="0.35">
      <c r="A601" s="2" t="s">
        <v>101</v>
      </c>
      <c r="B601" s="3">
        <v>45261</v>
      </c>
      <c r="C601" s="2">
        <v>19</v>
      </c>
      <c r="D601" s="2">
        <v>24789</v>
      </c>
      <c r="E601" s="17">
        <v>49107.02</v>
      </c>
      <c r="F601" s="11">
        <v>6.35</v>
      </c>
      <c r="G601" s="9">
        <v>4020.5</v>
      </c>
      <c r="H601" s="10">
        <v>0.52600000000000002</v>
      </c>
      <c r="I601" s="11">
        <v>8.4</v>
      </c>
    </row>
    <row r="602" spans="1:9" x14ac:dyDescent="0.35">
      <c r="A602" s="2" t="s">
        <v>101</v>
      </c>
      <c r="B602" s="3">
        <v>45292</v>
      </c>
      <c r="C602" s="2">
        <v>21</v>
      </c>
      <c r="D602" s="2">
        <v>25275</v>
      </c>
      <c r="E602" s="17">
        <v>56784.2</v>
      </c>
      <c r="F602" s="11">
        <v>6.45</v>
      </c>
      <c r="G602" s="9">
        <v>3938.4</v>
      </c>
      <c r="H602" s="10">
        <v>0.66700000000000004</v>
      </c>
      <c r="I602" s="11">
        <v>6.3</v>
      </c>
    </row>
    <row r="603" spans="1:9" x14ac:dyDescent="0.35">
      <c r="A603" s="2" t="s">
        <v>101</v>
      </c>
      <c r="B603" s="3">
        <v>45323</v>
      </c>
      <c r="C603" s="2">
        <v>20</v>
      </c>
      <c r="D603" s="2">
        <v>22119</v>
      </c>
      <c r="E603" s="17">
        <v>47430.15</v>
      </c>
      <c r="F603" s="11">
        <v>6.74</v>
      </c>
      <c r="G603" s="9">
        <v>3310.6</v>
      </c>
      <c r="H603" s="10">
        <v>0.55000000000000004</v>
      </c>
      <c r="I603" s="11">
        <v>7.2</v>
      </c>
    </row>
    <row r="604" spans="1:9" x14ac:dyDescent="0.35">
      <c r="A604" s="2" t="s">
        <v>101</v>
      </c>
      <c r="B604" s="3">
        <v>45352</v>
      </c>
      <c r="C604" s="2">
        <v>19</v>
      </c>
      <c r="D604" s="2">
        <v>26714</v>
      </c>
      <c r="E604" s="17">
        <v>54371.8</v>
      </c>
      <c r="F604" s="11">
        <v>6.4</v>
      </c>
      <c r="G604" s="9">
        <v>4250.8</v>
      </c>
      <c r="H604" s="10">
        <v>0.21099999999999999</v>
      </c>
      <c r="I604" s="11">
        <v>6.6</v>
      </c>
    </row>
    <row r="605" spans="1:9" x14ac:dyDescent="0.35">
      <c r="A605" s="2" t="s">
        <v>101</v>
      </c>
      <c r="B605" s="3">
        <v>45383</v>
      </c>
      <c r="C605" s="2">
        <v>21</v>
      </c>
      <c r="D605" s="2">
        <v>32006</v>
      </c>
      <c r="E605" s="17">
        <v>70483.47</v>
      </c>
      <c r="F605" s="11">
        <v>6.33</v>
      </c>
      <c r="G605" s="9">
        <v>5007.5</v>
      </c>
      <c r="H605" s="10">
        <v>0.52400000000000002</v>
      </c>
      <c r="I605" s="11">
        <v>6.7</v>
      </c>
    </row>
    <row r="606" spans="1:9" x14ac:dyDescent="0.35">
      <c r="A606" s="2" t="s">
        <v>101</v>
      </c>
      <c r="B606" s="3">
        <v>45413</v>
      </c>
      <c r="C606" s="2">
        <v>18</v>
      </c>
      <c r="D606" s="2">
        <v>23856</v>
      </c>
      <c r="E606" s="17">
        <v>50951.46</v>
      </c>
      <c r="F606" s="11">
        <v>6.58</v>
      </c>
      <c r="G606" s="9">
        <v>3559.3</v>
      </c>
      <c r="H606" s="10">
        <v>0.55600000000000005</v>
      </c>
      <c r="I606" s="11">
        <v>6.7</v>
      </c>
    </row>
    <row r="607" spans="1:9" x14ac:dyDescent="0.35">
      <c r="A607" s="2" t="s">
        <v>101</v>
      </c>
      <c r="B607" s="3">
        <v>45444</v>
      </c>
      <c r="C607" s="2">
        <v>17</v>
      </c>
      <c r="D607" s="2">
        <v>23580</v>
      </c>
      <c r="E607" s="17">
        <v>46229.599999999999</v>
      </c>
      <c r="F607" s="11">
        <v>6.24</v>
      </c>
      <c r="G607" s="9">
        <v>3717.5</v>
      </c>
      <c r="H607" s="10">
        <v>0.29399999999999998</v>
      </c>
      <c r="I607" s="11">
        <v>6.5</v>
      </c>
    </row>
    <row r="608" spans="1:9" x14ac:dyDescent="0.35">
      <c r="A608" s="2" t="s">
        <v>101</v>
      </c>
      <c r="B608" s="3">
        <v>45474</v>
      </c>
      <c r="C608" s="2">
        <v>26</v>
      </c>
      <c r="D608" s="2">
        <v>35588</v>
      </c>
      <c r="E608" s="17">
        <v>76819.69</v>
      </c>
      <c r="F608" s="11">
        <v>6.5</v>
      </c>
      <c r="G608" s="9">
        <v>5470.3</v>
      </c>
      <c r="H608" s="10">
        <v>0.69199999999999995</v>
      </c>
      <c r="I608" s="11">
        <v>6.8</v>
      </c>
    </row>
    <row r="609" spans="1:9" x14ac:dyDescent="0.35">
      <c r="A609" s="2" t="s">
        <v>101</v>
      </c>
      <c r="B609" s="3">
        <v>45505</v>
      </c>
      <c r="C609" s="2">
        <v>18</v>
      </c>
      <c r="D609" s="2">
        <v>30875</v>
      </c>
      <c r="E609" s="17">
        <v>64006.37</v>
      </c>
      <c r="F609" s="11">
        <v>6.64</v>
      </c>
      <c r="G609" s="9">
        <v>4676.8999999999996</v>
      </c>
      <c r="H609" s="10">
        <v>0.55600000000000005</v>
      </c>
      <c r="I609" s="11">
        <v>7.3</v>
      </c>
    </row>
    <row r="610" spans="1:9" x14ac:dyDescent="0.35">
      <c r="A610" s="2" t="s">
        <v>101</v>
      </c>
      <c r="B610" s="3">
        <v>45536</v>
      </c>
      <c r="C610" s="2">
        <v>18</v>
      </c>
      <c r="D610" s="2">
        <v>25592</v>
      </c>
      <c r="E610" s="17">
        <v>53213.21</v>
      </c>
      <c r="F610" s="11">
        <v>6.45</v>
      </c>
      <c r="G610" s="9">
        <v>3995.4</v>
      </c>
      <c r="H610" s="10">
        <v>0.38900000000000001</v>
      </c>
      <c r="I610" s="11">
        <v>7.6</v>
      </c>
    </row>
    <row r="611" spans="1:9" x14ac:dyDescent="0.35">
      <c r="A611" s="2" t="s">
        <v>101</v>
      </c>
      <c r="B611" s="3">
        <v>45566</v>
      </c>
      <c r="C611" s="2">
        <v>22</v>
      </c>
      <c r="D611" s="2">
        <v>33639</v>
      </c>
      <c r="E611" s="17">
        <v>74311.33</v>
      </c>
      <c r="F611" s="11">
        <v>6.71</v>
      </c>
      <c r="G611" s="9">
        <v>5005.6000000000004</v>
      </c>
      <c r="H611" s="10">
        <v>0.63600000000000001</v>
      </c>
      <c r="I611" s="11">
        <v>7.3</v>
      </c>
    </row>
    <row r="612" spans="1:9" x14ac:dyDescent="0.35">
      <c r="A612" s="2" t="s">
        <v>101</v>
      </c>
      <c r="B612" s="3">
        <v>45597</v>
      </c>
      <c r="C612" s="2">
        <v>19</v>
      </c>
      <c r="D612" s="2">
        <v>22464</v>
      </c>
      <c r="E612" s="17">
        <v>48334.21</v>
      </c>
      <c r="F612" s="11">
        <v>6.63</v>
      </c>
      <c r="G612" s="9">
        <v>3337.9</v>
      </c>
      <c r="H612" s="10">
        <v>0.105</v>
      </c>
      <c r="I612" s="11">
        <v>6.3</v>
      </c>
    </row>
    <row r="613" spans="1:9" x14ac:dyDescent="0.35">
      <c r="A613" s="2" t="s">
        <v>101</v>
      </c>
      <c r="B613" s="3">
        <v>45627</v>
      </c>
      <c r="C613" s="2">
        <v>16</v>
      </c>
      <c r="D613" s="2">
        <v>26744</v>
      </c>
      <c r="E613" s="17">
        <v>57987.71</v>
      </c>
      <c r="F613" s="11">
        <v>6.56</v>
      </c>
      <c r="G613" s="9">
        <v>4113.8</v>
      </c>
      <c r="H613" s="10">
        <v>0.5</v>
      </c>
      <c r="I613" s="11">
        <v>5.8</v>
      </c>
    </row>
    <row r="614" spans="1:9" x14ac:dyDescent="0.35">
      <c r="A614" s="2" t="s">
        <v>106</v>
      </c>
      <c r="B614" s="3">
        <v>44562</v>
      </c>
      <c r="C614" s="2">
        <v>37</v>
      </c>
      <c r="D614" s="2">
        <v>49784</v>
      </c>
      <c r="E614" s="17">
        <v>105995.21</v>
      </c>
      <c r="F614" s="11">
        <v>6.51</v>
      </c>
      <c r="G614" s="9">
        <v>7741.2</v>
      </c>
      <c r="H614" s="10">
        <v>0.45900000000000002</v>
      </c>
      <c r="I614" s="11">
        <v>7.3</v>
      </c>
    </row>
    <row r="615" spans="1:9" x14ac:dyDescent="0.35">
      <c r="A615" s="2" t="s">
        <v>106</v>
      </c>
      <c r="B615" s="3">
        <v>44593</v>
      </c>
      <c r="C615" s="2">
        <v>19</v>
      </c>
      <c r="D615" s="2">
        <v>25144</v>
      </c>
      <c r="E615" s="17">
        <v>49848.01</v>
      </c>
      <c r="F615" s="11">
        <v>6.45</v>
      </c>
      <c r="G615" s="9">
        <v>3925.6</v>
      </c>
      <c r="H615" s="10">
        <v>0.57899999999999996</v>
      </c>
      <c r="I615" s="11">
        <v>6.3</v>
      </c>
    </row>
    <row r="616" spans="1:9" x14ac:dyDescent="0.35">
      <c r="A616" s="2" t="s">
        <v>106</v>
      </c>
      <c r="B616" s="3">
        <v>44621</v>
      </c>
      <c r="C616" s="2">
        <v>18</v>
      </c>
      <c r="D616" s="2">
        <v>22647</v>
      </c>
      <c r="E616" s="17">
        <v>49525.42</v>
      </c>
      <c r="F616" s="11">
        <v>6.26</v>
      </c>
      <c r="G616" s="9">
        <v>3545.6</v>
      </c>
      <c r="H616" s="10">
        <v>0.38900000000000001</v>
      </c>
      <c r="I616" s="11">
        <v>6.6</v>
      </c>
    </row>
    <row r="617" spans="1:9" x14ac:dyDescent="0.35">
      <c r="A617" s="2" t="s">
        <v>106</v>
      </c>
      <c r="B617" s="3">
        <v>44652</v>
      </c>
      <c r="C617" s="2">
        <v>12</v>
      </c>
      <c r="D617" s="2">
        <v>21156</v>
      </c>
      <c r="E617" s="17">
        <v>51420.05</v>
      </c>
      <c r="F617" s="11">
        <v>6.62</v>
      </c>
      <c r="G617" s="9">
        <v>3193.8</v>
      </c>
      <c r="H617" s="10">
        <v>0.5</v>
      </c>
      <c r="I617" s="11">
        <v>6.5</v>
      </c>
    </row>
    <row r="618" spans="1:9" x14ac:dyDescent="0.35">
      <c r="A618" s="2" t="s">
        <v>106</v>
      </c>
      <c r="B618" s="3">
        <v>44682</v>
      </c>
      <c r="C618" s="2">
        <v>19</v>
      </c>
      <c r="D618" s="2">
        <v>30102</v>
      </c>
      <c r="E618" s="17">
        <v>64669.21</v>
      </c>
      <c r="F618" s="11">
        <v>6.36</v>
      </c>
      <c r="G618" s="9">
        <v>4633.8</v>
      </c>
      <c r="H618" s="10">
        <v>0.52600000000000002</v>
      </c>
      <c r="I618" s="11">
        <v>7.2</v>
      </c>
    </row>
    <row r="619" spans="1:9" x14ac:dyDescent="0.35">
      <c r="A619" s="2" t="s">
        <v>106</v>
      </c>
      <c r="B619" s="3">
        <v>44713</v>
      </c>
      <c r="C619" s="2">
        <v>31</v>
      </c>
      <c r="D619" s="2">
        <v>46282</v>
      </c>
      <c r="E619" s="17">
        <v>95407.63</v>
      </c>
      <c r="F619" s="11">
        <v>6.48</v>
      </c>
      <c r="G619" s="9">
        <v>7133.3</v>
      </c>
      <c r="H619" s="10">
        <v>0.51600000000000001</v>
      </c>
      <c r="I619" s="11">
        <v>7.7</v>
      </c>
    </row>
    <row r="620" spans="1:9" x14ac:dyDescent="0.35">
      <c r="A620" s="2" t="s">
        <v>106</v>
      </c>
      <c r="B620" s="3">
        <v>44743</v>
      </c>
      <c r="C620" s="2">
        <v>15</v>
      </c>
      <c r="D620" s="2">
        <v>22516</v>
      </c>
      <c r="E620" s="17">
        <v>46973.47</v>
      </c>
      <c r="F620" s="11">
        <v>6.65</v>
      </c>
      <c r="G620" s="9">
        <v>3372.6</v>
      </c>
      <c r="H620" s="10">
        <v>0.46700000000000003</v>
      </c>
      <c r="I620" s="11">
        <v>7.9</v>
      </c>
    </row>
    <row r="621" spans="1:9" x14ac:dyDescent="0.35">
      <c r="A621" s="2" t="s">
        <v>106</v>
      </c>
      <c r="B621" s="3">
        <v>44774</v>
      </c>
      <c r="C621" s="2">
        <v>24</v>
      </c>
      <c r="D621" s="2">
        <v>38774</v>
      </c>
      <c r="E621" s="17">
        <v>84775.09</v>
      </c>
      <c r="F621" s="11">
        <v>6.55</v>
      </c>
      <c r="G621" s="9">
        <v>6037.6</v>
      </c>
      <c r="H621" s="10">
        <v>0.45800000000000002</v>
      </c>
      <c r="I621" s="11">
        <v>6.9</v>
      </c>
    </row>
    <row r="622" spans="1:9" x14ac:dyDescent="0.35">
      <c r="A622" s="2" t="s">
        <v>106</v>
      </c>
      <c r="B622" s="3">
        <v>44805</v>
      </c>
      <c r="C622" s="2">
        <v>14</v>
      </c>
      <c r="D622" s="2">
        <v>17513</v>
      </c>
      <c r="E622" s="17">
        <v>37612.82</v>
      </c>
      <c r="F622" s="11">
        <v>6.48</v>
      </c>
      <c r="G622" s="9">
        <v>2764.5</v>
      </c>
      <c r="H622" s="10">
        <v>0.57099999999999995</v>
      </c>
      <c r="I622" s="11">
        <v>6.4</v>
      </c>
    </row>
    <row r="623" spans="1:9" x14ac:dyDescent="0.35">
      <c r="A623" s="2" t="s">
        <v>106</v>
      </c>
      <c r="B623" s="3">
        <v>44835</v>
      </c>
      <c r="C623" s="2">
        <v>11</v>
      </c>
      <c r="D623" s="2">
        <v>18699</v>
      </c>
      <c r="E623" s="17">
        <v>39826.769999999997</v>
      </c>
      <c r="F623" s="11">
        <v>6.36</v>
      </c>
      <c r="G623" s="9">
        <v>2981.7</v>
      </c>
      <c r="H623" s="10">
        <v>0.45500000000000002</v>
      </c>
      <c r="I623" s="11">
        <v>7.7</v>
      </c>
    </row>
    <row r="624" spans="1:9" x14ac:dyDescent="0.35">
      <c r="A624" s="2" t="s">
        <v>106</v>
      </c>
      <c r="B624" s="3">
        <v>44866</v>
      </c>
      <c r="C624" s="2">
        <v>17</v>
      </c>
      <c r="D624" s="2">
        <v>26599</v>
      </c>
      <c r="E624" s="17">
        <v>58389.74</v>
      </c>
      <c r="F624" s="11">
        <v>6.3</v>
      </c>
      <c r="G624" s="9">
        <v>4265.5</v>
      </c>
      <c r="H624" s="10">
        <v>0.23499999999999999</v>
      </c>
      <c r="I624" s="11">
        <v>6</v>
      </c>
    </row>
    <row r="625" spans="1:9" x14ac:dyDescent="0.35">
      <c r="A625" s="2" t="s">
        <v>106</v>
      </c>
      <c r="B625" s="3">
        <v>44896</v>
      </c>
      <c r="C625" s="2">
        <v>19</v>
      </c>
      <c r="D625" s="2">
        <v>26408</v>
      </c>
      <c r="E625" s="17">
        <v>57839.25</v>
      </c>
      <c r="F625" s="11">
        <v>6.39</v>
      </c>
      <c r="G625" s="9">
        <v>4071.7</v>
      </c>
      <c r="H625" s="10">
        <v>0.52600000000000002</v>
      </c>
      <c r="I625" s="11">
        <v>6.6</v>
      </c>
    </row>
    <row r="626" spans="1:9" x14ac:dyDescent="0.35">
      <c r="A626" s="2" t="s">
        <v>106</v>
      </c>
      <c r="B626" s="3">
        <v>44927</v>
      </c>
      <c r="C626" s="2">
        <v>23</v>
      </c>
      <c r="D626" s="2">
        <v>33872</v>
      </c>
      <c r="E626" s="17">
        <v>69562.86</v>
      </c>
      <c r="F626" s="11">
        <v>6.71</v>
      </c>
      <c r="G626" s="9">
        <v>5001.3</v>
      </c>
      <c r="H626" s="10">
        <v>0.56499999999999995</v>
      </c>
      <c r="I626" s="11">
        <v>6</v>
      </c>
    </row>
    <row r="627" spans="1:9" x14ac:dyDescent="0.35">
      <c r="A627" s="2" t="s">
        <v>106</v>
      </c>
      <c r="B627" s="3">
        <v>44958</v>
      </c>
      <c r="C627" s="2">
        <v>18</v>
      </c>
      <c r="D627" s="2">
        <v>29817</v>
      </c>
      <c r="E627" s="17">
        <v>65392.44</v>
      </c>
      <c r="F627" s="11">
        <v>6.7</v>
      </c>
      <c r="G627" s="9">
        <v>4502.7</v>
      </c>
      <c r="H627" s="10">
        <v>0.61099999999999999</v>
      </c>
      <c r="I627" s="11">
        <v>7</v>
      </c>
    </row>
    <row r="628" spans="1:9" x14ac:dyDescent="0.35">
      <c r="A628" s="2" t="s">
        <v>106</v>
      </c>
      <c r="B628" s="3">
        <v>44986</v>
      </c>
      <c r="C628" s="2">
        <v>10</v>
      </c>
      <c r="D628" s="2">
        <v>11907</v>
      </c>
      <c r="E628" s="17">
        <v>22583.88</v>
      </c>
      <c r="F628" s="11">
        <v>6.7</v>
      </c>
      <c r="G628" s="9">
        <v>1779.8</v>
      </c>
      <c r="H628" s="10">
        <v>0.7</v>
      </c>
      <c r="I628" s="11">
        <v>7.7</v>
      </c>
    </row>
    <row r="629" spans="1:9" x14ac:dyDescent="0.35">
      <c r="A629" s="2" t="s">
        <v>106</v>
      </c>
      <c r="B629" s="3">
        <v>45017</v>
      </c>
      <c r="C629" s="2">
        <v>27</v>
      </c>
      <c r="D629" s="2">
        <v>40255</v>
      </c>
      <c r="E629" s="17">
        <v>79198.759999999995</v>
      </c>
      <c r="F629" s="11">
        <v>6.41</v>
      </c>
      <c r="G629" s="9">
        <v>6371.5</v>
      </c>
      <c r="H629" s="10">
        <v>0.51900000000000002</v>
      </c>
      <c r="I629" s="11">
        <v>7.4</v>
      </c>
    </row>
    <row r="630" spans="1:9" x14ac:dyDescent="0.35">
      <c r="A630" s="2" t="s">
        <v>106</v>
      </c>
      <c r="B630" s="3">
        <v>45047</v>
      </c>
      <c r="C630" s="2">
        <v>13</v>
      </c>
      <c r="D630" s="2">
        <v>13250</v>
      </c>
      <c r="E630" s="17">
        <v>27127.4</v>
      </c>
      <c r="F630" s="11">
        <v>6.41</v>
      </c>
      <c r="G630" s="9">
        <v>2107.6</v>
      </c>
      <c r="H630" s="10">
        <v>0.46200000000000002</v>
      </c>
      <c r="I630" s="11">
        <v>7.5</v>
      </c>
    </row>
    <row r="631" spans="1:9" x14ac:dyDescent="0.35">
      <c r="A631" s="2" t="s">
        <v>106</v>
      </c>
      <c r="B631" s="3">
        <v>45078</v>
      </c>
      <c r="C631" s="2">
        <v>27</v>
      </c>
      <c r="D631" s="2">
        <v>41212</v>
      </c>
      <c r="E631" s="17">
        <v>86665.11</v>
      </c>
      <c r="F631" s="11">
        <v>6.47</v>
      </c>
      <c r="G631" s="9">
        <v>6411.6</v>
      </c>
      <c r="H631" s="10">
        <v>0.44400000000000001</v>
      </c>
      <c r="I631" s="11">
        <v>6.9</v>
      </c>
    </row>
    <row r="632" spans="1:9" x14ac:dyDescent="0.35">
      <c r="A632" s="2" t="s">
        <v>106</v>
      </c>
      <c r="B632" s="3">
        <v>45108</v>
      </c>
      <c r="C632" s="2">
        <v>20</v>
      </c>
      <c r="D632" s="2">
        <v>31088</v>
      </c>
      <c r="E632" s="17">
        <v>64580.21</v>
      </c>
      <c r="F632" s="11">
        <v>6.74</v>
      </c>
      <c r="G632" s="9">
        <v>4662.8999999999996</v>
      </c>
      <c r="H632" s="10">
        <v>0.3</v>
      </c>
      <c r="I632" s="11">
        <v>7</v>
      </c>
    </row>
    <row r="633" spans="1:9" x14ac:dyDescent="0.35">
      <c r="A633" s="2" t="s">
        <v>106</v>
      </c>
      <c r="B633" s="3">
        <v>45139</v>
      </c>
      <c r="C633" s="2">
        <v>17</v>
      </c>
      <c r="D633" s="2">
        <v>26835</v>
      </c>
      <c r="E633" s="17">
        <v>59249.56</v>
      </c>
      <c r="F633" s="11">
        <v>6.61</v>
      </c>
      <c r="G633" s="9">
        <v>4080.6</v>
      </c>
      <c r="H633" s="10">
        <v>0.35299999999999998</v>
      </c>
      <c r="I633" s="11">
        <v>8.1</v>
      </c>
    </row>
    <row r="634" spans="1:9" x14ac:dyDescent="0.35">
      <c r="A634" s="2" t="s">
        <v>106</v>
      </c>
      <c r="B634" s="3">
        <v>45170</v>
      </c>
      <c r="C634" s="2">
        <v>22</v>
      </c>
      <c r="D634" s="2">
        <v>29673</v>
      </c>
      <c r="E634" s="17">
        <v>62996.800000000003</v>
      </c>
      <c r="F634" s="11">
        <v>6.55</v>
      </c>
      <c r="G634" s="9">
        <v>4551.8999999999996</v>
      </c>
      <c r="H634" s="10">
        <v>0.5</v>
      </c>
      <c r="I634" s="11">
        <v>6.8</v>
      </c>
    </row>
    <row r="635" spans="1:9" x14ac:dyDescent="0.35">
      <c r="A635" s="2" t="s">
        <v>106</v>
      </c>
      <c r="B635" s="3">
        <v>45200</v>
      </c>
      <c r="C635" s="2">
        <v>28</v>
      </c>
      <c r="D635" s="2">
        <v>41999</v>
      </c>
      <c r="E635" s="17">
        <v>89251.69</v>
      </c>
      <c r="F635" s="11">
        <v>6.73</v>
      </c>
      <c r="G635" s="9">
        <v>6301.1</v>
      </c>
      <c r="H635" s="10">
        <v>0.67900000000000005</v>
      </c>
      <c r="I635" s="11">
        <v>6.4</v>
      </c>
    </row>
    <row r="636" spans="1:9" x14ac:dyDescent="0.35">
      <c r="A636" s="2" t="s">
        <v>106</v>
      </c>
      <c r="B636" s="3">
        <v>45231</v>
      </c>
      <c r="C636" s="2">
        <v>14</v>
      </c>
      <c r="D636" s="2">
        <v>20760</v>
      </c>
      <c r="E636" s="17">
        <v>46816.480000000003</v>
      </c>
      <c r="F636" s="11">
        <v>6.48</v>
      </c>
      <c r="G636" s="9">
        <v>3212.5</v>
      </c>
      <c r="H636" s="10">
        <v>0.14299999999999999</v>
      </c>
      <c r="I636" s="11">
        <v>6</v>
      </c>
    </row>
    <row r="637" spans="1:9" x14ac:dyDescent="0.35">
      <c r="A637" s="2" t="s">
        <v>106</v>
      </c>
      <c r="B637" s="3">
        <v>45261</v>
      </c>
      <c r="C637" s="2">
        <v>15</v>
      </c>
      <c r="D637" s="2">
        <v>19667</v>
      </c>
      <c r="E637" s="17">
        <v>42503.69</v>
      </c>
      <c r="F637" s="11">
        <v>6.46</v>
      </c>
      <c r="G637" s="9">
        <v>3098</v>
      </c>
      <c r="H637" s="10">
        <v>0.26700000000000002</v>
      </c>
      <c r="I637" s="11">
        <v>7</v>
      </c>
    </row>
    <row r="638" spans="1:9" x14ac:dyDescent="0.35">
      <c r="A638" s="2" t="s">
        <v>106</v>
      </c>
      <c r="B638" s="3">
        <v>45292</v>
      </c>
      <c r="C638" s="2">
        <v>18</v>
      </c>
      <c r="D638" s="2">
        <v>24017</v>
      </c>
      <c r="E638" s="17">
        <v>53518.82</v>
      </c>
      <c r="F638" s="11">
        <v>6.41</v>
      </c>
      <c r="G638" s="9">
        <v>3793.5</v>
      </c>
      <c r="H638" s="10">
        <v>0.61099999999999999</v>
      </c>
      <c r="I638" s="11">
        <v>8.4</v>
      </c>
    </row>
    <row r="639" spans="1:9" x14ac:dyDescent="0.35">
      <c r="A639" s="2" t="s">
        <v>106</v>
      </c>
      <c r="B639" s="3">
        <v>45323</v>
      </c>
      <c r="C639" s="2">
        <v>14</v>
      </c>
      <c r="D639" s="2">
        <v>22185</v>
      </c>
      <c r="E639" s="17">
        <v>52468.52</v>
      </c>
      <c r="F639" s="11">
        <v>6.42</v>
      </c>
      <c r="G639" s="9">
        <v>3498.8</v>
      </c>
      <c r="H639" s="10">
        <v>0.78600000000000003</v>
      </c>
      <c r="I639" s="11">
        <v>7.4</v>
      </c>
    </row>
    <row r="640" spans="1:9" x14ac:dyDescent="0.35">
      <c r="A640" s="2" t="s">
        <v>106</v>
      </c>
      <c r="B640" s="3">
        <v>45352</v>
      </c>
      <c r="C640" s="2">
        <v>14</v>
      </c>
      <c r="D640" s="2">
        <v>19208</v>
      </c>
      <c r="E640" s="17">
        <v>41756.06</v>
      </c>
      <c r="F640" s="11">
        <v>6.5</v>
      </c>
      <c r="G640" s="9">
        <v>2982.6</v>
      </c>
      <c r="H640" s="10">
        <v>0.64300000000000002</v>
      </c>
      <c r="I640" s="11">
        <v>8.1</v>
      </c>
    </row>
    <row r="641" spans="1:9" x14ac:dyDescent="0.35">
      <c r="A641" s="2" t="s">
        <v>106</v>
      </c>
      <c r="B641" s="3">
        <v>45383</v>
      </c>
      <c r="C641" s="2">
        <v>26</v>
      </c>
      <c r="D641" s="2">
        <v>26903</v>
      </c>
      <c r="E641" s="17">
        <v>54555.67</v>
      </c>
      <c r="F641" s="11">
        <v>6.83</v>
      </c>
      <c r="G641" s="9">
        <v>3895.1</v>
      </c>
      <c r="H641" s="10">
        <v>0.46200000000000002</v>
      </c>
      <c r="I641" s="11">
        <v>6.7</v>
      </c>
    </row>
    <row r="642" spans="1:9" x14ac:dyDescent="0.35">
      <c r="A642" s="2" t="s">
        <v>106</v>
      </c>
      <c r="B642" s="3">
        <v>45413</v>
      </c>
      <c r="C642" s="2">
        <v>22</v>
      </c>
      <c r="D642" s="2">
        <v>31313</v>
      </c>
      <c r="E642" s="17">
        <v>64863.06</v>
      </c>
      <c r="F642" s="11">
        <v>6.65</v>
      </c>
      <c r="G642" s="9">
        <v>4786.1000000000004</v>
      </c>
      <c r="H642" s="10">
        <v>0.5</v>
      </c>
      <c r="I642" s="11">
        <v>7.2</v>
      </c>
    </row>
    <row r="643" spans="1:9" x14ac:dyDescent="0.35">
      <c r="A643" s="2" t="s">
        <v>106</v>
      </c>
      <c r="B643" s="3">
        <v>45444</v>
      </c>
      <c r="C643" s="2">
        <v>21</v>
      </c>
      <c r="D643" s="2">
        <v>28923</v>
      </c>
      <c r="E643" s="17">
        <v>62666.05</v>
      </c>
      <c r="F643" s="11">
        <v>6.55</v>
      </c>
      <c r="G643" s="9">
        <v>4440.8</v>
      </c>
      <c r="H643" s="10">
        <v>0.52400000000000002</v>
      </c>
      <c r="I643" s="11">
        <v>7.6</v>
      </c>
    </row>
    <row r="644" spans="1:9" x14ac:dyDescent="0.35">
      <c r="A644" s="2" t="s">
        <v>106</v>
      </c>
      <c r="B644" s="3">
        <v>45474</v>
      </c>
      <c r="C644" s="2">
        <v>15</v>
      </c>
      <c r="D644" s="2">
        <v>20139</v>
      </c>
      <c r="E644" s="17">
        <v>41541.06</v>
      </c>
      <c r="F644" s="11">
        <v>6.62</v>
      </c>
      <c r="G644" s="9">
        <v>3083.8</v>
      </c>
      <c r="H644" s="10">
        <v>0.53300000000000003</v>
      </c>
      <c r="I644" s="11">
        <v>6.8</v>
      </c>
    </row>
    <row r="645" spans="1:9" x14ac:dyDescent="0.35">
      <c r="A645" s="2" t="s">
        <v>106</v>
      </c>
      <c r="B645" s="3">
        <v>45505</v>
      </c>
      <c r="C645" s="2">
        <v>20</v>
      </c>
      <c r="D645" s="2">
        <v>21924</v>
      </c>
      <c r="E645" s="17">
        <v>49225.64</v>
      </c>
      <c r="F645" s="11">
        <v>6.33</v>
      </c>
      <c r="G645" s="9">
        <v>3432.9</v>
      </c>
      <c r="H645" s="10">
        <v>0.3</v>
      </c>
      <c r="I645" s="11">
        <v>7.3</v>
      </c>
    </row>
    <row r="646" spans="1:9" x14ac:dyDescent="0.35">
      <c r="A646" s="2" t="s">
        <v>106</v>
      </c>
      <c r="B646" s="3">
        <v>45536</v>
      </c>
      <c r="C646" s="2">
        <v>9</v>
      </c>
      <c r="D646" s="2">
        <v>12339</v>
      </c>
      <c r="E646" s="17">
        <v>29599.29</v>
      </c>
      <c r="F646" s="11">
        <v>6.23</v>
      </c>
      <c r="G646" s="9">
        <v>1987</v>
      </c>
      <c r="H646" s="10">
        <v>0.222</v>
      </c>
      <c r="I646" s="11">
        <v>7.6</v>
      </c>
    </row>
    <row r="647" spans="1:9" x14ac:dyDescent="0.35">
      <c r="A647" s="2" t="s">
        <v>106</v>
      </c>
      <c r="B647" s="3">
        <v>45566</v>
      </c>
      <c r="C647" s="2">
        <v>21</v>
      </c>
      <c r="D647" s="2">
        <v>23237</v>
      </c>
      <c r="E647" s="17">
        <v>49891.62</v>
      </c>
      <c r="F647" s="11">
        <v>6.35</v>
      </c>
      <c r="G647" s="9">
        <v>3677.9</v>
      </c>
      <c r="H647" s="10">
        <v>0.47599999999999998</v>
      </c>
      <c r="I647" s="11">
        <v>7</v>
      </c>
    </row>
    <row r="648" spans="1:9" x14ac:dyDescent="0.35">
      <c r="A648" s="2" t="s">
        <v>106</v>
      </c>
      <c r="B648" s="3">
        <v>45597</v>
      </c>
      <c r="C648" s="2">
        <v>22</v>
      </c>
      <c r="D648" s="2">
        <v>33620</v>
      </c>
      <c r="E648" s="17">
        <v>69512.52</v>
      </c>
      <c r="F648" s="11">
        <v>6.4</v>
      </c>
      <c r="G648" s="9">
        <v>5303.5</v>
      </c>
      <c r="H648" s="10">
        <v>0.54500000000000004</v>
      </c>
      <c r="I648" s="11">
        <v>6.6</v>
      </c>
    </row>
    <row r="649" spans="1:9" x14ac:dyDescent="0.35">
      <c r="A649" s="2" t="s">
        <v>106</v>
      </c>
      <c r="B649" s="3">
        <v>45627</v>
      </c>
      <c r="C649" s="2">
        <v>22</v>
      </c>
      <c r="D649" s="2">
        <v>34486</v>
      </c>
      <c r="E649" s="17">
        <v>78717.97</v>
      </c>
      <c r="F649" s="11">
        <v>6.53</v>
      </c>
      <c r="G649" s="9">
        <v>5339.8</v>
      </c>
      <c r="H649" s="10">
        <v>0.54500000000000004</v>
      </c>
      <c r="I649" s="11">
        <v>7</v>
      </c>
    </row>
    <row r="650" spans="1:9" x14ac:dyDescent="0.35">
      <c r="A650" s="2" t="s">
        <v>114</v>
      </c>
      <c r="B650" s="3">
        <v>44562</v>
      </c>
      <c r="C650" s="2">
        <v>17</v>
      </c>
      <c r="D650" s="2">
        <v>22554</v>
      </c>
      <c r="E650" s="17">
        <v>51383.47</v>
      </c>
      <c r="F650" s="11">
        <v>6.38</v>
      </c>
      <c r="G650" s="9">
        <v>3674.3</v>
      </c>
      <c r="H650" s="10">
        <v>0.35299999999999998</v>
      </c>
      <c r="I650" s="11">
        <v>7.4</v>
      </c>
    </row>
    <row r="651" spans="1:9" x14ac:dyDescent="0.35">
      <c r="A651" s="2" t="s">
        <v>114</v>
      </c>
      <c r="B651" s="3">
        <v>44593</v>
      </c>
      <c r="C651" s="2">
        <v>16</v>
      </c>
      <c r="D651" s="2">
        <v>15925</v>
      </c>
      <c r="E651" s="17">
        <v>36939.61</v>
      </c>
      <c r="F651" s="11">
        <v>6.48</v>
      </c>
      <c r="G651" s="9">
        <v>2447.9</v>
      </c>
      <c r="H651" s="10">
        <v>0.375</v>
      </c>
      <c r="I651" s="11">
        <v>5.5</v>
      </c>
    </row>
    <row r="652" spans="1:9" x14ac:dyDescent="0.35">
      <c r="A652" s="2" t="s">
        <v>114</v>
      </c>
      <c r="B652" s="3">
        <v>44621</v>
      </c>
      <c r="C652" s="2">
        <v>25</v>
      </c>
      <c r="D652" s="2">
        <v>31059</v>
      </c>
      <c r="E652" s="17">
        <v>66875.62</v>
      </c>
      <c r="F652" s="11">
        <v>6.65</v>
      </c>
      <c r="G652" s="9">
        <v>4726.3</v>
      </c>
      <c r="H652" s="10">
        <v>0.52</v>
      </c>
      <c r="I652" s="11">
        <v>7.7</v>
      </c>
    </row>
    <row r="653" spans="1:9" x14ac:dyDescent="0.35">
      <c r="A653" s="2" t="s">
        <v>114</v>
      </c>
      <c r="B653" s="3">
        <v>44652</v>
      </c>
      <c r="C653" s="2">
        <v>14</v>
      </c>
      <c r="D653" s="2">
        <v>22189</v>
      </c>
      <c r="E653" s="17">
        <v>49948.42</v>
      </c>
      <c r="F653" s="11">
        <v>6.31</v>
      </c>
      <c r="G653" s="9">
        <v>3526.4</v>
      </c>
      <c r="H653" s="10">
        <v>0.5</v>
      </c>
      <c r="I653" s="11">
        <v>6.7</v>
      </c>
    </row>
    <row r="654" spans="1:9" x14ac:dyDescent="0.35">
      <c r="A654" s="2" t="s">
        <v>114</v>
      </c>
      <c r="B654" s="3">
        <v>44682</v>
      </c>
      <c r="C654" s="2">
        <v>20</v>
      </c>
      <c r="D654" s="2">
        <v>26668</v>
      </c>
      <c r="E654" s="17">
        <v>57636.15</v>
      </c>
      <c r="F654" s="11">
        <v>6.27</v>
      </c>
      <c r="G654" s="9">
        <v>4322.5</v>
      </c>
      <c r="H654" s="10">
        <v>0.6</v>
      </c>
      <c r="I654" s="11">
        <v>7.1</v>
      </c>
    </row>
    <row r="655" spans="1:9" x14ac:dyDescent="0.35">
      <c r="A655" s="2" t="s">
        <v>114</v>
      </c>
      <c r="B655" s="3">
        <v>44713</v>
      </c>
      <c r="C655" s="2">
        <v>22</v>
      </c>
      <c r="D655" s="2">
        <v>37474</v>
      </c>
      <c r="E655" s="17">
        <v>77371.73</v>
      </c>
      <c r="F655" s="11">
        <v>6.55</v>
      </c>
      <c r="G655" s="9">
        <v>5803</v>
      </c>
      <c r="H655" s="10">
        <v>0.45500000000000002</v>
      </c>
      <c r="I655" s="11">
        <v>6.9</v>
      </c>
    </row>
    <row r="656" spans="1:9" x14ac:dyDescent="0.35">
      <c r="A656" s="2" t="s">
        <v>114</v>
      </c>
      <c r="B656" s="3">
        <v>44743</v>
      </c>
      <c r="C656" s="2">
        <v>14</v>
      </c>
      <c r="D656" s="2">
        <v>22267</v>
      </c>
      <c r="E656" s="17">
        <v>43442.52</v>
      </c>
      <c r="F656" s="11">
        <v>6.62</v>
      </c>
      <c r="G656" s="9">
        <v>3375.3</v>
      </c>
      <c r="H656" s="10">
        <v>0.5</v>
      </c>
      <c r="I656" s="11">
        <v>6.8</v>
      </c>
    </row>
    <row r="657" spans="1:9" x14ac:dyDescent="0.35">
      <c r="A657" s="2" t="s">
        <v>114</v>
      </c>
      <c r="B657" s="3">
        <v>44774</v>
      </c>
      <c r="C657" s="2">
        <v>19</v>
      </c>
      <c r="D657" s="2">
        <v>25226</v>
      </c>
      <c r="E657" s="17">
        <v>51254.47</v>
      </c>
      <c r="F657" s="11">
        <v>6.51</v>
      </c>
      <c r="G657" s="9">
        <v>3839.2</v>
      </c>
      <c r="H657" s="10">
        <v>0.42099999999999999</v>
      </c>
      <c r="I657" s="11">
        <v>7.8</v>
      </c>
    </row>
    <row r="658" spans="1:9" x14ac:dyDescent="0.35">
      <c r="A658" s="2" t="s">
        <v>114</v>
      </c>
      <c r="B658" s="3">
        <v>44805</v>
      </c>
      <c r="C658" s="2">
        <v>19</v>
      </c>
      <c r="D658" s="2">
        <v>23293</v>
      </c>
      <c r="E658" s="17">
        <v>51174.02</v>
      </c>
      <c r="F658" s="11">
        <v>6.67</v>
      </c>
      <c r="G658" s="9">
        <v>3549.4</v>
      </c>
      <c r="H658" s="10">
        <v>0.316</v>
      </c>
      <c r="I658" s="11">
        <v>6.1</v>
      </c>
    </row>
    <row r="659" spans="1:9" x14ac:dyDescent="0.35">
      <c r="A659" s="2" t="s">
        <v>114</v>
      </c>
      <c r="B659" s="3">
        <v>44835</v>
      </c>
      <c r="C659" s="2">
        <v>18</v>
      </c>
      <c r="D659" s="2">
        <v>26609</v>
      </c>
      <c r="E659" s="17">
        <v>56909.18</v>
      </c>
      <c r="F659" s="11">
        <v>6.55</v>
      </c>
      <c r="G659" s="9">
        <v>4125.8999999999996</v>
      </c>
      <c r="H659" s="10">
        <v>0.61099999999999999</v>
      </c>
      <c r="I659" s="11">
        <v>6.6</v>
      </c>
    </row>
    <row r="660" spans="1:9" x14ac:dyDescent="0.35">
      <c r="A660" s="2" t="s">
        <v>114</v>
      </c>
      <c r="B660" s="3">
        <v>44866</v>
      </c>
      <c r="C660" s="2">
        <v>20</v>
      </c>
      <c r="D660" s="2">
        <v>35420</v>
      </c>
      <c r="E660" s="17">
        <v>86556.91</v>
      </c>
      <c r="F660" s="11">
        <v>6.52</v>
      </c>
      <c r="G660" s="9">
        <v>5497.6</v>
      </c>
      <c r="H660" s="10">
        <v>0.45</v>
      </c>
      <c r="I660" s="11">
        <v>6</v>
      </c>
    </row>
    <row r="661" spans="1:9" x14ac:dyDescent="0.35">
      <c r="A661" s="2" t="s">
        <v>114</v>
      </c>
      <c r="B661" s="3">
        <v>44896</v>
      </c>
      <c r="C661" s="2">
        <v>20</v>
      </c>
      <c r="D661" s="2">
        <v>32931</v>
      </c>
      <c r="E661" s="17">
        <v>69046.63</v>
      </c>
      <c r="F661" s="11">
        <v>6.61</v>
      </c>
      <c r="G661" s="9">
        <v>4980.6000000000004</v>
      </c>
      <c r="H661" s="10">
        <v>0.45</v>
      </c>
      <c r="I661" s="11">
        <v>7</v>
      </c>
    </row>
    <row r="662" spans="1:9" x14ac:dyDescent="0.35">
      <c r="A662" s="2" t="s">
        <v>114</v>
      </c>
      <c r="B662" s="3">
        <v>44927</v>
      </c>
      <c r="C662" s="2">
        <v>24</v>
      </c>
      <c r="D662" s="2">
        <v>35902</v>
      </c>
      <c r="E662" s="17">
        <v>79235.7</v>
      </c>
      <c r="F662" s="11">
        <v>6.51</v>
      </c>
      <c r="G662" s="9">
        <v>5534.1</v>
      </c>
      <c r="H662" s="10">
        <v>0.58299999999999996</v>
      </c>
      <c r="I662" s="11">
        <v>8.1</v>
      </c>
    </row>
    <row r="663" spans="1:9" x14ac:dyDescent="0.35">
      <c r="A663" s="2" t="s">
        <v>114</v>
      </c>
      <c r="B663" s="3">
        <v>44958</v>
      </c>
      <c r="C663" s="2">
        <v>22</v>
      </c>
      <c r="D663" s="2">
        <v>33604</v>
      </c>
      <c r="E663" s="17">
        <v>72997.89</v>
      </c>
      <c r="F663" s="11">
        <v>6.59</v>
      </c>
      <c r="G663" s="9">
        <v>5159</v>
      </c>
      <c r="H663" s="10">
        <v>0.318</v>
      </c>
      <c r="I663" s="11">
        <v>7</v>
      </c>
    </row>
    <row r="664" spans="1:9" x14ac:dyDescent="0.35">
      <c r="A664" s="2" t="s">
        <v>114</v>
      </c>
      <c r="B664" s="3">
        <v>44986</v>
      </c>
      <c r="C664" s="2">
        <v>14</v>
      </c>
      <c r="D664" s="2">
        <v>21415</v>
      </c>
      <c r="E664" s="17">
        <v>40349.33</v>
      </c>
      <c r="F664" s="11">
        <v>6.79</v>
      </c>
      <c r="G664" s="9">
        <v>3153</v>
      </c>
      <c r="H664" s="10">
        <v>0.5</v>
      </c>
      <c r="I664" s="11">
        <v>6.9</v>
      </c>
    </row>
    <row r="665" spans="1:9" x14ac:dyDescent="0.35">
      <c r="A665" s="2" t="s">
        <v>114</v>
      </c>
      <c r="B665" s="3">
        <v>45017</v>
      </c>
      <c r="C665" s="2">
        <v>23</v>
      </c>
      <c r="D665" s="2">
        <v>35271</v>
      </c>
      <c r="E665" s="17">
        <v>73845.14</v>
      </c>
      <c r="F665" s="11">
        <v>6.29</v>
      </c>
      <c r="G665" s="9">
        <v>5674.3</v>
      </c>
      <c r="H665" s="10">
        <v>0.217</v>
      </c>
      <c r="I665" s="11">
        <v>7.6</v>
      </c>
    </row>
    <row r="666" spans="1:9" x14ac:dyDescent="0.35">
      <c r="A666" s="2" t="s">
        <v>114</v>
      </c>
      <c r="B666" s="3">
        <v>45047</v>
      </c>
      <c r="C666" s="2">
        <v>24</v>
      </c>
      <c r="D666" s="2">
        <v>28329</v>
      </c>
      <c r="E666" s="17">
        <v>58032.89</v>
      </c>
      <c r="F666" s="11">
        <v>6.54</v>
      </c>
      <c r="G666" s="9">
        <v>4328.1000000000004</v>
      </c>
      <c r="H666" s="10">
        <v>0.45800000000000002</v>
      </c>
      <c r="I666" s="11">
        <v>6.4</v>
      </c>
    </row>
    <row r="667" spans="1:9" x14ac:dyDescent="0.35">
      <c r="A667" s="2" t="s">
        <v>114</v>
      </c>
      <c r="B667" s="3">
        <v>45078</v>
      </c>
      <c r="C667" s="2">
        <v>22</v>
      </c>
      <c r="D667" s="2">
        <v>33258</v>
      </c>
      <c r="E667" s="17">
        <v>70653.47</v>
      </c>
      <c r="F667" s="11">
        <v>6.6</v>
      </c>
      <c r="G667" s="9">
        <v>5154.7</v>
      </c>
      <c r="H667" s="10">
        <v>0.63600000000000001</v>
      </c>
      <c r="I667" s="11">
        <v>6.7</v>
      </c>
    </row>
    <row r="668" spans="1:9" x14ac:dyDescent="0.35">
      <c r="A668" s="2" t="s">
        <v>114</v>
      </c>
      <c r="B668" s="3">
        <v>45108</v>
      </c>
      <c r="C668" s="2">
        <v>18</v>
      </c>
      <c r="D668" s="2">
        <v>22429</v>
      </c>
      <c r="E668" s="17">
        <v>50127.31</v>
      </c>
      <c r="F668" s="11">
        <v>6.31</v>
      </c>
      <c r="G668" s="9">
        <v>3612.7</v>
      </c>
      <c r="H668" s="10">
        <v>0.55600000000000005</v>
      </c>
      <c r="I668" s="11">
        <v>7.6</v>
      </c>
    </row>
    <row r="669" spans="1:9" x14ac:dyDescent="0.35">
      <c r="A669" s="2" t="s">
        <v>114</v>
      </c>
      <c r="B669" s="3">
        <v>45139</v>
      </c>
      <c r="C669" s="2">
        <v>24</v>
      </c>
      <c r="D669" s="2">
        <v>38629</v>
      </c>
      <c r="E669" s="17">
        <v>80824.649999999994</v>
      </c>
      <c r="F669" s="11">
        <v>6.53</v>
      </c>
      <c r="G669" s="9">
        <v>5993</v>
      </c>
      <c r="H669" s="10">
        <v>0.58299999999999996</v>
      </c>
      <c r="I669" s="11">
        <v>7.9</v>
      </c>
    </row>
    <row r="670" spans="1:9" x14ac:dyDescent="0.35">
      <c r="A670" s="2" t="s">
        <v>114</v>
      </c>
      <c r="B670" s="3">
        <v>45170</v>
      </c>
      <c r="C670" s="2">
        <v>17</v>
      </c>
      <c r="D670" s="2">
        <v>25455</v>
      </c>
      <c r="E670" s="17">
        <v>55176.7</v>
      </c>
      <c r="F670" s="11">
        <v>6.54</v>
      </c>
      <c r="G670" s="9">
        <v>3948.6</v>
      </c>
      <c r="H670" s="10">
        <v>0.52900000000000003</v>
      </c>
      <c r="I670" s="11">
        <v>6.7</v>
      </c>
    </row>
    <row r="671" spans="1:9" x14ac:dyDescent="0.35">
      <c r="A671" s="2" t="s">
        <v>114</v>
      </c>
      <c r="B671" s="3">
        <v>45200</v>
      </c>
      <c r="C671" s="2">
        <v>7</v>
      </c>
      <c r="D671" s="2">
        <v>6624</v>
      </c>
      <c r="E671" s="17">
        <v>16555.04</v>
      </c>
      <c r="F671" s="11">
        <v>6.39</v>
      </c>
      <c r="G671" s="9">
        <v>1055</v>
      </c>
      <c r="H671" s="10">
        <v>0.57099999999999995</v>
      </c>
      <c r="I671" s="11">
        <v>8.1</v>
      </c>
    </row>
    <row r="672" spans="1:9" x14ac:dyDescent="0.35">
      <c r="A672" s="2" t="s">
        <v>114</v>
      </c>
      <c r="B672" s="3">
        <v>45231</v>
      </c>
      <c r="C672" s="2">
        <v>15</v>
      </c>
      <c r="D672" s="2">
        <v>21691</v>
      </c>
      <c r="E672" s="17">
        <v>41468.81</v>
      </c>
      <c r="F672" s="11">
        <v>6.58</v>
      </c>
      <c r="G672" s="9">
        <v>3317.6</v>
      </c>
      <c r="H672" s="10">
        <v>0.6</v>
      </c>
      <c r="I672" s="11">
        <v>7.1</v>
      </c>
    </row>
    <row r="673" spans="1:9" x14ac:dyDescent="0.35">
      <c r="A673" s="2" t="s">
        <v>114</v>
      </c>
      <c r="B673" s="3">
        <v>45261</v>
      </c>
      <c r="C673" s="2">
        <v>21</v>
      </c>
      <c r="D673" s="2">
        <v>28897</v>
      </c>
      <c r="E673" s="17">
        <v>60162.83</v>
      </c>
      <c r="F673" s="11">
        <v>6.54</v>
      </c>
      <c r="G673" s="9">
        <v>4491</v>
      </c>
      <c r="H673" s="10">
        <v>0.47599999999999998</v>
      </c>
      <c r="I673" s="11">
        <v>7.2</v>
      </c>
    </row>
    <row r="674" spans="1:9" x14ac:dyDescent="0.35">
      <c r="A674" s="2" t="s">
        <v>114</v>
      </c>
      <c r="B674" s="3">
        <v>45292</v>
      </c>
      <c r="C674" s="2">
        <v>17</v>
      </c>
      <c r="D674" s="2">
        <v>23752</v>
      </c>
      <c r="E674" s="17">
        <v>46601.08</v>
      </c>
      <c r="F674" s="11">
        <v>6.36</v>
      </c>
      <c r="G674" s="9">
        <v>3791.7</v>
      </c>
      <c r="H674" s="10">
        <v>0.64700000000000002</v>
      </c>
      <c r="I674" s="11">
        <v>6.2</v>
      </c>
    </row>
    <row r="675" spans="1:9" x14ac:dyDescent="0.35">
      <c r="A675" s="2" t="s">
        <v>114</v>
      </c>
      <c r="B675" s="3">
        <v>45323</v>
      </c>
      <c r="C675" s="2">
        <v>18</v>
      </c>
      <c r="D675" s="2">
        <v>26941</v>
      </c>
      <c r="E675" s="17">
        <v>58182.8</v>
      </c>
      <c r="F675" s="11">
        <v>6.78</v>
      </c>
      <c r="G675" s="9">
        <v>4031</v>
      </c>
      <c r="H675" s="10">
        <v>0.5</v>
      </c>
      <c r="I675" s="11">
        <v>6.8</v>
      </c>
    </row>
    <row r="676" spans="1:9" x14ac:dyDescent="0.35">
      <c r="A676" s="2" t="s">
        <v>114</v>
      </c>
      <c r="B676" s="3">
        <v>45352</v>
      </c>
      <c r="C676" s="2">
        <v>19</v>
      </c>
      <c r="D676" s="2">
        <v>29782</v>
      </c>
      <c r="E676" s="17">
        <v>63910.879999999997</v>
      </c>
      <c r="F676" s="11">
        <v>6.54</v>
      </c>
      <c r="G676" s="9">
        <v>4621.3999999999996</v>
      </c>
      <c r="H676" s="10">
        <v>0.42099999999999999</v>
      </c>
      <c r="I676" s="11">
        <v>7.6</v>
      </c>
    </row>
    <row r="677" spans="1:9" x14ac:dyDescent="0.35">
      <c r="A677" s="2" t="s">
        <v>114</v>
      </c>
      <c r="B677" s="3">
        <v>45383</v>
      </c>
      <c r="C677" s="2">
        <v>14</v>
      </c>
      <c r="D677" s="2">
        <v>19804</v>
      </c>
      <c r="E677" s="17">
        <v>46351.32</v>
      </c>
      <c r="F677" s="11">
        <v>6.38</v>
      </c>
      <c r="G677" s="9">
        <v>3053.7</v>
      </c>
      <c r="H677" s="10">
        <v>0.42899999999999999</v>
      </c>
      <c r="I677" s="11">
        <v>6.8</v>
      </c>
    </row>
    <row r="678" spans="1:9" x14ac:dyDescent="0.35">
      <c r="A678" s="2" t="s">
        <v>114</v>
      </c>
      <c r="B678" s="3">
        <v>45413</v>
      </c>
      <c r="C678" s="2">
        <v>19</v>
      </c>
      <c r="D678" s="2">
        <v>26805</v>
      </c>
      <c r="E678" s="17">
        <v>59784.37</v>
      </c>
      <c r="F678" s="11">
        <v>6.34</v>
      </c>
      <c r="G678" s="9">
        <v>4222.8999999999996</v>
      </c>
      <c r="H678" s="10">
        <v>0.63200000000000001</v>
      </c>
      <c r="I678" s="11">
        <v>7.1</v>
      </c>
    </row>
    <row r="679" spans="1:9" x14ac:dyDescent="0.35">
      <c r="A679" s="2" t="s">
        <v>114</v>
      </c>
      <c r="B679" s="3">
        <v>45444</v>
      </c>
      <c r="C679" s="2">
        <v>11</v>
      </c>
      <c r="D679" s="2">
        <v>18387</v>
      </c>
      <c r="E679" s="17">
        <v>37709.5</v>
      </c>
      <c r="F679" s="11">
        <v>6.19</v>
      </c>
      <c r="G679" s="9">
        <v>2920.3</v>
      </c>
      <c r="H679" s="10">
        <v>0.54500000000000004</v>
      </c>
      <c r="I679" s="11">
        <v>7.9</v>
      </c>
    </row>
    <row r="680" spans="1:9" x14ac:dyDescent="0.35">
      <c r="A680" s="2" t="s">
        <v>114</v>
      </c>
      <c r="B680" s="3">
        <v>45474</v>
      </c>
      <c r="C680" s="2">
        <v>17</v>
      </c>
      <c r="D680" s="2">
        <v>28089</v>
      </c>
      <c r="E680" s="17">
        <v>63575.62</v>
      </c>
      <c r="F680" s="11">
        <v>6.53</v>
      </c>
      <c r="G680" s="9">
        <v>4309.3999999999996</v>
      </c>
      <c r="H680" s="10">
        <v>0.58799999999999997</v>
      </c>
      <c r="I680" s="11">
        <v>6.8</v>
      </c>
    </row>
    <row r="681" spans="1:9" x14ac:dyDescent="0.35">
      <c r="A681" s="2" t="s">
        <v>114</v>
      </c>
      <c r="B681" s="3">
        <v>45505</v>
      </c>
      <c r="C681" s="2">
        <v>19</v>
      </c>
      <c r="D681" s="2">
        <v>30584</v>
      </c>
      <c r="E681" s="17">
        <v>74072.52</v>
      </c>
      <c r="F681" s="11">
        <v>6.47</v>
      </c>
      <c r="G681" s="9">
        <v>4806.1000000000004</v>
      </c>
      <c r="H681" s="10">
        <v>0.316</v>
      </c>
      <c r="I681" s="11">
        <v>7.7</v>
      </c>
    </row>
    <row r="682" spans="1:9" x14ac:dyDescent="0.35">
      <c r="A682" s="2" t="s">
        <v>114</v>
      </c>
      <c r="B682" s="3">
        <v>45536</v>
      </c>
      <c r="C682" s="2">
        <v>21</v>
      </c>
      <c r="D682" s="2">
        <v>26286</v>
      </c>
      <c r="E682" s="17">
        <v>55359.83</v>
      </c>
      <c r="F682" s="11">
        <v>6.81</v>
      </c>
      <c r="G682" s="9">
        <v>3843.6</v>
      </c>
      <c r="H682" s="10">
        <v>0.57099999999999995</v>
      </c>
      <c r="I682" s="11">
        <v>6.2</v>
      </c>
    </row>
    <row r="683" spans="1:9" x14ac:dyDescent="0.35">
      <c r="A683" s="2" t="s">
        <v>114</v>
      </c>
      <c r="B683" s="3">
        <v>45566</v>
      </c>
      <c r="C683" s="2">
        <v>10</v>
      </c>
      <c r="D683" s="2">
        <v>16433</v>
      </c>
      <c r="E683" s="17">
        <v>34372.51</v>
      </c>
      <c r="F683" s="11">
        <v>6.42</v>
      </c>
      <c r="G683" s="9">
        <v>2592.5</v>
      </c>
      <c r="H683" s="10">
        <v>0.2</v>
      </c>
      <c r="I683" s="11">
        <v>6.5</v>
      </c>
    </row>
    <row r="684" spans="1:9" x14ac:dyDescent="0.35">
      <c r="A684" s="2" t="s">
        <v>114</v>
      </c>
      <c r="B684" s="3">
        <v>45597</v>
      </c>
      <c r="C684" s="2">
        <v>19</v>
      </c>
      <c r="D684" s="2">
        <v>28118</v>
      </c>
      <c r="E684" s="17">
        <v>64205.48</v>
      </c>
      <c r="F684" s="11">
        <v>6.37</v>
      </c>
      <c r="G684" s="9">
        <v>4407.8</v>
      </c>
      <c r="H684" s="10">
        <v>0.63200000000000001</v>
      </c>
      <c r="I684" s="11">
        <v>6.8</v>
      </c>
    </row>
    <row r="685" spans="1:9" x14ac:dyDescent="0.35">
      <c r="A685" s="2" t="s">
        <v>114</v>
      </c>
      <c r="B685" s="3">
        <v>45627</v>
      </c>
      <c r="C685" s="2">
        <v>19</v>
      </c>
      <c r="D685" s="2">
        <v>25019</v>
      </c>
      <c r="E685" s="17">
        <v>54537.42</v>
      </c>
      <c r="F685" s="11">
        <v>6.57</v>
      </c>
      <c r="G685" s="9">
        <v>3808.9</v>
      </c>
      <c r="H685" s="10">
        <v>0.26300000000000001</v>
      </c>
      <c r="I685" s="11">
        <v>7.5</v>
      </c>
    </row>
    <row r="686" spans="1:9" x14ac:dyDescent="0.35">
      <c r="A686" s="2" t="s">
        <v>118</v>
      </c>
      <c r="B686" s="3">
        <v>44562</v>
      </c>
      <c r="C686" s="2">
        <v>14</v>
      </c>
      <c r="D686" s="2">
        <v>21997</v>
      </c>
      <c r="E686" s="17">
        <v>48611.43</v>
      </c>
      <c r="F686" s="11">
        <v>6.62</v>
      </c>
      <c r="G686" s="9">
        <v>3321.1</v>
      </c>
      <c r="H686" s="10">
        <v>0.35699999999999998</v>
      </c>
      <c r="I686" s="11">
        <v>7.2</v>
      </c>
    </row>
    <row r="687" spans="1:9" x14ac:dyDescent="0.35">
      <c r="A687" s="2" t="s">
        <v>118</v>
      </c>
      <c r="B687" s="3">
        <v>44593</v>
      </c>
      <c r="C687" s="2">
        <v>19</v>
      </c>
      <c r="D687" s="2">
        <v>24273</v>
      </c>
      <c r="E687" s="17">
        <v>51926.45</v>
      </c>
      <c r="F687" s="11">
        <v>6.63</v>
      </c>
      <c r="G687" s="9">
        <v>3716.9</v>
      </c>
      <c r="H687" s="10">
        <v>0.36799999999999999</v>
      </c>
      <c r="I687" s="11">
        <v>7.3</v>
      </c>
    </row>
    <row r="688" spans="1:9" x14ac:dyDescent="0.35">
      <c r="A688" s="2" t="s">
        <v>118</v>
      </c>
      <c r="B688" s="3">
        <v>44621</v>
      </c>
      <c r="C688" s="2">
        <v>24</v>
      </c>
      <c r="D688" s="2">
        <v>38459</v>
      </c>
      <c r="E688" s="17">
        <v>84328.47</v>
      </c>
      <c r="F688" s="11">
        <v>6.53</v>
      </c>
      <c r="G688" s="9">
        <v>5925.5</v>
      </c>
      <c r="H688" s="10">
        <v>0.33300000000000002</v>
      </c>
      <c r="I688" s="11">
        <v>7.4</v>
      </c>
    </row>
    <row r="689" spans="1:9" x14ac:dyDescent="0.35">
      <c r="A689" s="2" t="s">
        <v>118</v>
      </c>
      <c r="B689" s="3">
        <v>44652</v>
      </c>
      <c r="C689" s="2">
        <v>20</v>
      </c>
      <c r="D689" s="2">
        <v>28355</v>
      </c>
      <c r="E689" s="17">
        <v>53730.64</v>
      </c>
      <c r="F689" s="11">
        <v>6.48</v>
      </c>
      <c r="G689" s="9">
        <v>4444.3999999999996</v>
      </c>
      <c r="H689" s="10">
        <v>0.25</v>
      </c>
      <c r="I689" s="11">
        <v>8.3000000000000007</v>
      </c>
    </row>
    <row r="690" spans="1:9" x14ac:dyDescent="0.35">
      <c r="A690" s="2" t="s">
        <v>118</v>
      </c>
      <c r="B690" s="3">
        <v>44682</v>
      </c>
      <c r="C690" s="2">
        <v>21</v>
      </c>
      <c r="D690" s="2">
        <v>28312</v>
      </c>
      <c r="E690" s="17">
        <v>59532.13</v>
      </c>
      <c r="F690" s="11">
        <v>6.33</v>
      </c>
      <c r="G690" s="9">
        <v>4500.2</v>
      </c>
      <c r="H690" s="10">
        <v>0.61899999999999999</v>
      </c>
      <c r="I690" s="11">
        <v>7.5</v>
      </c>
    </row>
    <row r="691" spans="1:9" x14ac:dyDescent="0.35">
      <c r="A691" s="2" t="s">
        <v>118</v>
      </c>
      <c r="B691" s="3">
        <v>44713</v>
      </c>
      <c r="C691" s="2">
        <v>23</v>
      </c>
      <c r="D691" s="2">
        <v>25480</v>
      </c>
      <c r="E691" s="17">
        <v>54196.47</v>
      </c>
      <c r="F691" s="11">
        <v>6.55</v>
      </c>
      <c r="G691" s="9">
        <v>4009.7</v>
      </c>
      <c r="H691" s="10">
        <v>0.65200000000000002</v>
      </c>
      <c r="I691" s="11">
        <v>7.2</v>
      </c>
    </row>
    <row r="692" spans="1:9" x14ac:dyDescent="0.35">
      <c r="A692" s="2" t="s">
        <v>118</v>
      </c>
      <c r="B692" s="3">
        <v>44743</v>
      </c>
      <c r="C692" s="2">
        <v>24</v>
      </c>
      <c r="D692" s="2">
        <v>36128</v>
      </c>
      <c r="E692" s="17">
        <v>79778.820000000007</v>
      </c>
      <c r="F692" s="11">
        <v>6.7</v>
      </c>
      <c r="G692" s="9">
        <v>5435.9</v>
      </c>
      <c r="H692" s="10">
        <v>0.33300000000000002</v>
      </c>
      <c r="I692" s="11">
        <v>6.5</v>
      </c>
    </row>
    <row r="693" spans="1:9" x14ac:dyDescent="0.35">
      <c r="A693" s="2" t="s">
        <v>118</v>
      </c>
      <c r="B693" s="3">
        <v>44774</v>
      </c>
      <c r="C693" s="2">
        <v>19</v>
      </c>
      <c r="D693" s="2">
        <v>26361</v>
      </c>
      <c r="E693" s="17">
        <v>52088.7</v>
      </c>
      <c r="F693" s="11">
        <v>6.62</v>
      </c>
      <c r="G693" s="9">
        <v>4023.3</v>
      </c>
      <c r="H693" s="10">
        <v>0.57899999999999996</v>
      </c>
      <c r="I693" s="11">
        <v>7.4</v>
      </c>
    </row>
    <row r="694" spans="1:9" x14ac:dyDescent="0.35">
      <c r="A694" s="2" t="s">
        <v>118</v>
      </c>
      <c r="B694" s="3">
        <v>44805</v>
      </c>
      <c r="C694" s="2">
        <v>16</v>
      </c>
      <c r="D694" s="2">
        <v>18400</v>
      </c>
      <c r="E694" s="17">
        <v>41455.53</v>
      </c>
      <c r="F694" s="11">
        <v>6.56</v>
      </c>
      <c r="G694" s="9">
        <v>2766.9</v>
      </c>
      <c r="H694" s="10">
        <v>0.375</v>
      </c>
      <c r="I694" s="11">
        <v>7</v>
      </c>
    </row>
    <row r="695" spans="1:9" x14ac:dyDescent="0.35">
      <c r="A695" s="2" t="s">
        <v>118</v>
      </c>
      <c r="B695" s="3">
        <v>44835</v>
      </c>
      <c r="C695" s="2">
        <v>17</v>
      </c>
      <c r="D695" s="2">
        <v>20692</v>
      </c>
      <c r="E695" s="17">
        <v>46240.69</v>
      </c>
      <c r="F695" s="11">
        <v>6.51</v>
      </c>
      <c r="G695" s="9">
        <v>3169.4</v>
      </c>
      <c r="H695" s="10">
        <v>0.52900000000000003</v>
      </c>
      <c r="I695" s="11">
        <v>6.6</v>
      </c>
    </row>
    <row r="696" spans="1:9" x14ac:dyDescent="0.35">
      <c r="A696" s="2" t="s">
        <v>118</v>
      </c>
      <c r="B696" s="3">
        <v>44866</v>
      </c>
      <c r="C696" s="2">
        <v>20</v>
      </c>
      <c r="D696" s="2">
        <v>36918</v>
      </c>
      <c r="E696" s="17">
        <v>81088.45</v>
      </c>
      <c r="F696" s="11">
        <v>6.56</v>
      </c>
      <c r="G696" s="9">
        <v>5684.9</v>
      </c>
      <c r="H696" s="10">
        <v>0.25</v>
      </c>
      <c r="I696" s="11">
        <v>6.8</v>
      </c>
    </row>
    <row r="697" spans="1:9" x14ac:dyDescent="0.35">
      <c r="A697" s="2" t="s">
        <v>118</v>
      </c>
      <c r="B697" s="3">
        <v>44896</v>
      </c>
      <c r="C697" s="2">
        <v>15</v>
      </c>
      <c r="D697" s="2">
        <v>25238</v>
      </c>
      <c r="E697" s="17">
        <v>55023.99</v>
      </c>
      <c r="F697" s="11">
        <v>6.64</v>
      </c>
      <c r="G697" s="9">
        <v>3836.5</v>
      </c>
      <c r="H697" s="10">
        <v>0.33300000000000002</v>
      </c>
      <c r="I697" s="11">
        <v>6.2</v>
      </c>
    </row>
    <row r="698" spans="1:9" x14ac:dyDescent="0.35">
      <c r="A698" s="2" t="s">
        <v>118</v>
      </c>
      <c r="B698" s="3">
        <v>44927</v>
      </c>
      <c r="C698" s="2">
        <v>18</v>
      </c>
      <c r="D698" s="2">
        <v>28819</v>
      </c>
      <c r="E698" s="17">
        <v>62393.93</v>
      </c>
      <c r="F698" s="11">
        <v>6.46</v>
      </c>
      <c r="G698" s="9">
        <v>4595.3</v>
      </c>
      <c r="H698" s="10">
        <v>0.5</v>
      </c>
      <c r="I698" s="11">
        <v>7.1</v>
      </c>
    </row>
    <row r="699" spans="1:9" x14ac:dyDescent="0.35">
      <c r="A699" s="2" t="s">
        <v>118</v>
      </c>
      <c r="B699" s="3">
        <v>44958</v>
      </c>
      <c r="C699" s="2">
        <v>12</v>
      </c>
      <c r="D699" s="2">
        <v>8450</v>
      </c>
      <c r="E699" s="17">
        <v>17494.46</v>
      </c>
      <c r="F699" s="11">
        <v>6.4</v>
      </c>
      <c r="G699" s="9">
        <v>1319.6</v>
      </c>
      <c r="H699" s="10">
        <v>0.5</v>
      </c>
      <c r="I699" s="11">
        <v>7.5</v>
      </c>
    </row>
    <row r="700" spans="1:9" x14ac:dyDescent="0.35">
      <c r="A700" s="2" t="s">
        <v>118</v>
      </c>
      <c r="B700" s="3">
        <v>44986</v>
      </c>
      <c r="C700" s="2">
        <v>22</v>
      </c>
      <c r="D700" s="2">
        <v>30116</v>
      </c>
      <c r="E700" s="17">
        <v>62646.8</v>
      </c>
      <c r="F700" s="11">
        <v>6.56</v>
      </c>
      <c r="G700" s="9">
        <v>4604.5</v>
      </c>
      <c r="H700" s="10">
        <v>0.54500000000000004</v>
      </c>
      <c r="I700" s="11">
        <v>7.5</v>
      </c>
    </row>
    <row r="701" spans="1:9" x14ac:dyDescent="0.35">
      <c r="A701" s="2" t="s">
        <v>118</v>
      </c>
      <c r="B701" s="3">
        <v>45017</v>
      </c>
      <c r="C701" s="2">
        <v>19</v>
      </c>
      <c r="D701" s="2">
        <v>24163</v>
      </c>
      <c r="E701" s="17">
        <v>53812.53</v>
      </c>
      <c r="F701" s="11">
        <v>6.44</v>
      </c>
      <c r="G701" s="9">
        <v>3767</v>
      </c>
      <c r="H701" s="10">
        <v>0.57899999999999996</v>
      </c>
      <c r="I701" s="11">
        <v>7.2</v>
      </c>
    </row>
    <row r="702" spans="1:9" x14ac:dyDescent="0.35">
      <c r="A702" s="2" t="s">
        <v>118</v>
      </c>
      <c r="B702" s="3">
        <v>45047</v>
      </c>
      <c r="C702" s="2">
        <v>23</v>
      </c>
      <c r="D702" s="2">
        <v>34541</v>
      </c>
      <c r="E702" s="17">
        <v>73592.210000000006</v>
      </c>
      <c r="F702" s="11">
        <v>6.64</v>
      </c>
      <c r="G702" s="9">
        <v>5215.8</v>
      </c>
      <c r="H702" s="10">
        <v>0.65200000000000002</v>
      </c>
      <c r="I702" s="11">
        <v>6.7</v>
      </c>
    </row>
    <row r="703" spans="1:9" x14ac:dyDescent="0.35">
      <c r="A703" s="2" t="s">
        <v>118</v>
      </c>
      <c r="B703" s="3">
        <v>45078</v>
      </c>
      <c r="C703" s="2">
        <v>21</v>
      </c>
      <c r="D703" s="2">
        <v>39073</v>
      </c>
      <c r="E703" s="17">
        <v>85724.46</v>
      </c>
      <c r="F703" s="11">
        <v>6.67</v>
      </c>
      <c r="G703" s="9">
        <v>5922.6</v>
      </c>
      <c r="H703" s="10">
        <v>0.47599999999999998</v>
      </c>
      <c r="I703" s="11">
        <v>7.4</v>
      </c>
    </row>
    <row r="704" spans="1:9" x14ac:dyDescent="0.35">
      <c r="A704" s="2" t="s">
        <v>118</v>
      </c>
      <c r="B704" s="3">
        <v>45108</v>
      </c>
      <c r="C704" s="2">
        <v>13</v>
      </c>
      <c r="D704" s="2">
        <v>17255</v>
      </c>
      <c r="E704" s="17">
        <v>39141.449999999997</v>
      </c>
      <c r="F704" s="11">
        <v>6.6</v>
      </c>
      <c r="G704" s="9">
        <v>2549.4</v>
      </c>
      <c r="H704" s="10">
        <v>0.53800000000000003</v>
      </c>
      <c r="I704" s="11">
        <v>7.8</v>
      </c>
    </row>
    <row r="705" spans="1:9" x14ac:dyDescent="0.35">
      <c r="A705" s="2" t="s">
        <v>118</v>
      </c>
      <c r="B705" s="3">
        <v>45139</v>
      </c>
      <c r="C705" s="2">
        <v>29</v>
      </c>
      <c r="D705" s="2">
        <v>39853</v>
      </c>
      <c r="E705" s="17">
        <v>82376.08</v>
      </c>
      <c r="F705" s="11">
        <v>6.63</v>
      </c>
      <c r="G705" s="9">
        <v>6050.9</v>
      </c>
      <c r="H705" s="10">
        <v>0.41399999999999998</v>
      </c>
      <c r="I705" s="11">
        <v>7.4</v>
      </c>
    </row>
    <row r="706" spans="1:9" x14ac:dyDescent="0.35">
      <c r="A706" s="2" t="s">
        <v>118</v>
      </c>
      <c r="B706" s="3">
        <v>45170</v>
      </c>
      <c r="C706" s="2">
        <v>27</v>
      </c>
      <c r="D706" s="2">
        <v>31777</v>
      </c>
      <c r="E706" s="17">
        <v>66279.929999999993</v>
      </c>
      <c r="F706" s="11">
        <v>6.49</v>
      </c>
      <c r="G706" s="9">
        <v>4976.3999999999996</v>
      </c>
      <c r="H706" s="10">
        <v>0.37</v>
      </c>
      <c r="I706" s="11">
        <v>7.6</v>
      </c>
    </row>
    <row r="707" spans="1:9" x14ac:dyDescent="0.35">
      <c r="A707" s="2" t="s">
        <v>118</v>
      </c>
      <c r="B707" s="3">
        <v>45200</v>
      </c>
      <c r="C707" s="2">
        <v>25</v>
      </c>
      <c r="D707" s="2">
        <v>36759</v>
      </c>
      <c r="E707" s="17">
        <v>74053.55</v>
      </c>
      <c r="F707" s="11">
        <v>6.45</v>
      </c>
      <c r="G707" s="9">
        <v>5709.1</v>
      </c>
      <c r="H707" s="10">
        <v>0.56000000000000005</v>
      </c>
      <c r="I707" s="11">
        <v>6.5</v>
      </c>
    </row>
    <row r="708" spans="1:9" x14ac:dyDescent="0.35">
      <c r="A708" s="2" t="s">
        <v>118</v>
      </c>
      <c r="B708" s="3">
        <v>45231</v>
      </c>
      <c r="C708" s="2">
        <v>13</v>
      </c>
      <c r="D708" s="2">
        <v>13943</v>
      </c>
      <c r="E708" s="17">
        <v>28662.75</v>
      </c>
      <c r="F708" s="11">
        <v>6.36</v>
      </c>
      <c r="G708" s="9">
        <v>2200.3000000000002</v>
      </c>
      <c r="H708" s="10">
        <v>0.46200000000000002</v>
      </c>
      <c r="I708" s="11">
        <v>8</v>
      </c>
    </row>
    <row r="709" spans="1:9" x14ac:dyDescent="0.35">
      <c r="A709" s="2" t="s">
        <v>118</v>
      </c>
      <c r="B709" s="3">
        <v>45261</v>
      </c>
      <c r="C709" s="2">
        <v>24</v>
      </c>
      <c r="D709" s="2">
        <v>35783</v>
      </c>
      <c r="E709" s="17">
        <v>83395.740000000005</v>
      </c>
      <c r="F709" s="11">
        <v>6.31</v>
      </c>
      <c r="G709" s="9">
        <v>5702.2</v>
      </c>
      <c r="H709" s="10">
        <v>0.45800000000000002</v>
      </c>
      <c r="I709" s="11">
        <v>7.5</v>
      </c>
    </row>
    <row r="710" spans="1:9" x14ac:dyDescent="0.35">
      <c r="A710" s="2" t="s">
        <v>118</v>
      </c>
      <c r="B710" s="3">
        <v>45292</v>
      </c>
      <c r="C710" s="2">
        <v>18</v>
      </c>
      <c r="D710" s="2">
        <v>30659</v>
      </c>
      <c r="E710" s="17">
        <v>63370.29</v>
      </c>
      <c r="F710" s="11">
        <v>6.41</v>
      </c>
      <c r="G710" s="9">
        <v>4808.2</v>
      </c>
      <c r="H710" s="10">
        <v>0.33300000000000002</v>
      </c>
      <c r="I710" s="11">
        <v>6.8</v>
      </c>
    </row>
    <row r="711" spans="1:9" x14ac:dyDescent="0.35">
      <c r="A711" s="2" t="s">
        <v>118</v>
      </c>
      <c r="B711" s="3">
        <v>45323</v>
      </c>
      <c r="C711" s="2">
        <v>18</v>
      </c>
      <c r="D711" s="2">
        <v>21466</v>
      </c>
      <c r="E711" s="17">
        <v>47672.67</v>
      </c>
      <c r="F711" s="11">
        <v>6.44</v>
      </c>
      <c r="G711" s="9">
        <v>3442.9</v>
      </c>
      <c r="H711" s="10">
        <v>0.5</v>
      </c>
      <c r="I711" s="11">
        <v>7</v>
      </c>
    </row>
    <row r="712" spans="1:9" x14ac:dyDescent="0.35">
      <c r="A712" s="2" t="s">
        <v>118</v>
      </c>
      <c r="B712" s="3">
        <v>45352</v>
      </c>
      <c r="C712" s="2">
        <v>20</v>
      </c>
      <c r="D712" s="2">
        <v>27302</v>
      </c>
      <c r="E712" s="17">
        <v>56375.91</v>
      </c>
      <c r="F712" s="11">
        <v>6.66</v>
      </c>
      <c r="G712" s="9">
        <v>4074.3</v>
      </c>
      <c r="H712" s="10">
        <v>0.25</v>
      </c>
      <c r="I712" s="11">
        <v>7.5</v>
      </c>
    </row>
    <row r="713" spans="1:9" x14ac:dyDescent="0.35">
      <c r="A713" s="2" t="s">
        <v>118</v>
      </c>
      <c r="B713" s="3">
        <v>45383</v>
      </c>
      <c r="C713" s="2">
        <v>20</v>
      </c>
      <c r="D713" s="2">
        <v>31116</v>
      </c>
      <c r="E713" s="17">
        <v>71139.350000000006</v>
      </c>
      <c r="F713" s="11">
        <v>6.56</v>
      </c>
      <c r="G713" s="9">
        <v>4745.7</v>
      </c>
      <c r="H713" s="10">
        <v>0.6</v>
      </c>
      <c r="I713" s="11">
        <v>7.5</v>
      </c>
    </row>
    <row r="714" spans="1:9" x14ac:dyDescent="0.35">
      <c r="A714" s="2" t="s">
        <v>118</v>
      </c>
      <c r="B714" s="3">
        <v>45413</v>
      </c>
      <c r="C714" s="2">
        <v>18</v>
      </c>
      <c r="D714" s="2">
        <v>23838</v>
      </c>
      <c r="E714" s="17">
        <v>52285.79</v>
      </c>
      <c r="F714" s="11">
        <v>6.58</v>
      </c>
      <c r="G714" s="9">
        <v>3581.6</v>
      </c>
      <c r="H714" s="10">
        <v>0.55600000000000005</v>
      </c>
      <c r="I714" s="11">
        <v>7.2</v>
      </c>
    </row>
    <row r="715" spans="1:9" x14ac:dyDescent="0.35">
      <c r="A715" s="2" t="s">
        <v>118</v>
      </c>
      <c r="B715" s="3">
        <v>45444</v>
      </c>
      <c r="C715" s="2">
        <v>20</v>
      </c>
      <c r="D715" s="2">
        <v>24964</v>
      </c>
      <c r="E715" s="17">
        <v>55993.67</v>
      </c>
      <c r="F715" s="11">
        <v>6.89</v>
      </c>
      <c r="G715" s="9">
        <v>3655.6</v>
      </c>
      <c r="H715" s="10">
        <v>0.55000000000000004</v>
      </c>
      <c r="I715" s="11">
        <v>7.7</v>
      </c>
    </row>
    <row r="716" spans="1:9" x14ac:dyDescent="0.35">
      <c r="A716" s="2" t="s">
        <v>118</v>
      </c>
      <c r="B716" s="3">
        <v>45474</v>
      </c>
      <c r="C716" s="2">
        <v>17</v>
      </c>
      <c r="D716" s="2">
        <v>22337</v>
      </c>
      <c r="E716" s="17">
        <v>42259.1</v>
      </c>
      <c r="F716" s="11">
        <v>6.68</v>
      </c>
      <c r="G716" s="9">
        <v>3334</v>
      </c>
      <c r="H716" s="10">
        <v>0.47099999999999997</v>
      </c>
      <c r="I716" s="11">
        <v>7.6</v>
      </c>
    </row>
    <row r="717" spans="1:9" x14ac:dyDescent="0.35">
      <c r="A717" s="2" t="s">
        <v>118</v>
      </c>
      <c r="B717" s="3">
        <v>45505</v>
      </c>
      <c r="C717" s="2">
        <v>19</v>
      </c>
      <c r="D717" s="2">
        <v>33031</v>
      </c>
      <c r="E717" s="17">
        <v>75420.160000000003</v>
      </c>
      <c r="F717" s="11">
        <v>6.54</v>
      </c>
      <c r="G717" s="9">
        <v>5055.7</v>
      </c>
      <c r="H717" s="10">
        <v>0.52600000000000002</v>
      </c>
      <c r="I717" s="11">
        <v>6.6</v>
      </c>
    </row>
    <row r="718" spans="1:9" x14ac:dyDescent="0.35">
      <c r="A718" s="2" t="s">
        <v>118</v>
      </c>
      <c r="B718" s="3">
        <v>45536</v>
      </c>
      <c r="C718" s="2">
        <v>20</v>
      </c>
      <c r="D718" s="2">
        <v>26785</v>
      </c>
      <c r="E718" s="17">
        <v>54369.96</v>
      </c>
      <c r="F718" s="11">
        <v>6.59</v>
      </c>
      <c r="G718" s="9">
        <v>4079.3</v>
      </c>
      <c r="H718" s="10">
        <v>0.45</v>
      </c>
      <c r="I718" s="11">
        <v>7</v>
      </c>
    </row>
    <row r="719" spans="1:9" x14ac:dyDescent="0.35">
      <c r="A719" s="2" t="s">
        <v>118</v>
      </c>
      <c r="B719" s="3">
        <v>45566</v>
      </c>
      <c r="C719" s="2">
        <v>16</v>
      </c>
      <c r="D719" s="2">
        <v>23184</v>
      </c>
      <c r="E719" s="17">
        <v>51519.73</v>
      </c>
      <c r="F719" s="11">
        <v>6.61</v>
      </c>
      <c r="G719" s="9">
        <v>3606.2</v>
      </c>
      <c r="H719" s="10">
        <v>0.312</v>
      </c>
      <c r="I719" s="11">
        <v>7.3</v>
      </c>
    </row>
    <row r="720" spans="1:9" x14ac:dyDescent="0.35">
      <c r="A720" s="2" t="s">
        <v>118</v>
      </c>
      <c r="B720" s="3">
        <v>45597</v>
      </c>
      <c r="C720" s="2">
        <v>14</v>
      </c>
      <c r="D720" s="2">
        <v>20698</v>
      </c>
      <c r="E720" s="17">
        <v>42673.08</v>
      </c>
      <c r="F720" s="11">
        <v>6.46</v>
      </c>
      <c r="G720" s="9">
        <v>3260.4</v>
      </c>
      <c r="H720" s="10">
        <v>0.64300000000000002</v>
      </c>
      <c r="I720" s="11">
        <v>6.8</v>
      </c>
    </row>
    <row r="721" spans="1:9" x14ac:dyDescent="0.35">
      <c r="A721" s="2" t="s">
        <v>118</v>
      </c>
      <c r="B721" s="3">
        <v>45627</v>
      </c>
      <c r="C721" s="2">
        <v>19</v>
      </c>
      <c r="D721" s="2">
        <v>29324</v>
      </c>
      <c r="E721" s="17">
        <v>57763.24</v>
      </c>
      <c r="F721" s="11">
        <v>6.45</v>
      </c>
      <c r="G721" s="9">
        <v>4601.1000000000004</v>
      </c>
      <c r="H721" s="10">
        <v>0.52600000000000002</v>
      </c>
      <c r="I721" s="11">
        <v>5.6</v>
      </c>
    </row>
    <row r="722" spans="1:9" x14ac:dyDescent="0.35">
      <c r="A722" s="2" t="s">
        <v>122</v>
      </c>
      <c r="B722" s="3">
        <v>44562</v>
      </c>
      <c r="C722" s="2">
        <v>20</v>
      </c>
      <c r="D722" s="2">
        <v>26427</v>
      </c>
      <c r="E722" s="17">
        <v>60041.36</v>
      </c>
      <c r="F722" s="11">
        <v>6.49</v>
      </c>
      <c r="G722" s="9">
        <v>4136.8</v>
      </c>
      <c r="H722" s="10">
        <v>0.4</v>
      </c>
      <c r="I722" s="11">
        <v>6.2</v>
      </c>
    </row>
    <row r="723" spans="1:9" x14ac:dyDescent="0.35">
      <c r="A723" s="2" t="s">
        <v>122</v>
      </c>
      <c r="B723" s="3">
        <v>44593</v>
      </c>
      <c r="C723" s="2">
        <v>18</v>
      </c>
      <c r="D723" s="2">
        <v>30602</v>
      </c>
      <c r="E723" s="17">
        <v>58851.97</v>
      </c>
      <c r="F723" s="11">
        <v>6.66</v>
      </c>
      <c r="G723" s="9">
        <v>4603</v>
      </c>
      <c r="H723" s="10">
        <v>0.66700000000000004</v>
      </c>
      <c r="I723" s="11">
        <v>6.2</v>
      </c>
    </row>
    <row r="724" spans="1:9" x14ac:dyDescent="0.35">
      <c r="A724" s="2" t="s">
        <v>122</v>
      </c>
      <c r="B724" s="3">
        <v>44621</v>
      </c>
      <c r="C724" s="2">
        <v>13</v>
      </c>
      <c r="D724" s="2">
        <v>13360</v>
      </c>
      <c r="E724" s="17">
        <v>29388.05</v>
      </c>
      <c r="F724" s="11">
        <v>6.45</v>
      </c>
      <c r="G724" s="9">
        <v>2158.5</v>
      </c>
      <c r="H724" s="10">
        <v>0.61499999999999999</v>
      </c>
      <c r="I724" s="11">
        <v>7.7</v>
      </c>
    </row>
    <row r="725" spans="1:9" x14ac:dyDescent="0.35">
      <c r="A725" s="2" t="s">
        <v>122</v>
      </c>
      <c r="B725" s="3">
        <v>44652</v>
      </c>
      <c r="C725" s="2">
        <v>21</v>
      </c>
      <c r="D725" s="2">
        <v>30836</v>
      </c>
      <c r="E725" s="17">
        <v>65009.03</v>
      </c>
      <c r="F725" s="11">
        <v>6.73</v>
      </c>
      <c r="G725" s="9">
        <v>4623</v>
      </c>
      <c r="H725" s="10">
        <v>0.57099999999999995</v>
      </c>
      <c r="I725" s="11">
        <v>8</v>
      </c>
    </row>
    <row r="726" spans="1:9" x14ac:dyDescent="0.35">
      <c r="A726" s="2" t="s">
        <v>122</v>
      </c>
      <c r="B726" s="3">
        <v>44682</v>
      </c>
      <c r="C726" s="2">
        <v>23</v>
      </c>
      <c r="D726" s="2">
        <v>37669</v>
      </c>
      <c r="E726" s="17">
        <v>84521.91</v>
      </c>
      <c r="F726" s="11">
        <v>6.43</v>
      </c>
      <c r="G726" s="9">
        <v>5893.2</v>
      </c>
      <c r="H726" s="10">
        <v>0.56499999999999995</v>
      </c>
      <c r="I726" s="11">
        <v>6.4</v>
      </c>
    </row>
    <row r="727" spans="1:9" x14ac:dyDescent="0.35">
      <c r="A727" s="2" t="s">
        <v>122</v>
      </c>
      <c r="B727" s="3">
        <v>44713</v>
      </c>
      <c r="C727" s="2">
        <v>16</v>
      </c>
      <c r="D727" s="2">
        <v>24526</v>
      </c>
      <c r="E727" s="17">
        <v>51394.49</v>
      </c>
      <c r="F727" s="11">
        <v>6.46</v>
      </c>
      <c r="G727" s="9">
        <v>3843.8</v>
      </c>
      <c r="H727" s="10">
        <v>0.56200000000000006</v>
      </c>
      <c r="I727" s="11">
        <v>6.4</v>
      </c>
    </row>
    <row r="728" spans="1:9" x14ac:dyDescent="0.35">
      <c r="A728" s="2" t="s">
        <v>122</v>
      </c>
      <c r="B728" s="3">
        <v>44743</v>
      </c>
      <c r="C728" s="2">
        <v>26</v>
      </c>
      <c r="D728" s="2">
        <v>35922</v>
      </c>
      <c r="E728" s="17">
        <v>76693.69</v>
      </c>
      <c r="F728" s="11">
        <v>6.56</v>
      </c>
      <c r="G728" s="9">
        <v>5584.6</v>
      </c>
      <c r="H728" s="10">
        <v>0.46200000000000002</v>
      </c>
      <c r="I728" s="11">
        <v>6.7</v>
      </c>
    </row>
    <row r="729" spans="1:9" x14ac:dyDescent="0.35">
      <c r="A729" s="2" t="s">
        <v>122</v>
      </c>
      <c r="B729" s="3">
        <v>44774</v>
      </c>
      <c r="C729" s="2">
        <v>10</v>
      </c>
      <c r="D729" s="2">
        <v>13005</v>
      </c>
      <c r="E729" s="17">
        <v>28893.19</v>
      </c>
      <c r="F729" s="11">
        <v>6.77</v>
      </c>
      <c r="G729" s="9">
        <v>1957.3</v>
      </c>
      <c r="H729" s="10">
        <v>0.5</v>
      </c>
      <c r="I729" s="11">
        <v>8.4</v>
      </c>
    </row>
    <row r="730" spans="1:9" x14ac:dyDescent="0.35">
      <c r="A730" s="2" t="s">
        <v>122</v>
      </c>
      <c r="B730" s="3">
        <v>44805</v>
      </c>
      <c r="C730" s="2">
        <v>17</v>
      </c>
      <c r="D730" s="2">
        <v>24165</v>
      </c>
      <c r="E730" s="17">
        <v>53441.13</v>
      </c>
      <c r="F730" s="11">
        <v>6.44</v>
      </c>
      <c r="G730" s="9">
        <v>3847.5</v>
      </c>
      <c r="H730" s="10">
        <v>0.47099999999999997</v>
      </c>
      <c r="I730" s="11">
        <v>7.6</v>
      </c>
    </row>
    <row r="731" spans="1:9" x14ac:dyDescent="0.35">
      <c r="A731" s="2" t="s">
        <v>122</v>
      </c>
      <c r="B731" s="3">
        <v>44835</v>
      </c>
      <c r="C731" s="2">
        <v>19</v>
      </c>
      <c r="D731" s="2">
        <v>24758</v>
      </c>
      <c r="E731" s="17">
        <v>57020.33</v>
      </c>
      <c r="F731" s="11">
        <v>6.36</v>
      </c>
      <c r="G731" s="9">
        <v>3888.3</v>
      </c>
      <c r="H731" s="10">
        <v>0.68400000000000005</v>
      </c>
      <c r="I731" s="11">
        <v>6.9</v>
      </c>
    </row>
    <row r="732" spans="1:9" x14ac:dyDescent="0.35">
      <c r="A732" s="2" t="s">
        <v>122</v>
      </c>
      <c r="B732" s="3">
        <v>44866</v>
      </c>
      <c r="C732" s="2">
        <v>18</v>
      </c>
      <c r="D732" s="2">
        <v>24009</v>
      </c>
      <c r="E732" s="17">
        <v>50885.4</v>
      </c>
      <c r="F732" s="11">
        <v>6.58</v>
      </c>
      <c r="G732" s="9">
        <v>3677.8</v>
      </c>
      <c r="H732" s="10">
        <v>0.27800000000000002</v>
      </c>
      <c r="I732" s="11">
        <v>7.2</v>
      </c>
    </row>
    <row r="733" spans="1:9" x14ac:dyDescent="0.35">
      <c r="A733" s="2" t="s">
        <v>122</v>
      </c>
      <c r="B733" s="3">
        <v>44896</v>
      </c>
      <c r="C733" s="2">
        <v>17</v>
      </c>
      <c r="D733" s="2">
        <v>19488</v>
      </c>
      <c r="E733" s="17">
        <v>43366.12</v>
      </c>
      <c r="F733" s="11">
        <v>6.28</v>
      </c>
      <c r="G733" s="9">
        <v>3119.2</v>
      </c>
      <c r="H733" s="10">
        <v>0.52900000000000003</v>
      </c>
      <c r="I733" s="11">
        <v>7.9</v>
      </c>
    </row>
    <row r="734" spans="1:9" x14ac:dyDescent="0.35">
      <c r="A734" s="2" t="s">
        <v>122</v>
      </c>
      <c r="B734" s="3">
        <v>44927</v>
      </c>
      <c r="C734" s="2">
        <v>23</v>
      </c>
      <c r="D734" s="2">
        <v>38050</v>
      </c>
      <c r="E734" s="17">
        <v>80936.14</v>
      </c>
      <c r="F734" s="11">
        <v>6.47</v>
      </c>
      <c r="G734" s="9">
        <v>5792</v>
      </c>
      <c r="H734" s="10">
        <v>0.30399999999999999</v>
      </c>
      <c r="I734" s="11">
        <v>7.8</v>
      </c>
    </row>
    <row r="735" spans="1:9" x14ac:dyDescent="0.35">
      <c r="A735" s="2" t="s">
        <v>122</v>
      </c>
      <c r="B735" s="3">
        <v>44958</v>
      </c>
      <c r="C735" s="2">
        <v>17</v>
      </c>
      <c r="D735" s="2">
        <v>23879</v>
      </c>
      <c r="E735" s="17">
        <v>49525.52</v>
      </c>
      <c r="F735" s="11">
        <v>6.24</v>
      </c>
      <c r="G735" s="9">
        <v>3917.4</v>
      </c>
      <c r="H735" s="10">
        <v>0.58799999999999997</v>
      </c>
      <c r="I735" s="11">
        <v>7.2</v>
      </c>
    </row>
    <row r="736" spans="1:9" x14ac:dyDescent="0.35">
      <c r="A736" s="2" t="s">
        <v>122</v>
      </c>
      <c r="B736" s="3">
        <v>44986</v>
      </c>
      <c r="C736" s="2">
        <v>20</v>
      </c>
      <c r="D736" s="2">
        <v>34202</v>
      </c>
      <c r="E736" s="17">
        <v>70182.820000000007</v>
      </c>
      <c r="F736" s="11">
        <v>6.47</v>
      </c>
      <c r="G736" s="9">
        <v>5350.7</v>
      </c>
      <c r="H736" s="10">
        <v>0.4</v>
      </c>
      <c r="I736" s="11">
        <v>7.1</v>
      </c>
    </row>
    <row r="737" spans="1:9" x14ac:dyDescent="0.35">
      <c r="A737" s="2" t="s">
        <v>122</v>
      </c>
      <c r="B737" s="3">
        <v>45017</v>
      </c>
      <c r="C737" s="2">
        <v>28</v>
      </c>
      <c r="D737" s="2">
        <v>42281</v>
      </c>
      <c r="E737" s="17">
        <v>92800.16</v>
      </c>
      <c r="F737" s="11">
        <v>6.52</v>
      </c>
      <c r="G737" s="9">
        <v>6628.4</v>
      </c>
      <c r="H737" s="10">
        <v>0.39300000000000002</v>
      </c>
      <c r="I737" s="11">
        <v>7.3</v>
      </c>
    </row>
    <row r="738" spans="1:9" x14ac:dyDescent="0.35">
      <c r="A738" s="2" t="s">
        <v>122</v>
      </c>
      <c r="B738" s="3">
        <v>45047</v>
      </c>
      <c r="C738" s="2">
        <v>27</v>
      </c>
      <c r="D738" s="2">
        <v>34830</v>
      </c>
      <c r="E738" s="17">
        <v>70398.740000000005</v>
      </c>
      <c r="F738" s="11">
        <v>6.55</v>
      </c>
      <c r="G738" s="9">
        <v>5424.1</v>
      </c>
      <c r="H738" s="10">
        <v>0.37</v>
      </c>
      <c r="I738" s="11">
        <v>6.3</v>
      </c>
    </row>
    <row r="739" spans="1:9" x14ac:dyDescent="0.35">
      <c r="A739" s="2" t="s">
        <v>122</v>
      </c>
      <c r="B739" s="3">
        <v>45078</v>
      </c>
      <c r="C739" s="2">
        <v>10</v>
      </c>
      <c r="D739" s="2">
        <v>15092</v>
      </c>
      <c r="E739" s="17">
        <v>32784.15</v>
      </c>
      <c r="F739" s="11">
        <v>6.36</v>
      </c>
      <c r="G739" s="9">
        <v>2372.3000000000002</v>
      </c>
      <c r="H739" s="10">
        <v>0.2</v>
      </c>
      <c r="I739" s="11">
        <v>7</v>
      </c>
    </row>
    <row r="740" spans="1:9" x14ac:dyDescent="0.35">
      <c r="A740" s="2" t="s">
        <v>122</v>
      </c>
      <c r="B740" s="3">
        <v>45108</v>
      </c>
      <c r="C740" s="2">
        <v>21</v>
      </c>
      <c r="D740" s="2">
        <v>27582</v>
      </c>
      <c r="E740" s="17">
        <v>56377.88</v>
      </c>
      <c r="F740" s="11">
        <v>6.4</v>
      </c>
      <c r="G740" s="9">
        <v>4416.2</v>
      </c>
      <c r="H740" s="10">
        <v>0.42899999999999999</v>
      </c>
      <c r="I740" s="11">
        <v>7.7</v>
      </c>
    </row>
    <row r="741" spans="1:9" x14ac:dyDescent="0.35">
      <c r="A741" s="2" t="s">
        <v>122</v>
      </c>
      <c r="B741" s="3">
        <v>45139</v>
      </c>
      <c r="C741" s="2">
        <v>14</v>
      </c>
      <c r="D741" s="2">
        <v>17608</v>
      </c>
      <c r="E741" s="17">
        <v>40423.54</v>
      </c>
      <c r="F741" s="11">
        <v>6.42</v>
      </c>
      <c r="G741" s="9">
        <v>2794.2</v>
      </c>
      <c r="H741" s="10">
        <v>0.35699999999999998</v>
      </c>
      <c r="I741" s="11">
        <v>6.4</v>
      </c>
    </row>
    <row r="742" spans="1:9" x14ac:dyDescent="0.35">
      <c r="A742" s="2" t="s">
        <v>122</v>
      </c>
      <c r="B742" s="3">
        <v>45170</v>
      </c>
      <c r="C742" s="2">
        <v>23</v>
      </c>
      <c r="D742" s="2">
        <v>27426</v>
      </c>
      <c r="E742" s="17">
        <v>55623.519999999997</v>
      </c>
      <c r="F742" s="11">
        <v>6.49</v>
      </c>
      <c r="G742" s="9">
        <v>4278.8</v>
      </c>
      <c r="H742" s="10">
        <v>0.39100000000000001</v>
      </c>
      <c r="I742" s="11">
        <v>6.9</v>
      </c>
    </row>
    <row r="743" spans="1:9" x14ac:dyDescent="0.35">
      <c r="A743" s="2" t="s">
        <v>122</v>
      </c>
      <c r="B743" s="3">
        <v>45200</v>
      </c>
      <c r="C743" s="2">
        <v>23</v>
      </c>
      <c r="D743" s="2">
        <v>31573</v>
      </c>
      <c r="E743" s="17">
        <v>71764.84</v>
      </c>
      <c r="F743" s="11">
        <v>6.58</v>
      </c>
      <c r="G743" s="9">
        <v>4833</v>
      </c>
      <c r="H743" s="10">
        <v>0.39100000000000001</v>
      </c>
      <c r="I743" s="11">
        <v>7.3</v>
      </c>
    </row>
    <row r="744" spans="1:9" x14ac:dyDescent="0.35">
      <c r="A744" s="2" t="s">
        <v>122</v>
      </c>
      <c r="B744" s="3">
        <v>45231</v>
      </c>
      <c r="C744" s="2">
        <v>19</v>
      </c>
      <c r="D744" s="2">
        <v>24278</v>
      </c>
      <c r="E744" s="17">
        <v>52718.27</v>
      </c>
      <c r="F744" s="11">
        <v>6.5</v>
      </c>
      <c r="G744" s="9">
        <v>3691.4</v>
      </c>
      <c r="H744" s="10">
        <v>0.52600000000000002</v>
      </c>
      <c r="I744" s="11">
        <v>6.8</v>
      </c>
    </row>
    <row r="745" spans="1:9" x14ac:dyDescent="0.35">
      <c r="A745" s="2" t="s">
        <v>122</v>
      </c>
      <c r="B745" s="3">
        <v>45261</v>
      </c>
      <c r="C745" s="2">
        <v>18</v>
      </c>
      <c r="D745" s="2">
        <v>25176</v>
      </c>
      <c r="E745" s="17">
        <v>55659.39</v>
      </c>
      <c r="F745" s="11">
        <v>6.68</v>
      </c>
      <c r="G745" s="9">
        <v>3811.8</v>
      </c>
      <c r="H745" s="10">
        <v>0.5</v>
      </c>
      <c r="I745" s="11">
        <v>7.2</v>
      </c>
    </row>
    <row r="746" spans="1:9" x14ac:dyDescent="0.35">
      <c r="A746" s="2" t="s">
        <v>122</v>
      </c>
      <c r="B746" s="3">
        <v>45292</v>
      </c>
      <c r="C746" s="2">
        <v>26</v>
      </c>
      <c r="D746" s="2">
        <v>38074</v>
      </c>
      <c r="E746" s="17">
        <v>81140.320000000007</v>
      </c>
      <c r="F746" s="11">
        <v>6.59</v>
      </c>
      <c r="G746" s="9">
        <v>5658.4</v>
      </c>
      <c r="H746" s="10">
        <v>0.57699999999999996</v>
      </c>
      <c r="I746" s="11">
        <v>6.3</v>
      </c>
    </row>
    <row r="747" spans="1:9" x14ac:dyDescent="0.35">
      <c r="A747" s="2" t="s">
        <v>122</v>
      </c>
      <c r="B747" s="3">
        <v>45323</v>
      </c>
      <c r="C747" s="2">
        <v>20</v>
      </c>
      <c r="D747" s="2">
        <v>32481</v>
      </c>
      <c r="E747" s="17">
        <v>69993.009999999995</v>
      </c>
      <c r="F747" s="11">
        <v>6.52</v>
      </c>
      <c r="G747" s="9">
        <v>5061.8</v>
      </c>
      <c r="H747" s="10">
        <v>0.4</v>
      </c>
      <c r="I747" s="11">
        <v>7.7</v>
      </c>
    </row>
    <row r="748" spans="1:9" x14ac:dyDescent="0.35">
      <c r="A748" s="2" t="s">
        <v>122</v>
      </c>
      <c r="B748" s="3">
        <v>45352</v>
      </c>
      <c r="C748" s="2">
        <v>22</v>
      </c>
      <c r="D748" s="2">
        <v>31178</v>
      </c>
      <c r="E748" s="17">
        <v>68694</v>
      </c>
      <c r="F748" s="11">
        <v>6.65</v>
      </c>
      <c r="G748" s="9">
        <v>4694.3</v>
      </c>
      <c r="H748" s="10">
        <v>0.182</v>
      </c>
      <c r="I748" s="11">
        <v>7.4</v>
      </c>
    </row>
    <row r="749" spans="1:9" x14ac:dyDescent="0.35">
      <c r="A749" s="2" t="s">
        <v>122</v>
      </c>
      <c r="B749" s="3">
        <v>45383</v>
      </c>
      <c r="C749" s="2">
        <v>16</v>
      </c>
      <c r="D749" s="2">
        <v>26231</v>
      </c>
      <c r="E749" s="17">
        <v>58482</v>
      </c>
      <c r="F749" s="11">
        <v>6.65</v>
      </c>
      <c r="G749" s="9">
        <v>4027</v>
      </c>
      <c r="H749" s="10">
        <v>0.5</v>
      </c>
      <c r="I749" s="11">
        <v>8</v>
      </c>
    </row>
    <row r="750" spans="1:9" x14ac:dyDescent="0.35">
      <c r="A750" s="2" t="s">
        <v>122</v>
      </c>
      <c r="B750" s="3">
        <v>45413</v>
      </c>
      <c r="C750" s="2">
        <v>17</v>
      </c>
      <c r="D750" s="2">
        <v>28334</v>
      </c>
      <c r="E750" s="17">
        <v>57008.32</v>
      </c>
      <c r="F750" s="11">
        <v>6.33</v>
      </c>
      <c r="G750" s="9">
        <v>4452.8999999999996</v>
      </c>
      <c r="H750" s="10">
        <v>0.41199999999999998</v>
      </c>
      <c r="I750" s="11">
        <v>7</v>
      </c>
    </row>
    <row r="751" spans="1:9" x14ac:dyDescent="0.35">
      <c r="A751" s="2" t="s">
        <v>122</v>
      </c>
      <c r="B751" s="3">
        <v>45444</v>
      </c>
      <c r="C751" s="2">
        <v>20</v>
      </c>
      <c r="D751" s="2">
        <v>33049</v>
      </c>
      <c r="E751" s="17">
        <v>69231.850000000006</v>
      </c>
      <c r="F751" s="11">
        <v>6.31</v>
      </c>
      <c r="G751" s="9">
        <v>5297.3</v>
      </c>
      <c r="H751" s="10">
        <v>0.25</v>
      </c>
      <c r="I751" s="11">
        <v>6.6</v>
      </c>
    </row>
    <row r="752" spans="1:9" x14ac:dyDescent="0.35">
      <c r="A752" s="2" t="s">
        <v>122</v>
      </c>
      <c r="B752" s="3">
        <v>45474</v>
      </c>
      <c r="C752" s="2">
        <v>19</v>
      </c>
      <c r="D752" s="2">
        <v>31253</v>
      </c>
      <c r="E752" s="17">
        <v>70649.789999999994</v>
      </c>
      <c r="F752" s="11">
        <v>6.3</v>
      </c>
      <c r="G752" s="9">
        <v>5134.8</v>
      </c>
      <c r="H752" s="10">
        <v>0.52600000000000002</v>
      </c>
      <c r="I752" s="11">
        <v>7.9</v>
      </c>
    </row>
    <row r="753" spans="1:9" x14ac:dyDescent="0.35">
      <c r="A753" s="2" t="s">
        <v>122</v>
      </c>
      <c r="B753" s="3">
        <v>45505</v>
      </c>
      <c r="C753" s="2">
        <v>22</v>
      </c>
      <c r="D753" s="2">
        <v>29790</v>
      </c>
      <c r="E753" s="17">
        <v>61849.91</v>
      </c>
      <c r="F753" s="11">
        <v>6.43</v>
      </c>
      <c r="G753" s="9">
        <v>4753.2</v>
      </c>
      <c r="H753" s="10">
        <v>0.40899999999999997</v>
      </c>
      <c r="I753" s="11">
        <v>7.4</v>
      </c>
    </row>
    <row r="754" spans="1:9" x14ac:dyDescent="0.35">
      <c r="A754" s="2" t="s">
        <v>122</v>
      </c>
      <c r="B754" s="3">
        <v>45536</v>
      </c>
      <c r="C754" s="2">
        <v>25</v>
      </c>
      <c r="D754" s="2">
        <v>32984</v>
      </c>
      <c r="E754" s="17">
        <v>71181.679999999993</v>
      </c>
      <c r="F754" s="11">
        <v>6.55</v>
      </c>
      <c r="G754" s="9">
        <v>5078.5</v>
      </c>
      <c r="H754" s="10">
        <v>0.4</v>
      </c>
      <c r="I754" s="11">
        <v>7.7</v>
      </c>
    </row>
    <row r="755" spans="1:9" x14ac:dyDescent="0.35">
      <c r="A755" s="2" t="s">
        <v>122</v>
      </c>
      <c r="B755" s="3">
        <v>45566</v>
      </c>
      <c r="C755" s="2">
        <v>23</v>
      </c>
      <c r="D755" s="2">
        <v>34810</v>
      </c>
      <c r="E755" s="17">
        <v>74048.34</v>
      </c>
      <c r="F755" s="11">
        <v>6.25</v>
      </c>
      <c r="G755" s="9">
        <v>5662.1</v>
      </c>
      <c r="H755" s="10">
        <v>0.30399999999999999</v>
      </c>
      <c r="I755" s="11">
        <v>7.2</v>
      </c>
    </row>
    <row r="756" spans="1:9" x14ac:dyDescent="0.35">
      <c r="A756" s="2" t="s">
        <v>122</v>
      </c>
      <c r="B756" s="3">
        <v>45597</v>
      </c>
      <c r="C756" s="2">
        <v>19</v>
      </c>
      <c r="D756" s="2">
        <v>23261</v>
      </c>
      <c r="E756" s="17">
        <v>46969.68</v>
      </c>
      <c r="F756" s="11">
        <v>6.62</v>
      </c>
      <c r="G756" s="9">
        <v>3578.8</v>
      </c>
      <c r="H756" s="10">
        <v>0.63200000000000001</v>
      </c>
      <c r="I756" s="11">
        <v>6.7</v>
      </c>
    </row>
    <row r="757" spans="1:9" x14ac:dyDescent="0.35">
      <c r="A757" s="2" t="s">
        <v>122</v>
      </c>
      <c r="B757" s="3">
        <v>45627</v>
      </c>
      <c r="C757" s="2">
        <v>18</v>
      </c>
      <c r="D757" s="2">
        <v>21604</v>
      </c>
      <c r="E757" s="17">
        <v>48623.88</v>
      </c>
      <c r="F757" s="11">
        <v>6.39</v>
      </c>
      <c r="G757" s="9">
        <v>3431.9</v>
      </c>
      <c r="H757" s="10">
        <v>0.38900000000000001</v>
      </c>
      <c r="I757" s="11">
        <v>7</v>
      </c>
    </row>
    <row r="758" spans="1:9" x14ac:dyDescent="0.35">
      <c r="A758" s="2" t="s">
        <v>124</v>
      </c>
      <c r="B758" s="3">
        <v>44562</v>
      </c>
      <c r="C758" s="2">
        <v>10</v>
      </c>
      <c r="D758" s="2">
        <v>21092</v>
      </c>
      <c r="E758" s="17">
        <v>42051.56</v>
      </c>
      <c r="F758" s="11">
        <v>6.2</v>
      </c>
      <c r="G758" s="9">
        <v>3461.6</v>
      </c>
      <c r="H758" s="10">
        <v>0.5</v>
      </c>
      <c r="I758" s="11">
        <v>6.7</v>
      </c>
    </row>
    <row r="759" spans="1:9" x14ac:dyDescent="0.35">
      <c r="A759" s="2" t="s">
        <v>124</v>
      </c>
      <c r="B759" s="3">
        <v>44593</v>
      </c>
      <c r="C759" s="2">
        <v>16</v>
      </c>
      <c r="D759" s="2">
        <v>17747</v>
      </c>
      <c r="E759" s="17">
        <v>39339.06</v>
      </c>
      <c r="F759" s="11">
        <v>6.11</v>
      </c>
      <c r="G759" s="9">
        <v>2872.3</v>
      </c>
      <c r="H759" s="10">
        <v>0.375</v>
      </c>
      <c r="I759" s="11">
        <v>6.8</v>
      </c>
    </row>
    <row r="760" spans="1:9" x14ac:dyDescent="0.35">
      <c r="A760" s="2" t="s">
        <v>124</v>
      </c>
      <c r="B760" s="3">
        <v>44621</v>
      </c>
      <c r="C760" s="2">
        <v>11</v>
      </c>
      <c r="D760" s="2">
        <v>13388</v>
      </c>
      <c r="E760" s="17">
        <v>28531.24</v>
      </c>
      <c r="F760" s="11">
        <v>6.64</v>
      </c>
      <c r="G760" s="9">
        <v>2040.6</v>
      </c>
      <c r="H760" s="10">
        <v>0.54500000000000004</v>
      </c>
      <c r="I760" s="11">
        <v>5.5</v>
      </c>
    </row>
    <row r="761" spans="1:9" x14ac:dyDescent="0.35">
      <c r="A761" s="2" t="s">
        <v>124</v>
      </c>
      <c r="B761" s="3">
        <v>44652</v>
      </c>
      <c r="C761" s="2">
        <v>28</v>
      </c>
      <c r="D761" s="2">
        <v>40557</v>
      </c>
      <c r="E761" s="17">
        <v>79679.53</v>
      </c>
      <c r="F761" s="11">
        <v>6.53</v>
      </c>
      <c r="G761" s="9">
        <v>6246.2</v>
      </c>
      <c r="H761" s="10">
        <v>0.53600000000000003</v>
      </c>
      <c r="I761" s="11">
        <v>6.8</v>
      </c>
    </row>
    <row r="762" spans="1:9" x14ac:dyDescent="0.35">
      <c r="A762" s="2" t="s">
        <v>124</v>
      </c>
      <c r="B762" s="3">
        <v>44682</v>
      </c>
      <c r="C762" s="2">
        <v>19</v>
      </c>
      <c r="D762" s="2">
        <v>24291</v>
      </c>
      <c r="E762" s="17">
        <v>48371</v>
      </c>
      <c r="F762" s="11">
        <v>6.36</v>
      </c>
      <c r="G762" s="9">
        <v>3913.3</v>
      </c>
      <c r="H762" s="10">
        <v>0.36799999999999999</v>
      </c>
      <c r="I762" s="11">
        <v>7.2</v>
      </c>
    </row>
    <row r="763" spans="1:9" x14ac:dyDescent="0.35">
      <c r="A763" s="2" t="s">
        <v>124</v>
      </c>
      <c r="B763" s="3">
        <v>44713</v>
      </c>
      <c r="C763" s="2">
        <v>23</v>
      </c>
      <c r="D763" s="2">
        <v>34867</v>
      </c>
      <c r="E763" s="17">
        <v>72196.09</v>
      </c>
      <c r="F763" s="11">
        <v>6.64</v>
      </c>
      <c r="G763" s="9">
        <v>5277</v>
      </c>
      <c r="H763" s="10">
        <v>0.47799999999999998</v>
      </c>
      <c r="I763" s="11">
        <v>6.9</v>
      </c>
    </row>
    <row r="764" spans="1:9" x14ac:dyDescent="0.35">
      <c r="A764" s="2" t="s">
        <v>124</v>
      </c>
      <c r="B764" s="3">
        <v>44743</v>
      </c>
      <c r="C764" s="2">
        <v>18</v>
      </c>
      <c r="D764" s="2">
        <v>24677</v>
      </c>
      <c r="E764" s="17">
        <v>50873.1</v>
      </c>
      <c r="F764" s="11">
        <v>6.21</v>
      </c>
      <c r="G764" s="9">
        <v>4009.9</v>
      </c>
      <c r="H764" s="10">
        <v>0.222</v>
      </c>
      <c r="I764" s="11">
        <v>7</v>
      </c>
    </row>
    <row r="765" spans="1:9" x14ac:dyDescent="0.35">
      <c r="A765" s="2" t="s">
        <v>124</v>
      </c>
      <c r="B765" s="3">
        <v>44774</v>
      </c>
      <c r="C765" s="2">
        <v>24</v>
      </c>
      <c r="D765" s="2">
        <v>36121</v>
      </c>
      <c r="E765" s="17">
        <v>79500.22</v>
      </c>
      <c r="F765" s="11">
        <v>6.44</v>
      </c>
      <c r="G765" s="9">
        <v>5608.4</v>
      </c>
      <c r="H765" s="10">
        <v>0.54200000000000004</v>
      </c>
      <c r="I765" s="11">
        <v>8</v>
      </c>
    </row>
    <row r="766" spans="1:9" x14ac:dyDescent="0.35">
      <c r="A766" s="2" t="s">
        <v>124</v>
      </c>
      <c r="B766" s="3">
        <v>44805</v>
      </c>
      <c r="C766" s="2">
        <v>15</v>
      </c>
      <c r="D766" s="2">
        <v>17173</v>
      </c>
      <c r="E766" s="17">
        <v>37565.32</v>
      </c>
      <c r="F766" s="11">
        <v>6.41</v>
      </c>
      <c r="G766" s="9">
        <v>2695.3</v>
      </c>
      <c r="H766" s="10">
        <v>0.46700000000000003</v>
      </c>
      <c r="I766" s="11">
        <v>6.2</v>
      </c>
    </row>
    <row r="767" spans="1:9" x14ac:dyDescent="0.35">
      <c r="A767" s="2" t="s">
        <v>124</v>
      </c>
      <c r="B767" s="3">
        <v>44835</v>
      </c>
      <c r="C767" s="2">
        <v>20</v>
      </c>
      <c r="D767" s="2">
        <v>24663</v>
      </c>
      <c r="E767" s="17">
        <v>51369.59</v>
      </c>
      <c r="F767" s="11">
        <v>6.61</v>
      </c>
      <c r="G767" s="9">
        <v>3742.8</v>
      </c>
      <c r="H767" s="10">
        <v>0.45</v>
      </c>
      <c r="I767" s="11">
        <v>6.5</v>
      </c>
    </row>
    <row r="768" spans="1:9" x14ac:dyDescent="0.35">
      <c r="A768" s="2" t="s">
        <v>124</v>
      </c>
      <c r="B768" s="3">
        <v>44866</v>
      </c>
      <c r="C768" s="2">
        <v>19</v>
      </c>
      <c r="D768" s="2">
        <v>22571</v>
      </c>
      <c r="E768" s="17">
        <v>48781.89</v>
      </c>
      <c r="F768" s="11">
        <v>6.61</v>
      </c>
      <c r="G768" s="9">
        <v>3392.8</v>
      </c>
      <c r="H768" s="10">
        <v>0.47399999999999998</v>
      </c>
      <c r="I768" s="11">
        <v>7.2</v>
      </c>
    </row>
    <row r="769" spans="1:9" x14ac:dyDescent="0.35">
      <c r="A769" s="2" t="s">
        <v>124</v>
      </c>
      <c r="B769" s="3">
        <v>44896</v>
      </c>
      <c r="C769" s="2">
        <v>16</v>
      </c>
      <c r="D769" s="2">
        <v>28490</v>
      </c>
      <c r="E769" s="17">
        <v>65863.88</v>
      </c>
      <c r="F769" s="11">
        <v>6.63</v>
      </c>
      <c r="G769" s="9">
        <v>4334.8999999999996</v>
      </c>
      <c r="H769" s="10">
        <v>0.375</v>
      </c>
      <c r="I769" s="11">
        <v>7.9</v>
      </c>
    </row>
    <row r="770" spans="1:9" x14ac:dyDescent="0.35">
      <c r="A770" s="2" t="s">
        <v>124</v>
      </c>
      <c r="B770" s="3">
        <v>44927</v>
      </c>
      <c r="C770" s="2">
        <v>14</v>
      </c>
      <c r="D770" s="2">
        <v>17470</v>
      </c>
      <c r="E770" s="17">
        <v>38898.46</v>
      </c>
      <c r="F770" s="11">
        <v>6.66</v>
      </c>
      <c r="G770" s="9">
        <v>2696.9</v>
      </c>
      <c r="H770" s="10">
        <v>0.42899999999999999</v>
      </c>
      <c r="I770" s="11">
        <v>7.1</v>
      </c>
    </row>
    <row r="771" spans="1:9" x14ac:dyDescent="0.35">
      <c r="A771" s="2" t="s">
        <v>124</v>
      </c>
      <c r="B771" s="3">
        <v>44958</v>
      </c>
      <c r="C771" s="2">
        <v>9</v>
      </c>
      <c r="D771" s="2">
        <v>13033</v>
      </c>
      <c r="E771" s="17">
        <v>27244.97</v>
      </c>
      <c r="F771" s="11">
        <v>6.28</v>
      </c>
      <c r="G771" s="9">
        <v>2051.1</v>
      </c>
      <c r="H771" s="10">
        <v>0.77800000000000002</v>
      </c>
      <c r="I771" s="11">
        <v>8.6</v>
      </c>
    </row>
    <row r="772" spans="1:9" x14ac:dyDescent="0.35">
      <c r="A772" s="2" t="s">
        <v>124</v>
      </c>
      <c r="B772" s="3">
        <v>44986</v>
      </c>
      <c r="C772" s="2">
        <v>15</v>
      </c>
      <c r="D772" s="2">
        <v>21607</v>
      </c>
      <c r="E772" s="17">
        <v>47985.8</v>
      </c>
      <c r="F772" s="11">
        <v>6.51</v>
      </c>
      <c r="G772" s="9">
        <v>3412.2</v>
      </c>
      <c r="H772" s="10">
        <v>0.46700000000000003</v>
      </c>
      <c r="I772" s="11">
        <v>7</v>
      </c>
    </row>
    <row r="773" spans="1:9" x14ac:dyDescent="0.35">
      <c r="A773" s="2" t="s">
        <v>124</v>
      </c>
      <c r="B773" s="3">
        <v>45017</v>
      </c>
      <c r="C773" s="2">
        <v>20</v>
      </c>
      <c r="D773" s="2">
        <v>30526</v>
      </c>
      <c r="E773" s="17">
        <v>66559.81</v>
      </c>
      <c r="F773" s="11">
        <v>6.47</v>
      </c>
      <c r="G773" s="9">
        <v>4711.2</v>
      </c>
      <c r="H773" s="10">
        <v>0.4</v>
      </c>
      <c r="I773" s="11">
        <v>7.2</v>
      </c>
    </row>
    <row r="774" spans="1:9" x14ac:dyDescent="0.35">
      <c r="A774" s="2" t="s">
        <v>124</v>
      </c>
      <c r="B774" s="3">
        <v>45047</v>
      </c>
      <c r="C774" s="2">
        <v>16</v>
      </c>
      <c r="D774" s="2">
        <v>23357</v>
      </c>
      <c r="E774" s="17">
        <v>49017.39</v>
      </c>
      <c r="F774" s="11">
        <v>6.38</v>
      </c>
      <c r="G774" s="9">
        <v>3706.8</v>
      </c>
      <c r="H774" s="10">
        <v>0.25</v>
      </c>
      <c r="I774" s="11">
        <v>7.7</v>
      </c>
    </row>
    <row r="775" spans="1:9" x14ac:dyDescent="0.35">
      <c r="A775" s="2" t="s">
        <v>124</v>
      </c>
      <c r="B775" s="3">
        <v>45078</v>
      </c>
      <c r="C775" s="2">
        <v>20</v>
      </c>
      <c r="D775" s="2">
        <v>26340</v>
      </c>
      <c r="E775" s="17">
        <v>51047.51</v>
      </c>
      <c r="F775" s="11">
        <v>6.51</v>
      </c>
      <c r="G775" s="9">
        <v>4042.8</v>
      </c>
      <c r="H775" s="10">
        <v>0.3</v>
      </c>
      <c r="I775" s="11">
        <v>5.7</v>
      </c>
    </row>
    <row r="776" spans="1:9" x14ac:dyDescent="0.35">
      <c r="A776" s="2" t="s">
        <v>124</v>
      </c>
      <c r="B776" s="3">
        <v>45108</v>
      </c>
      <c r="C776" s="2">
        <v>18</v>
      </c>
      <c r="D776" s="2">
        <v>27470</v>
      </c>
      <c r="E776" s="17">
        <v>61030.46</v>
      </c>
      <c r="F776" s="11">
        <v>6.53</v>
      </c>
      <c r="G776" s="9">
        <v>4203.8</v>
      </c>
      <c r="H776" s="10">
        <v>0.222</v>
      </c>
      <c r="I776" s="11">
        <v>8</v>
      </c>
    </row>
    <row r="777" spans="1:9" x14ac:dyDescent="0.35">
      <c r="A777" s="2" t="s">
        <v>124</v>
      </c>
      <c r="B777" s="3">
        <v>45139</v>
      </c>
      <c r="C777" s="2">
        <v>17</v>
      </c>
      <c r="D777" s="2">
        <v>25152</v>
      </c>
      <c r="E777" s="17">
        <v>55246.3</v>
      </c>
      <c r="F777" s="11">
        <v>6.42</v>
      </c>
      <c r="G777" s="9">
        <v>3944.9</v>
      </c>
      <c r="H777" s="10">
        <v>0.17599999999999999</v>
      </c>
      <c r="I777" s="11">
        <v>6.6</v>
      </c>
    </row>
    <row r="778" spans="1:9" x14ac:dyDescent="0.35">
      <c r="A778" s="2" t="s">
        <v>124</v>
      </c>
      <c r="B778" s="3">
        <v>45170</v>
      </c>
      <c r="C778" s="2">
        <v>22</v>
      </c>
      <c r="D778" s="2">
        <v>40114</v>
      </c>
      <c r="E778" s="17">
        <v>84981.13</v>
      </c>
      <c r="F778" s="11">
        <v>6.28</v>
      </c>
      <c r="G778" s="9">
        <v>6397.1</v>
      </c>
      <c r="H778" s="10">
        <v>0.5</v>
      </c>
      <c r="I778" s="11">
        <v>7.4</v>
      </c>
    </row>
    <row r="779" spans="1:9" x14ac:dyDescent="0.35">
      <c r="A779" s="2" t="s">
        <v>124</v>
      </c>
      <c r="B779" s="3">
        <v>45200</v>
      </c>
      <c r="C779" s="2">
        <v>14</v>
      </c>
      <c r="D779" s="2">
        <v>15772</v>
      </c>
      <c r="E779" s="17">
        <v>33005.919999999998</v>
      </c>
      <c r="F779" s="11">
        <v>6.57</v>
      </c>
      <c r="G779" s="9">
        <v>2392</v>
      </c>
      <c r="H779" s="10">
        <v>0.42899999999999999</v>
      </c>
      <c r="I779" s="11">
        <v>7.4</v>
      </c>
    </row>
    <row r="780" spans="1:9" x14ac:dyDescent="0.35">
      <c r="A780" s="2" t="s">
        <v>124</v>
      </c>
      <c r="B780" s="3">
        <v>45231</v>
      </c>
      <c r="C780" s="2">
        <v>21</v>
      </c>
      <c r="D780" s="2">
        <v>38350</v>
      </c>
      <c r="E780" s="17">
        <v>75870.649999999994</v>
      </c>
      <c r="F780" s="11">
        <v>6.31</v>
      </c>
      <c r="G780" s="9">
        <v>6149.1</v>
      </c>
      <c r="H780" s="10">
        <v>0.33300000000000002</v>
      </c>
      <c r="I780" s="11">
        <v>7.4</v>
      </c>
    </row>
    <row r="781" spans="1:9" x14ac:dyDescent="0.35">
      <c r="A781" s="2" t="s">
        <v>124</v>
      </c>
      <c r="B781" s="3">
        <v>45261</v>
      </c>
      <c r="C781" s="2">
        <v>21</v>
      </c>
      <c r="D781" s="2">
        <v>30195</v>
      </c>
      <c r="E781" s="17">
        <v>71095.740000000005</v>
      </c>
      <c r="F781" s="11">
        <v>6.71</v>
      </c>
      <c r="G781" s="9">
        <v>4462.6000000000004</v>
      </c>
      <c r="H781" s="10">
        <v>0.52400000000000002</v>
      </c>
      <c r="I781" s="11">
        <v>6.9</v>
      </c>
    </row>
    <row r="782" spans="1:9" x14ac:dyDescent="0.35">
      <c r="A782" s="2" t="s">
        <v>124</v>
      </c>
      <c r="B782" s="3">
        <v>45292</v>
      </c>
      <c r="C782" s="2">
        <v>24</v>
      </c>
      <c r="D782" s="2">
        <v>40121</v>
      </c>
      <c r="E782" s="17">
        <v>82465</v>
      </c>
      <c r="F782" s="11">
        <v>6.56</v>
      </c>
      <c r="G782" s="9">
        <v>6127.3</v>
      </c>
      <c r="H782" s="10">
        <v>0.45800000000000002</v>
      </c>
      <c r="I782" s="11">
        <v>7.2</v>
      </c>
    </row>
    <row r="783" spans="1:9" x14ac:dyDescent="0.35">
      <c r="A783" s="2" t="s">
        <v>124</v>
      </c>
      <c r="B783" s="3">
        <v>45323</v>
      </c>
      <c r="C783" s="2">
        <v>22</v>
      </c>
      <c r="D783" s="2">
        <v>26550</v>
      </c>
      <c r="E783" s="17">
        <v>53437.69</v>
      </c>
      <c r="F783" s="11">
        <v>6.43</v>
      </c>
      <c r="G783" s="9">
        <v>4114.2</v>
      </c>
      <c r="H783" s="10">
        <v>0.54500000000000004</v>
      </c>
      <c r="I783" s="11">
        <v>7.5</v>
      </c>
    </row>
    <row r="784" spans="1:9" x14ac:dyDescent="0.35">
      <c r="A784" s="2" t="s">
        <v>124</v>
      </c>
      <c r="B784" s="3">
        <v>45352</v>
      </c>
      <c r="C784" s="2">
        <v>18</v>
      </c>
      <c r="D784" s="2">
        <v>26590</v>
      </c>
      <c r="E784" s="17">
        <v>56516.02</v>
      </c>
      <c r="F784" s="11">
        <v>6.45</v>
      </c>
      <c r="G784" s="9">
        <v>4150.8</v>
      </c>
      <c r="H784" s="10">
        <v>0.33300000000000002</v>
      </c>
      <c r="I784" s="11">
        <v>7.6</v>
      </c>
    </row>
    <row r="785" spans="1:9" x14ac:dyDescent="0.35">
      <c r="A785" s="2" t="s">
        <v>124</v>
      </c>
      <c r="B785" s="3">
        <v>45383</v>
      </c>
      <c r="C785" s="2">
        <v>17</v>
      </c>
      <c r="D785" s="2">
        <v>23956</v>
      </c>
      <c r="E785" s="17">
        <v>51844.65</v>
      </c>
      <c r="F785" s="11">
        <v>6.3</v>
      </c>
      <c r="G785" s="9">
        <v>3801.1</v>
      </c>
      <c r="H785" s="10">
        <v>0.41199999999999998</v>
      </c>
      <c r="I785" s="11">
        <v>6.5</v>
      </c>
    </row>
    <row r="786" spans="1:9" x14ac:dyDescent="0.35">
      <c r="A786" s="2" t="s">
        <v>124</v>
      </c>
      <c r="B786" s="3">
        <v>45413</v>
      </c>
      <c r="C786" s="2">
        <v>17</v>
      </c>
      <c r="D786" s="2">
        <v>19846</v>
      </c>
      <c r="E786" s="17">
        <v>43208.79</v>
      </c>
      <c r="F786" s="11">
        <v>6.66</v>
      </c>
      <c r="G786" s="9">
        <v>3027.5</v>
      </c>
      <c r="H786" s="10">
        <v>0.52900000000000003</v>
      </c>
      <c r="I786" s="11">
        <v>6.5</v>
      </c>
    </row>
    <row r="787" spans="1:9" x14ac:dyDescent="0.35">
      <c r="A787" s="2" t="s">
        <v>124</v>
      </c>
      <c r="B787" s="3">
        <v>45444</v>
      </c>
      <c r="C787" s="2">
        <v>10</v>
      </c>
      <c r="D787" s="2">
        <v>8831</v>
      </c>
      <c r="E787" s="17">
        <v>19104.25</v>
      </c>
      <c r="F787" s="11">
        <v>6.33</v>
      </c>
      <c r="G787" s="9">
        <v>1438.7</v>
      </c>
      <c r="H787" s="10">
        <v>0.5</v>
      </c>
      <c r="I787" s="11">
        <v>6.6</v>
      </c>
    </row>
    <row r="788" spans="1:9" x14ac:dyDescent="0.35">
      <c r="A788" s="2" t="s">
        <v>124</v>
      </c>
      <c r="B788" s="3">
        <v>45474</v>
      </c>
      <c r="C788" s="2">
        <v>18</v>
      </c>
      <c r="D788" s="2">
        <v>23067</v>
      </c>
      <c r="E788" s="17">
        <v>50046.58</v>
      </c>
      <c r="F788" s="11">
        <v>6.57</v>
      </c>
      <c r="G788" s="9">
        <v>3574.3</v>
      </c>
      <c r="H788" s="10">
        <v>0.44400000000000001</v>
      </c>
      <c r="I788" s="11">
        <v>7.3</v>
      </c>
    </row>
    <row r="789" spans="1:9" x14ac:dyDescent="0.35">
      <c r="A789" s="2" t="s">
        <v>124</v>
      </c>
      <c r="B789" s="3">
        <v>45505</v>
      </c>
      <c r="C789" s="2">
        <v>17</v>
      </c>
      <c r="D789" s="2">
        <v>26996</v>
      </c>
      <c r="E789" s="17">
        <v>59470.67</v>
      </c>
      <c r="F789" s="11">
        <v>6.38</v>
      </c>
      <c r="G789" s="9">
        <v>4339.7</v>
      </c>
      <c r="H789" s="10">
        <v>0.52900000000000003</v>
      </c>
      <c r="I789" s="11">
        <v>6</v>
      </c>
    </row>
    <row r="790" spans="1:9" x14ac:dyDescent="0.35">
      <c r="A790" s="2" t="s">
        <v>124</v>
      </c>
      <c r="B790" s="3">
        <v>45536</v>
      </c>
      <c r="C790" s="2">
        <v>26</v>
      </c>
      <c r="D790" s="2">
        <v>35855</v>
      </c>
      <c r="E790" s="17">
        <v>80752.289999999994</v>
      </c>
      <c r="F790" s="11">
        <v>6.5</v>
      </c>
      <c r="G790" s="9">
        <v>5532.8</v>
      </c>
      <c r="H790" s="10">
        <v>0.38500000000000001</v>
      </c>
      <c r="I790" s="11">
        <v>6.9</v>
      </c>
    </row>
    <row r="791" spans="1:9" x14ac:dyDescent="0.35">
      <c r="A791" s="2" t="s">
        <v>124</v>
      </c>
      <c r="B791" s="3">
        <v>45566</v>
      </c>
      <c r="C791" s="2">
        <v>18</v>
      </c>
      <c r="D791" s="2">
        <v>30762</v>
      </c>
      <c r="E791" s="17">
        <v>68193.62</v>
      </c>
      <c r="F791" s="11">
        <v>6.61</v>
      </c>
      <c r="G791" s="9">
        <v>4782</v>
      </c>
      <c r="H791" s="10">
        <v>0.55600000000000005</v>
      </c>
      <c r="I791" s="11">
        <v>7.7</v>
      </c>
    </row>
    <row r="792" spans="1:9" x14ac:dyDescent="0.35">
      <c r="A792" s="2" t="s">
        <v>124</v>
      </c>
      <c r="B792" s="3">
        <v>45597</v>
      </c>
      <c r="C792" s="2">
        <v>16</v>
      </c>
      <c r="D792" s="2">
        <v>24252</v>
      </c>
      <c r="E792" s="17">
        <v>53134.79</v>
      </c>
      <c r="F792" s="11">
        <v>6.51</v>
      </c>
      <c r="G792" s="9">
        <v>3654</v>
      </c>
      <c r="H792" s="10">
        <v>0.312</v>
      </c>
      <c r="I792" s="11">
        <v>7.4</v>
      </c>
    </row>
    <row r="793" spans="1:9" x14ac:dyDescent="0.35">
      <c r="A793" s="2" t="s">
        <v>124</v>
      </c>
      <c r="B793" s="3">
        <v>45627</v>
      </c>
      <c r="C793" s="2">
        <v>16</v>
      </c>
      <c r="D793" s="2">
        <v>19967</v>
      </c>
      <c r="E793" s="17">
        <v>41079.32</v>
      </c>
      <c r="F793" s="11">
        <v>6.72</v>
      </c>
      <c r="G793" s="9">
        <v>2985.3</v>
      </c>
      <c r="H793" s="10">
        <v>0.438</v>
      </c>
      <c r="I793" s="11">
        <v>7.9</v>
      </c>
    </row>
    <row r="794" spans="1:9" x14ac:dyDescent="0.35">
      <c r="A794" s="2" t="s">
        <v>128</v>
      </c>
      <c r="B794" s="3">
        <v>44562</v>
      </c>
      <c r="C794" s="2">
        <v>21</v>
      </c>
      <c r="D794" s="2">
        <v>32907</v>
      </c>
      <c r="E794" s="17">
        <v>69454.710000000006</v>
      </c>
      <c r="F794" s="11">
        <v>6.36</v>
      </c>
      <c r="G794" s="9">
        <v>5328.3</v>
      </c>
      <c r="H794" s="10">
        <v>0.33300000000000002</v>
      </c>
      <c r="I794" s="11">
        <v>6.5</v>
      </c>
    </row>
    <row r="795" spans="1:9" x14ac:dyDescent="0.35">
      <c r="A795" s="2" t="s">
        <v>128</v>
      </c>
      <c r="B795" s="3">
        <v>44593</v>
      </c>
      <c r="C795" s="2">
        <v>14</v>
      </c>
      <c r="D795" s="2">
        <v>21400</v>
      </c>
      <c r="E795" s="17">
        <v>46447.66</v>
      </c>
      <c r="F795" s="11">
        <v>6.58</v>
      </c>
      <c r="G795" s="9">
        <v>3271.6</v>
      </c>
      <c r="H795" s="10">
        <v>0.42899999999999999</v>
      </c>
      <c r="I795" s="11">
        <v>6.1</v>
      </c>
    </row>
    <row r="796" spans="1:9" x14ac:dyDescent="0.35">
      <c r="A796" s="2" t="s">
        <v>128</v>
      </c>
      <c r="B796" s="3">
        <v>44621</v>
      </c>
      <c r="C796" s="2">
        <v>12</v>
      </c>
      <c r="D796" s="2">
        <v>18796</v>
      </c>
      <c r="E796" s="17">
        <v>42043.69</v>
      </c>
      <c r="F796" s="11">
        <v>6.39</v>
      </c>
      <c r="G796" s="9">
        <v>2955.6</v>
      </c>
      <c r="H796" s="10">
        <v>0.41699999999999998</v>
      </c>
      <c r="I796" s="11">
        <v>6.7</v>
      </c>
    </row>
    <row r="797" spans="1:9" x14ac:dyDescent="0.35">
      <c r="A797" s="2" t="s">
        <v>128</v>
      </c>
      <c r="B797" s="3">
        <v>44652</v>
      </c>
      <c r="C797" s="2">
        <v>18</v>
      </c>
      <c r="D797" s="2">
        <v>21148</v>
      </c>
      <c r="E797" s="17">
        <v>44191.94</v>
      </c>
      <c r="F797" s="11">
        <v>6.29</v>
      </c>
      <c r="G797" s="9">
        <v>3290.5</v>
      </c>
      <c r="H797" s="10">
        <v>0.61099999999999999</v>
      </c>
      <c r="I797" s="11">
        <v>6.5</v>
      </c>
    </row>
    <row r="798" spans="1:9" x14ac:dyDescent="0.35">
      <c r="A798" s="2" t="s">
        <v>128</v>
      </c>
      <c r="B798" s="3">
        <v>44682</v>
      </c>
      <c r="C798" s="2">
        <v>20</v>
      </c>
      <c r="D798" s="2">
        <v>29219</v>
      </c>
      <c r="E798" s="17">
        <v>65498.12</v>
      </c>
      <c r="F798" s="11">
        <v>6.63</v>
      </c>
      <c r="G798" s="9">
        <v>4520.1000000000004</v>
      </c>
      <c r="H798" s="10">
        <v>0.35</v>
      </c>
      <c r="I798" s="11">
        <v>8.8000000000000007</v>
      </c>
    </row>
    <row r="799" spans="1:9" x14ac:dyDescent="0.35">
      <c r="A799" s="2" t="s">
        <v>128</v>
      </c>
      <c r="B799" s="3">
        <v>44713</v>
      </c>
      <c r="C799" s="2">
        <v>19</v>
      </c>
      <c r="D799" s="2">
        <v>25924</v>
      </c>
      <c r="E799" s="17">
        <v>54629.52</v>
      </c>
      <c r="F799" s="11">
        <v>6.46</v>
      </c>
      <c r="G799" s="9">
        <v>4052.1</v>
      </c>
      <c r="H799" s="10">
        <v>0.57899999999999996</v>
      </c>
      <c r="I799" s="11">
        <v>6.3</v>
      </c>
    </row>
    <row r="800" spans="1:9" x14ac:dyDescent="0.35">
      <c r="A800" s="2" t="s">
        <v>128</v>
      </c>
      <c r="B800" s="3">
        <v>44743</v>
      </c>
      <c r="C800" s="2">
        <v>19</v>
      </c>
      <c r="D800" s="2">
        <v>33626</v>
      </c>
      <c r="E800" s="17">
        <v>66492.399999999994</v>
      </c>
      <c r="F800" s="11">
        <v>6.57</v>
      </c>
      <c r="G800" s="9">
        <v>5206.3999999999996</v>
      </c>
      <c r="H800" s="10">
        <v>0.36799999999999999</v>
      </c>
      <c r="I800" s="11">
        <v>6.5</v>
      </c>
    </row>
    <row r="801" spans="1:9" x14ac:dyDescent="0.35">
      <c r="A801" s="2" t="s">
        <v>128</v>
      </c>
      <c r="B801" s="3">
        <v>44774</v>
      </c>
      <c r="C801" s="2">
        <v>23</v>
      </c>
      <c r="D801" s="2">
        <v>40004</v>
      </c>
      <c r="E801" s="17">
        <v>86644.800000000003</v>
      </c>
      <c r="F801" s="11">
        <v>6.51</v>
      </c>
      <c r="G801" s="9">
        <v>6071.1</v>
      </c>
      <c r="H801" s="10">
        <v>0.60899999999999999</v>
      </c>
      <c r="I801" s="11">
        <v>8.5</v>
      </c>
    </row>
    <row r="802" spans="1:9" x14ac:dyDescent="0.35">
      <c r="A802" s="2" t="s">
        <v>128</v>
      </c>
      <c r="B802" s="3">
        <v>44805</v>
      </c>
      <c r="C802" s="2">
        <v>11</v>
      </c>
      <c r="D802" s="2">
        <v>16984</v>
      </c>
      <c r="E802" s="17">
        <v>41162.769999999997</v>
      </c>
      <c r="F802" s="11">
        <v>6.22</v>
      </c>
      <c r="G802" s="9">
        <v>2753.4</v>
      </c>
      <c r="H802" s="10">
        <v>0.36399999999999999</v>
      </c>
      <c r="I802" s="11">
        <v>6.3</v>
      </c>
    </row>
    <row r="803" spans="1:9" x14ac:dyDescent="0.35">
      <c r="A803" s="2" t="s">
        <v>128</v>
      </c>
      <c r="B803" s="3">
        <v>44835</v>
      </c>
      <c r="C803" s="2">
        <v>18</v>
      </c>
      <c r="D803" s="2">
        <v>25952</v>
      </c>
      <c r="E803" s="17">
        <v>52098.59</v>
      </c>
      <c r="F803" s="11">
        <v>6.5</v>
      </c>
      <c r="G803" s="9">
        <v>4079</v>
      </c>
      <c r="H803" s="10">
        <v>0.44400000000000001</v>
      </c>
      <c r="I803" s="11">
        <v>7.1</v>
      </c>
    </row>
    <row r="804" spans="1:9" x14ac:dyDescent="0.35">
      <c r="A804" s="2" t="s">
        <v>128</v>
      </c>
      <c r="B804" s="3">
        <v>44866</v>
      </c>
      <c r="C804" s="2">
        <v>18</v>
      </c>
      <c r="D804" s="2">
        <v>23630</v>
      </c>
      <c r="E804" s="17">
        <v>50572.46</v>
      </c>
      <c r="F804" s="11">
        <v>6.46</v>
      </c>
      <c r="G804" s="9">
        <v>3721.7</v>
      </c>
      <c r="H804" s="10">
        <v>0.222</v>
      </c>
      <c r="I804" s="11">
        <v>8.1</v>
      </c>
    </row>
    <row r="805" spans="1:9" x14ac:dyDescent="0.35">
      <c r="A805" s="2" t="s">
        <v>128</v>
      </c>
      <c r="B805" s="3">
        <v>44896</v>
      </c>
      <c r="C805" s="2">
        <v>15</v>
      </c>
      <c r="D805" s="2">
        <v>24466</v>
      </c>
      <c r="E805" s="17">
        <v>57231.18</v>
      </c>
      <c r="F805" s="11">
        <v>6.85</v>
      </c>
      <c r="G805" s="9">
        <v>3588.8</v>
      </c>
      <c r="H805" s="10">
        <v>0.26700000000000002</v>
      </c>
      <c r="I805" s="11">
        <v>7.6</v>
      </c>
    </row>
    <row r="806" spans="1:9" x14ac:dyDescent="0.35">
      <c r="A806" s="2" t="s">
        <v>128</v>
      </c>
      <c r="B806" s="3">
        <v>44927</v>
      </c>
      <c r="C806" s="2">
        <v>25</v>
      </c>
      <c r="D806" s="2">
        <v>42499</v>
      </c>
      <c r="E806" s="17">
        <v>92075.37</v>
      </c>
      <c r="F806" s="11">
        <v>6.39</v>
      </c>
      <c r="G806" s="9">
        <v>6700.6</v>
      </c>
      <c r="H806" s="10">
        <v>0.44</v>
      </c>
      <c r="I806" s="11">
        <v>7.4</v>
      </c>
    </row>
    <row r="807" spans="1:9" x14ac:dyDescent="0.35">
      <c r="A807" s="2" t="s">
        <v>128</v>
      </c>
      <c r="B807" s="3">
        <v>44958</v>
      </c>
      <c r="C807" s="2">
        <v>20</v>
      </c>
      <c r="D807" s="2">
        <v>24456</v>
      </c>
      <c r="E807" s="17">
        <v>49732.19</v>
      </c>
      <c r="F807" s="11">
        <v>6.67</v>
      </c>
      <c r="G807" s="9">
        <v>3664.1</v>
      </c>
      <c r="H807" s="10">
        <v>0.6</v>
      </c>
      <c r="I807" s="11">
        <v>7.3</v>
      </c>
    </row>
    <row r="808" spans="1:9" x14ac:dyDescent="0.35">
      <c r="A808" s="2" t="s">
        <v>128</v>
      </c>
      <c r="B808" s="3">
        <v>44986</v>
      </c>
      <c r="C808" s="2">
        <v>18</v>
      </c>
      <c r="D808" s="2">
        <v>28054</v>
      </c>
      <c r="E808" s="17">
        <v>61641</v>
      </c>
      <c r="F808" s="11">
        <v>6.44</v>
      </c>
      <c r="G808" s="9">
        <v>4365.3999999999996</v>
      </c>
      <c r="H808" s="10">
        <v>0.33300000000000002</v>
      </c>
      <c r="I808" s="11">
        <v>7.2</v>
      </c>
    </row>
    <row r="809" spans="1:9" x14ac:dyDescent="0.35">
      <c r="A809" s="2" t="s">
        <v>128</v>
      </c>
      <c r="B809" s="3">
        <v>45017</v>
      </c>
      <c r="C809" s="2">
        <v>17</v>
      </c>
      <c r="D809" s="2">
        <v>26264</v>
      </c>
      <c r="E809" s="17">
        <v>55097.3</v>
      </c>
      <c r="F809" s="11">
        <v>6.58</v>
      </c>
      <c r="G809" s="9">
        <v>4013.8</v>
      </c>
      <c r="H809" s="10">
        <v>0.52900000000000003</v>
      </c>
      <c r="I809" s="11">
        <v>6.1</v>
      </c>
    </row>
    <row r="810" spans="1:9" x14ac:dyDescent="0.35">
      <c r="A810" s="2" t="s">
        <v>128</v>
      </c>
      <c r="B810" s="3">
        <v>45047</v>
      </c>
      <c r="C810" s="2">
        <v>24</v>
      </c>
      <c r="D810" s="2">
        <v>29763</v>
      </c>
      <c r="E810" s="17">
        <v>66255.850000000006</v>
      </c>
      <c r="F810" s="11">
        <v>6.51</v>
      </c>
      <c r="G810" s="9">
        <v>4603.3</v>
      </c>
      <c r="H810" s="10">
        <v>0.54200000000000004</v>
      </c>
      <c r="I810" s="11">
        <v>5.9</v>
      </c>
    </row>
    <row r="811" spans="1:9" x14ac:dyDescent="0.35">
      <c r="A811" s="2" t="s">
        <v>128</v>
      </c>
      <c r="B811" s="3">
        <v>45078</v>
      </c>
      <c r="C811" s="2">
        <v>21</v>
      </c>
      <c r="D811" s="2">
        <v>37151</v>
      </c>
      <c r="E811" s="17">
        <v>91897.71</v>
      </c>
      <c r="F811" s="11">
        <v>6.44</v>
      </c>
      <c r="G811" s="9">
        <v>5796.3</v>
      </c>
      <c r="H811" s="10">
        <v>0.47599999999999998</v>
      </c>
      <c r="I811" s="11">
        <v>6.4</v>
      </c>
    </row>
    <row r="812" spans="1:9" x14ac:dyDescent="0.35">
      <c r="A812" s="2" t="s">
        <v>128</v>
      </c>
      <c r="B812" s="3">
        <v>45108</v>
      </c>
      <c r="C812" s="2">
        <v>16</v>
      </c>
      <c r="D812" s="2">
        <v>21639</v>
      </c>
      <c r="E812" s="17">
        <v>46982.82</v>
      </c>
      <c r="F812" s="11">
        <v>6.36</v>
      </c>
      <c r="G812" s="9">
        <v>3426.7</v>
      </c>
      <c r="H812" s="10">
        <v>0.68799999999999994</v>
      </c>
      <c r="I812" s="11">
        <v>4.9000000000000004</v>
      </c>
    </row>
    <row r="813" spans="1:9" x14ac:dyDescent="0.35">
      <c r="A813" s="2" t="s">
        <v>128</v>
      </c>
      <c r="B813" s="3">
        <v>45139</v>
      </c>
      <c r="C813" s="2">
        <v>16</v>
      </c>
      <c r="D813" s="2">
        <v>14696</v>
      </c>
      <c r="E813" s="17">
        <v>33071.78</v>
      </c>
      <c r="F813" s="11">
        <v>6.55</v>
      </c>
      <c r="G813" s="9">
        <v>2281.1999999999998</v>
      </c>
      <c r="H813" s="10">
        <v>0.312</v>
      </c>
      <c r="I813" s="11">
        <v>7.4</v>
      </c>
    </row>
    <row r="814" spans="1:9" x14ac:dyDescent="0.35">
      <c r="A814" s="2" t="s">
        <v>128</v>
      </c>
      <c r="B814" s="3">
        <v>45170</v>
      </c>
      <c r="C814" s="2">
        <v>16</v>
      </c>
      <c r="D814" s="2">
        <v>23615</v>
      </c>
      <c r="E814" s="17">
        <v>51585.18</v>
      </c>
      <c r="F814" s="11">
        <v>6.36</v>
      </c>
      <c r="G814" s="9">
        <v>3723.3</v>
      </c>
      <c r="H814" s="10">
        <v>0.312</v>
      </c>
      <c r="I814" s="11">
        <v>7</v>
      </c>
    </row>
    <row r="815" spans="1:9" x14ac:dyDescent="0.35">
      <c r="A815" s="2" t="s">
        <v>128</v>
      </c>
      <c r="B815" s="3">
        <v>45200</v>
      </c>
      <c r="C815" s="2">
        <v>17</v>
      </c>
      <c r="D815" s="2">
        <v>24073</v>
      </c>
      <c r="E815" s="17">
        <v>52452.72</v>
      </c>
      <c r="F815" s="11">
        <v>6.89</v>
      </c>
      <c r="G815" s="9">
        <v>3501.2</v>
      </c>
      <c r="H815" s="10">
        <v>0.58799999999999997</v>
      </c>
      <c r="I815" s="11">
        <v>7.3</v>
      </c>
    </row>
    <row r="816" spans="1:9" x14ac:dyDescent="0.35">
      <c r="A816" s="2" t="s">
        <v>128</v>
      </c>
      <c r="B816" s="3">
        <v>45231</v>
      </c>
      <c r="C816" s="2">
        <v>18</v>
      </c>
      <c r="D816" s="2">
        <v>29672</v>
      </c>
      <c r="E816" s="17">
        <v>64120.47</v>
      </c>
      <c r="F816" s="11">
        <v>6.36</v>
      </c>
      <c r="G816" s="9">
        <v>4720.7</v>
      </c>
      <c r="H816" s="10">
        <v>0.27800000000000002</v>
      </c>
      <c r="I816" s="11">
        <v>6.1</v>
      </c>
    </row>
    <row r="817" spans="1:9" x14ac:dyDescent="0.35">
      <c r="A817" s="2" t="s">
        <v>128</v>
      </c>
      <c r="B817" s="3">
        <v>45261</v>
      </c>
      <c r="C817" s="2">
        <v>21</v>
      </c>
      <c r="D817" s="2">
        <v>34991</v>
      </c>
      <c r="E817" s="17">
        <v>73955.5</v>
      </c>
      <c r="F817" s="11">
        <v>6.61</v>
      </c>
      <c r="G817" s="9">
        <v>5320.5</v>
      </c>
      <c r="H817" s="10">
        <v>0.42899999999999999</v>
      </c>
      <c r="I817" s="11">
        <v>7.7</v>
      </c>
    </row>
    <row r="818" spans="1:9" x14ac:dyDescent="0.35">
      <c r="A818" s="2" t="s">
        <v>128</v>
      </c>
      <c r="B818" s="3">
        <v>45292</v>
      </c>
      <c r="C818" s="2">
        <v>17</v>
      </c>
      <c r="D818" s="2">
        <v>22724</v>
      </c>
      <c r="E818" s="17">
        <v>50383.199999999997</v>
      </c>
      <c r="F818" s="11">
        <v>6.54</v>
      </c>
      <c r="G818" s="9">
        <v>3519.1</v>
      </c>
      <c r="H818" s="10">
        <v>0.52900000000000003</v>
      </c>
      <c r="I818" s="11">
        <v>7.9</v>
      </c>
    </row>
    <row r="819" spans="1:9" x14ac:dyDescent="0.35">
      <c r="A819" s="2" t="s">
        <v>128</v>
      </c>
      <c r="B819" s="3">
        <v>45323</v>
      </c>
      <c r="C819" s="2">
        <v>22</v>
      </c>
      <c r="D819" s="2">
        <v>33669</v>
      </c>
      <c r="E819" s="17">
        <v>71529.240000000005</v>
      </c>
      <c r="F819" s="11">
        <v>6.19</v>
      </c>
      <c r="G819" s="9">
        <v>5444.6</v>
      </c>
      <c r="H819" s="10">
        <v>0.36399999999999999</v>
      </c>
      <c r="I819" s="11">
        <v>6.6</v>
      </c>
    </row>
    <row r="820" spans="1:9" x14ac:dyDescent="0.35">
      <c r="A820" s="2" t="s">
        <v>128</v>
      </c>
      <c r="B820" s="3">
        <v>45352</v>
      </c>
      <c r="C820" s="2">
        <v>19</v>
      </c>
      <c r="D820" s="2">
        <v>32924</v>
      </c>
      <c r="E820" s="17">
        <v>67289.88</v>
      </c>
      <c r="F820" s="11">
        <v>6.58</v>
      </c>
      <c r="G820" s="9">
        <v>5030.2</v>
      </c>
      <c r="H820" s="10">
        <v>0.73699999999999999</v>
      </c>
      <c r="I820" s="11">
        <v>8</v>
      </c>
    </row>
    <row r="821" spans="1:9" x14ac:dyDescent="0.35">
      <c r="A821" s="2" t="s">
        <v>128</v>
      </c>
      <c r="B821" s="3">
        <v>45383</v>
      </c>
      <c r="C821" s="2">
        <v>24</v>
      </c>
      <c r="D821" s="2">
        <v>32509</v>
      </c>
      <c r="E821" s="17">
        <v>70791.09</v>
      </c>
      <c r="F821" s="11">
        <v>6.46</v>
      </c>
      <c r="G821" s="9">
        <v>5137.3</v>
      </c>
      <c r="H821" s="10">
        <v>0.41699999999999998</v>
      </c>
      <c r="I821" s="11">
        <v>7.1</v>
      </c>
    </row>
    <row r="822" spans="1:9" x14ac:dyDescent="0.35">
      <c r="A822" s="2" t="s">
        <v>128</v>
      </c>
      <c r="B822" s="3">
        <v>45413</v>
      </c>
      <c r="C822" s="2">
        <v>18</v>
      </c>
      <c r="D822" s="2">
        <v>27793</v>
      </c>
      <c r="E822" s="17">
        <v>56786.33</v>
      </c>
      <c r="F822" s="11">
        <v>6.22</v>
      </c>
      <c r="G822" s="9">
        <v>4521.6000000000004</v>
      </c>
      <c r="H822" s="10">
        <v>0.44400000000000001</v>
      </c>
      <c r="I822" s="11">
        <v>6.9</v>
      </c>
    </row>
    <row r="823" spans="1:9" x14ac:dyDescent="0.35">
      <c r="A823" s="2" t="s">
        <v>128</v>
      </c>
      <c r="B823" s="3">
        <v>45444</v>
      </c>
      <c r="C823" s="2">
        <v>21</v>
      </c>
      <c r="D823" s="2">
        <v>32528</v>
      </c>
      <c r="E823" s="17">
        <v>69454.87</v>
      </c>
      <c r="F823" s="11">
        <v>6.54</v>
      </c>
      <c r="G823" s="9">
        <v>5023.2</v>
      </c>
      <c r="H823" s="10">
        <v>0.52400000000000002</v>
      </c>
      <c r="I823" s="11">
        <v>7.7</v>
      </c>
    </row>
    <row r="824" spans="1:9" x14ac:dyDescent="0.35">
      <c r="A824" s="2" t="s">
        <v>128</v>
      </c>
      <c r="B824" s="3">
        <v>45474</v>
      </c>
      <c r="C824" s="2">
        <v>14</v>
      </c>
      <c r="D824" s="2">
        <v>17356</v>
      </c>
      <c r="E824" s="17">
        <v>42271.92</v>
      </c>
      <c r="F824" s="11">
        <v>6.53</v>
      </c>
      <c r="G824" s="9">
        <v>2659.3</v>
      </c>
      <c r="H824" s="10">
        <v>0.42899999999999999</v>
      </c>
      <c r="I824" s="11">
        <v>7.9</v>
      </c>
    </row>
    <row r="825" spans="1:9" x14ac:dyDescent="0.35">
      <c r="A825" s="2" t="s">
        <v>128</v>
      </c>
      <c r="B825" s="3">
        <v>45505</v>
      </c>
      <c r="C825" s="2">
        <v>19</v>
      </c>
      <c r="D825" s="2">
        <v>28778</v>
      </c>
      <c r="E825" s="17">
        <v>61411.07</v>
      </c>
      <c r="F825" s="11">
        <v>6.38</v>
      </c>
      <c r="G825" s="9">
        <v>4580.8999999999996</v>
      </c>
      <c r="H825" s="10">
        <v>0.36799999999999999</v>
      </c>
      <c r="I825" s="11">
        <v>6.8</v>
      </c>
    </row>
    <row r="826" spans="1:9" x14ac:dyDescent="0.35">
      <c r="A826" s="2" t="s">
        <v>128</v>
      </c>
      <c r="B826" s="3">
        <v>45536</v>
      </c>
      <c r="C826" s="2">
        <v>17</v>
      </c>
      <c r="D826" s="2">
        <v>22464</v>
      </c>
      <c r="E826" s="17">
        <v>52401.36</v>
      </c>
      <c r="F826" s="11">
        <v>6.67</v>
      </c>
      <c r="G826" s="9">
        <v>3422.5</v>
      </c>
      <c r="H826" s="10">
        <v>0.17599999999999999</v>
      </c>
      <c r="I826" s="11">
        <v>7.6</v>
      </c>
    </row>
    <row r="827" spans="1:9" x14ac:dyDescent="0.35">
      <c r="A827" s="2" t="s">
        <v>128</v>
      </c>
      <c r="B827" s="3">
        <v>45566</v>
      </c>
      <c r="C827" s="2">
        <v>15</v>
      </c>
      <c r="D827" s="2">
        <v>22882</v>
      </c>
      <c r="E827" s="17">
        <v>43607.15</v>
      </c>
      <c r="F827" s="11">
        <v>6.57</v>
      </c>
      <c r="G827" s="9">
        <v>3464.1</v>
      </c>
      <c r="H827" s="10">
        <v>0.46700000000000003</v>
      </c>
      <c r="I827" s="11">
        <v>6.7</v>
      </c>
    </row>
    <row r="828" spans="1:9" x14ac:dyDescent="0.35">
      <c r="A828" s="2" t="s">
        <v>128</v>
      </c>
      <c r="B828" s="3">
        <v>45597</v>
      </c>
      <c r="C828" s="2">
        <v>22</v>
      </c>
      <c r="D828" s="2">
        <v>34349</v>
      </c>
      <c r="E828" s="17">
        <v>73474.59</v>
      </c>
      <c r="F828" s="11">
        <v>6.52</v>
      </c>
      <c r="G828" s="9">
        <v>5292.5</v>
      </c>
      <c r="H828" s="10">
        <v>0.318</v>
      </c>
      <c r="I828" s="11">
        <v>7.9</v>
      </c>
    </row>
    <row r="829" spans="1:9" x14ac:dyDescent="0.35">
      <c r="A829" s="2" t="s">
        <v>128</v>
      </c>
      <c r="B829" s="3">
        <v>45627</v>
      </c>
      <c r="C829" s="2">
        <v>21</v>
      </c>
      <c r="D829" s="2">
        <v>32389</v>
      </c>
      <c r="E829" s="17">
        <v>68334</v>
      </c>
      <c r="F829" s="11">
        <v>6.33</v>
      </c>
      <c r="G829" s="9">
        <v>5142.8999999999996</v>
      </c>
      <c r="H829" s="10">
        <v>0.38100000000000001</v>
      </c>
      <c r="I829" s="11">
        <v>8.5</v>
      </c>
    </row>
    <row r="830" spans="1:9" x14ac:dyDescent="0.35">
      <c r="A830" s="2" t="s">
        <v>132</v>
      </c>
      <c r="B830" s="3">
        <v>44562</v>
      </c>
      <c r="C830" s="2">
        <v>15</v>
      </c>
      <c r="D830" s="2">
        <v>19233</v>
      </c>
      <c r="E830" s="17">
        <v>41660.589999999997</v>
      </c>
      <c r="F830" s="11">
        <v>6.58</v>
      </c>
      <c r="G830" s="9">
        <v>2982.1</v>
      </c>
      <c r="H830" s="10">
        <v>0.73299999999999998</v>
      </c>
      <c r="I830" s="11">
        <v>7</v>
      </c>
    </row>
    <row r="831" spans="1:9" x14ac:dyDescent="0.35">
      <c r="A831" s="2" t="s">
        <v>132</v>
      </c>
      <c r="B831" s="3">
        <v>44593</v>
      </c>
      <c r="C831" s="2">
        <v>19</v>
      </c>
      <c r="D831" s="2">
        <v>27028</v>
      </c>
      <c r="E831" s="17">
        <v>58683.23</v>
      </c>
      <c r="F831" s="11">
        <v>6.42</v>
      </c>
      <c r="G831" s="9">
        <v>4182.6000000000004</v>
      </c>
      <c r="H831" s="10">
        <v>0.36799999999999999</v>
      </c>
      <c r="I831" s="11">
        <v>6.4</v>
      </c>
    </row>
    <row r="832" spans="1:9" x14ac:dyDescent="0.35">
      <c r="A832" s="2" t="s">
        <v>132</v>
      </c>
      <c r="B832" s="3">
        <v>44621</v>
      </c>
      <c r="C832" s="2">
        <v>14</v>
      </c>
      <c r="D832" s="2">
        <v>20554</v>
      </c>
      <c r="E832" s="17">
        <v>41099.660000000003</v>
      </c>
      <c r="F832" s="11">
        <v>6.24</v>
      </c>
      <c r="G832" s="9">
        <v>3340.6</v>
      </c>
      <c r="H832" s="10">
        <v>0.64300000000000002</v>
      </c>
      <c r="I832" s="11">
        <v>6.1</v>
      </c>
    </row>
    <row r="833" spans="1:9" x14ac:dyDescent="0.35">
      <c r="A833" s="2" t="s">
        <v>132</v>
      </c>
      <c r="B833" s="3">
        <v>44652</v>
      </c>
      <c r="C833" s="2">
        <v>20</v>
      </c>
      <c r="D833" s="2">
        <v>30861</v>
      </c>
      <c r="E833" s="17">
        <v>66941.320000000007</v>
      </c>
      <c r="F833" s="11">
        <v>6.51</v>
      </c>
      <c r="G833" s="9">
        <v>4777.8</v>
      </c>
      <c r="H833" s="10">
        <v>0.3</v>
      </c>
      <c r="I833" s="11">
        <v>6.7</v>
      </c>
    </row>
    <row r="834" spans="1:9" x14ac:dyDescent="0.35">
      <c r="A834" s="2" t="s">
        <v>132</v>
      </c>
      <c r="B834" s="3">
        <v>44682</v>
      </c>
      <c r="C834" s="2">
        <v>12</v>
      </c>
      <c r="D834" s="2">
        <v>18289</v>
      </c>
      <c r="E834" s="17">
        <v>40114.26</v>
      </c>
      <c r="F834" s="11">
        <v>6.54</v>
      </c>
      <c r="G834" s="9">
        <v>2795</v>
      </c>
      <c r="H834" s="10">
        <v>0.66700000000000004</v>
      </c>
      <c r="I834" s="11">
        <v>6.5</v>
      </c>
    </row>
    <row r="835" spans="1:9" x14ac:dyDescent="0.35">
      <c r="A835" s="2" t="s">
        <v>132</v>
      </c>
      <c r="B835" s="3">
        <v>44713</v>
      </c>
      <c r="C835" s="2">
        <v>20</v>
      </c>
      <c r="D835" s="2">
        <v>26066</v>
      </c>
      <c r="E835" s="17">
        <v>57555.76</v>
      </c>
      <c r="F835" s="11">
        <v>6.66</v>
      </c>
      <c r="G835" s="9">
        <v>3966.6</v>
      </c>
      <c r="H835" s="10">
        <v>0.45</v>
      </c>
      <c r="I835" s="11">
        <v>6.8</v>
      </c>
    </row>
    <row r="836" spans="1:9" x14ac:dyDescent="0.35">
      <c r="A836" s="2" t="s">
        <v>132</v>
      </c>
      <c r="B836" s="3">
        <v>44743</v>
      </c>
      <c r="C836" s="2">
        <v>20</v>
      </c>
      <c r="D836" s="2">
        <v>33542</v>
      </c>
      <c r="E836" s="17">
        <v>72546.740000000005</v>
      </c>
      <c r="F836" s="11">
        <v>6.46</v>
      </c>
      <c r="G836" s="9">
        <v>5211.8999999999996</v>
      </c>
      <c r="H836" s="10">
        <v>0.55000000000000004</v>
      </c>
      <c r="I836" s="11">
        <v>6.9</v>
      </c>
    </row>
    <row r="837" spans="1:9" x14ac:dyDescent="0.35">
      <c r="A837" s="2" t="s">
        <v>132</v>
      </c>
      <c r="B837" s="3">
        <v>44774</v>
      </c>
      <c r="C837" s="2">
        <v>15</v>
      </c>
      <c r="D837" s="2">
        <v>21840</v>
      </c>
      <c r="E837" s="17">
        <v>47827.28</v>
      </c>
      <c r="F837" s="11">
        <v>6.71</v>
      </c>
      <c r="G837" s="9">
        <v>3323</v>
      </c>
      <c r="H837" s="10">
        <v>0.33300000000000002</v>
      </c>
      <c r="I837" s="11">
        <v>6.8</v>
      </c>
    </row>
    <row r="838" spans="1:9" x14ac:dyDescent="0.35">
      <c r="A838" s="2" t="s">
        <v>132</v>
      </c>
      <c r="B838" s="3">
        <v>44805</v>
      </c>
      <c r="C838" s="2">
        <v>20</v>
      </c>
      <c r="D838" s="2">
        <v>24958</v>
      </c>
      <c r="E838" s="17">
        <v>53472.18</v>
      </c>
      <c r="F838" s="11">
        <v>6.5</v>
      </c>
      <c r="G838" s="9">
        <v>3956.2</v>
      </c>
      <c r="H838" s="10">
        <v>0.35</v>
      </c>
      <c r="I838" s="11">
        <v>5.9</v>
      </c>
    </row>
    <row r="839" spans="1:9" x14ac:dyDescent="0.35">
      <c r="A839" s="2" t="s">
        <v>132</v>
      </c>
      <c r="B839" s="3">
        <v>44835</v>
      </c>
      <c r="C839" s="2">
        <v>18</v>
      </c>
      <c r="D839" s="2">
        <v>26727</v>
      </c>
      <c r="E839" s="17">
        <v>52381.59</v>
      </c>
      <c r="F839" s="11">
        <v>6.34</v>
      </c>
      <c r="G839" s="9">
        <v>4171.3</v>
      </c>
      <c r="H839" s="10">
        <v>0.44400000000000001</v>
      </c>
      <c r="I839" s="11">
        <v>7.9</v>
      </c>
    </row>
    <row r="840" spans="1:9" x14ac:dyDescent="0.35">
      <c r="A840" s="2" t="s">
        <v>132</v>
      </c>
      <c r="B840" s="3">
        <v>44866</v>
      </c>
      <c r="C840" s="2">
        <v>16</v>
      </c>
      <c r="D840" s="2">
        <v>30853</v>
      </c>
      <c r="E840" s="17">
        <v>63530.78</v>
      </c>
      <c r="F840" s="11">
        <v>6.6</v>
      </c>
      <c r="G840" s="9">
        <v>4685.5</v>
      </c>
      <c r="H840" s="10">
        <v>0.68799999999999994</v>
      </c>
      <c r="I840" s="11">
        <v>6.6</v>
      </c>
    </row>
    <row r="841" spans="1:9" x14ac:dyDescent="0.35">
      <c r="A841" s="2" t="s">
        <v>132</v>
      </c>
      <c r="B841" s="3">
        <v>44896</v>
      </c>
      <c r="C841" s="2">
        <v>12</v>
      </c>
      <c r="D841" s="2">
        <v>19802</v>
      </c>
      <c r="E841" s="17">
        <v>44902.33</v>
      </c>
      <c r="F841" s="11">
        <v>6.41</v>
      </c>
      <c r="G841" s="9">
        <v>3179.3</v>
      </c>
      <c r="H841" s="10">
        <v>0.5</v>
      </c>
      <c r="I841" s="11">
        <v>6.1</v>
      </c>
    </row>
    <row r="842" spans="1:9" x14ac:dyDescent="0.35">
      <c r="A842" s="2" t="s">
        <v>132</v>
      </c>
      <c r="B842" s="3">
        <v>44927</v>
      </c>
      <c r="C842" s="2">
        <v>17</v>
      </c>
      <c r="D842" s="2">
        <v>26411</v>
      </c>
      <c r="E842" s="17">
        <v>56112.1</v>
      </c>
      <c r="F842" s="11">
        <v>6.56</v>
      </c>
      <c r="G842" s="9">
        <v>4117.3999999999996</v>
      </c>
      <c r="H842" s="10">
        <v>0.35299999999999998</v>
      </c>
      <c r="I842" s="11">
        <v>6.4</v>
      </c>
    </row>
    <row r="843" spans="1:9" x14ac:dyDescent="0.35">
      <c r="A843" s="2" t="s">
        <v>132</v>
      </c>
      <c r="B843" s="3">
        <v>44958</v>
      </c>
      <c r="C843" s="2">
        <v>20</v>
      </c>
      <c r="D843" s="2">
        <v>32768</v>
      </c>
      <c r="E843" s="17">
        <v>71602.2</v>
      </c>
      <c r="F843" s="11">
        <v>6.51</v>
      </c>
      <c r="G843" s="9">
        <v>5052.7</v>
      </c>
      <c r="H843" s="10">
        <v>0.4</v>
      </c>
      <c r="I843" s="11">
        <v>6.7</v>
      </c>
    </row>
    <row r="844" spans="1:9" x14ac:dyDescent="0.35">
      <c r="A844" s="2" t="s">
        <v>132</v>
      </c>
      <c r="B844" s="3">
        <v>44986</v>
      </c>
      <c r="C844" s="2">
        <v>18</v>
      </c>
      <c r="D844" s="2">
        <v>22437</v>
      </c>
      <c r="E844" s="17">
        <v>47251.67</v>
      </c>
      <c r="F844" s="11">
        <v>6.58</v>
      </c>
      <c r="G844" s="9">
        <v>3451.9</v>
      </c>
      <c r="H844" s="10">
        <v>0.33300000000000002</v>
      </c>
      <c r="I844" s="11">
        <v>7.3</v>
      </c>
    </row>
    <row r="845" spans="1:9" x14ac:dyDescent="0.35">
      <c r="A845" s="2" t="s">
        <v>132</v>
      </c>
      <c r="B845" s="3">
        <v>45017</v>
      </c>
      <c r="C845" s="2">
        <v>26</v>
      </c>
      <c r="D845" s="2">
        <v>38469</v>
      </c>
      <c r="E845" s="17">
        <v>85136.84</v>
      </c>
      <c r="F845" s="11">
        <v>6.31</v>
      </c>
      <c r="G845" s="9">
        <v>6218</v>
      </c>
      <c r="H845" s="10">
        <v>0.5</v>
      </c>
      <c r="I845" s="11">
        <v>6.9</v>
      </c>
    </row>
    <row r="846" spans="1:9" x14ac:dyDescent="0.35">
      <c r="A846" s="2" t="s">
        <v>132</v>
      </c>
      <c r="B846" s="3">
        <v>45047</v>
      </c>
      <c r="C846" s="2">
        <v>22</v>
      </c>
      <c r="D846" s="2">
        <v>21153</v>
      </c>
      <c r="E846" s="17">
        <v>45832.36</v>
      </c>
      <c r="F846" s="11">
        <v>6.52</v>
      </c>
      <c r="G846" s="9">
        <v>3214.1</v>
      </c>
      <c r="H846" s="10">
        <v>0.40899999999999997</v>
      </c>
      <c r="I846" s="11">
        <v>7</v>
      </c>
    </row>
    <row r="847" spans="1:9" x14ac:dyDescent="0.35">
      <c r="A847" s="2" t="s">
        <v>132</v>
      </c>
      <c r="B847" s="3">
        <v>45078</v>
      </c>
      <c r="C847" s="2">
        <v>7</v>
      </c>
      <c r="D847" s="2">
        <v>9818</v>
      </c>
      <c r="E847" s="17">
        <v>21040.14</v>
      </c>
      <c r="F847" s="11">
        <v>6.82</v>
      </c>
      <c r="G847" s="9">
        <v>1445.7</v>
      </c>
      <c r="H847" s="10">
        <v>0.28599999999999998</v>
      </c>
      <c r="I847" s="11">
        <v>7.4</v>
      </c>
    </row>
    <row r="848" spans="1:9" x14ac:dyDescent="0.35">
      <c r="A848" s="2" t="s">
        <v>132</v>
      </c>
      <c r="B848" s="3">
        <v>45108</v>
      </c>
      <c r="C848" s="2">
        <v>20</v>
      </c>
      <c r="D848" s="2">
        <v>29951</v>
      </c>
      <c r="E848" s="17">
        <v>62689.17</v>
      </c>
      <c r="F848" s="11">
        <v>6.45</v>
      </c>
      <c r="G848" s="9">
        <v>4777.1000000000004</v>
      </c>
      <c r="H848" s="10">
        <v>0.5</v>
      </c>
      <c r="I848" s="11">
        <v>6.8</v>
      </c>
    </row>
    <row r="849" spans="1:9" x14ac:dyDescent="0.35">
      <c r="A849" s="2" t="s">
        <v>132</v>
      </c>
      <c r="B849" s="3">
        <v>45139</v>
      </c>
      <c r="C849" s="2">
        <v>14</v>
      </c>
      <c r="D849" s="2">
        <v>17586</v>
      </c>
      <c r="E849" s="17">
        <v>38850.32</v>
      </c>
      <c r="F849" s="11">
        <v>6.41</v>
      </c>
      <c r="G849" s="9">
        <v>2731.9</v>
      </c>
      <c r="H849" s="10">
        <v>0.35699999999999998</v>
      </c>
      <c r="I849" s="11">
        <v>6.5</v>
      </c>
    </row>
    <row r="850" spans="1:9" x14ac:dyDescent="0.35">
      <c r="A850" s="2" t="s">
        <v>132</v>
      </c>
      <c r="B850" s="3">
        <v>45170</v>
      </c>
      <c r="C850" s="2">
        <v>21</v>
      </c>
      <c r="D850" s="2">
        <v>30217</v>
      </c>
      <c r="E850" s="17">
        <v>65381.03</v>
      </c>
      <c r="F850" s="11">
        <v>6.6</v>
      </c>
      <c r="G850" s="9">
        <v>4749.8</v>
      </c>
      <c r="H850" s="10">
        <v>0.47599999999999998</v>
      </c>
      <c r="I850" s="11">
        <v>7.9</v>
      </c>
    </row>
    <row r="851" spans="1:9" x14ac:dyDescent="0.35">
      <c r="A851" s="2" t="s">
        <v>132</v>
      </c>
      <c r="B851" s="3">
        <v>45200</v>
      </c>
      <c r="C851" s="2">
        <v>15</v>
      </c>
      <c r="D851" s="2">
        <v>23963</v>
      </c>
      <c r="E851" s="17">
        <v>48967.71</v>
      </c>
      <c r="F851" s="11">
        <v>6.67</v>
      </c>
      <c r="G851" s="9">
        <v>3668.4</v>
      </c>
      <c r="H851" s="10">
        <v>0.26700000000000002</v>
      </c>
      <c r="I851" s="11">
        <v>6.8</v>
      </c>
    </row>
    <row r="852" spans="1:9" x14ac:dyDescent="0.35">
      <c r="A852" s="2" t="s">
        <v>132</v>
      </c>
      <c r="B852" s="3">
        <v>45231</v>
      </c>
      <c r="C852" s="2">
        <v>14</v>
      </c>
      <c r="D852" s="2">
        <v>17758</v>
      </c>
      <c r="E852" s="17">
        <v>39754.160000000003</v>
      </c>
      <c r="F852" s="11">
        <v>6.41</v>
      </c>
      <c r="G852" s="9">
        <v>2796.7</v>
      </c>
      <c r="H852" s="10">
        <v>0.5</v>
      </c>
      <c r="I852" s="11">
        <v>5.2</v>
      </c>
    </row>
    <row r="853" spans="1:9" x14ac:dyDescent="0.35">
      <c r="A853" s="2" t="s">
        <v>132</v>
      </c>
      <c r="B853" s="3">
        <v>45261</v>
      </c>
      <c r="C853" s="2">
        <v>17</v>
      </c>
      <c r="D853" s="2">
        <v>29095</v>
      </c>
      <c r="E853" s="17">
        <v>64717.51</v>
      </c>
      <c r="F853" s="11">
        <v>6.77</v>
      </c>
      <c r="G853" s="9">
        <v>4408.8</v>
      </c>
      <c r="H853" s="10">
        <v>0.41199999999999998</v>
      </c>
      <c r="I853" s="11">
        <v>6.1</v>
      </c>
    </row>
    <row r="854" spans="1:9" x14ac:dyDescent="0.35">
      <c r="A854" s="2" t="s">
        <v>132</v>
      </c>
      <c r="B854" s="3">
        <v>45292</v>
      </c>
      <c r="C854" s="2">
        <v>16</v>
      </c>
      <c r="D854" s="2">
        <v>20142</v>
      </c>
      <c r="E854" s="17">
        <v>45128.34</v>
      </c>
      <c r="F854" s="11">
        <v>6.44</v>
      </c>
      <c r="G854" s="9">
        <v>3169.8</v>
      </c>
      <c r="H854" s="10">
        <v>0.375</v>
      </c>
      <c r="I854" s="11">
        <v>6.9</v>
      </c>
    </row>
    <row r="855" spans="1:9" x14ac:dyDescent="0.35">
      <c r="A855" s="2" t="s">
        <v>132</v>
      </c>
      <c r="B855" s="3">
        <v>45323</v>
      </c>
      <c r="C855" s="2">
        <v>19</v>
      </c>
      <c r="D855" s="2">
        <v>25491</v>
      </c>
      <c r="E855" s="17">
        <v>56546.47</v>
      </c>
      <c r="F855" s="11">
        <v>6.47</v>
      </c>
      <c r="G855" s="9">
        <v>4032.4</v>
      </c>
      <c r="H855" s="10">
        <v>0.316</v>
      </c>
      <c r="I855" s="11">
        <v>6.7</v>
      </c>
    </row>
    <row r="856" spans="1:9" x14ac:dyDescent="0.35">
      <c r="A856" s="2" t="s">
        <v>132</v>
      </c>
      <c r="B856" s="3">
        <v>45352</v>
      </c>
      <c r="C856" s="2">
        <v>15</v>
      </c>
      <c r="D856" s="2">
        <v>21301</v>
      </c>
      <c r="E856" s="17">
        <v>46755.61</v>
      </c>
      <c r="F856" s="11">
        <v>6.52</v>
      </c>
      <c r="G856" s="9">
        <v>3250.4</v>
      </c>
      <c r="H856" s="10">
        <v>0.46700000000000003</v>
      </c>
      <c r="I856" s="11">
        <v>7.1</v>
      </c>
    </row>
    <row r="857" spans="1:9" x14ac:dyDescent="0.35">
      <c r="A857" s="2" t="s">
        <v>132</v>
      </c>
      <c r="B857" s="3">
        <v>45383</v>
      </c>
      <c r="C857" s="2">
        <v>26</v>
      </c>
      <c r="D857" s="2">
        <v>36316</v>
      </c>
      <c r="E857" s="17">
        <v>78527.5</v>
      </c>
      <c r="F857" s="11">
        <v>6.46</v>
      </c>
      <c r="G857" s="9">
        <v>5653.8</v>
      </c>
      <c r="H857" s="10">
        <v>0.42299999999999999</v>
      </c>
      <c r="I857" s="11">
        <v>6.8</v>
      </c>
    </row>
    <row r="858" spans="1:9" x14ac:dyDescent="0.35">
      <c r="A858" s="2" t="s">
        <v>132</v>
      </c>
      <c r="B858" s="3">
        <v>45413</v>
      </c>
      <c r="C858" s="2">
        <v>19</v>
      </c>
      <c r="D858" s="2">
        <v>26635</v>
      </c>
      <c r="E858" s="17">
        <v>55365.72</v>
      </c>
      <c r="F858" s="11">
        <v>6.19</v>
      </c>
      <c r="G858" s="9">
        <v>4335.8999999999996</v>
      </c>
      <c r="H858" s="10">
        <v>0.316</v>
      </c>
      <c r="I858" s="11">
        <v>6.6</v>
      </c>
    </row>
    <row r="859" spans="1:9" x14ac:dyDescent="0.35">
      <c r="A859" s="2" t="s">
        <v>132</v>
      </c>
      <c r="B859" s="3">
        <v>45444</v>
      </c>
      <c r="C859" s="2">
        <v>23</v>
      </c>
      <c r="D859" s="2">
        <v>35908</v>
      </c>
      <c r="E859" s="17">
        <v>81135.64</v>
      </c>
      <c r="F859" s="11">
        <v>6.53</v>
      </c>
      <c r="G859" s="9">
        <v>5492.6</v>
      </c>
      <c r="H859" s="10">
        <v>0.60899999999999999</v>
      </c>
      <c r="I859" s="11">
        <v>6.5</v>
      </c>
    </row>
    <row r="860" spans="1:9" x14ac:dyDescent="0.35">
      <c r="A860" s="2" t="s">
        <v>132</v>
      </c>
      <c r="B860" s="3">
        <v>45474</v>
      </c>
      <c r="C860" s="2">
        <v>20</v>
      </c>
      <c r="D860" s="2">
        <v>28919</v>
      </c>
      <c r="E860" s="17">
        <v>62462.43</v>
      </c>
      <c r="F860" s="11">
        <v>6.55</v>
      </c>
      <c r="G860" s="9">
        <v>4419.6000000000004</v>
      </c>
      <c r="H860" s="10">
        <v>0.3</v>
      </c>
      <c r="I860" s="11">
        <v>6.9</v>
      </c>
    </row>
    <row r="861" spans="1:9" x14ac:dyDescent="0.35">
      <c r="A861" s="2" t="s">
        <v>132</v>
      </c>
      <c r="B861" s="3">
        <v>45505</v>
      </c>
      <c r="C861" s="2">
        <v>16</v>
      </c>
      <c r="D861" s="2">
        <v>18802</v>
      </c>
      <c r="E861" s="17">
        <v>40723.43</v>
      </c>
      <c r="F861" s="11">
        <v>6.53</v>
      </c>
      <c r="G861" s="9">
        <v>2864.5</v>
      </c>
      <c r="H861" s="10">
        <v>0.438</v>
      </c>
      <c r="I861" s="11">
        <v>6.1</v>
      </c>
    </row>
    <row r="862" spans="1:9" x14ac:dyDescent="0.35">
      <c r="A862" s="2" t="s">
        <v>132</v>
      </c>
      <c r="B862" s="3">
        <v>45536</v>
      </c>
      <c r="C862" s="2">
        <v>18</v>
      </c>
      <c r="D862" s="2">
        <v>20113</v>
      </c>
      <c r="E862" s="17">
        <v>48008.69</v>
      </c>
      <c r="F862" s="11">
        <v>6.58</v>
      </c>
      <c r="G862" s="9">
        <v>3043.8</v>
      </c>
      <c r="H862" s="10">
        <v>0.55600000000000005</v>
      </c>
      <c r="I862" s="11">
        <v>5.4</v>
      </c>
    </row>
    <row r="863" spans="1:9" x14ac:dyDescent="0.35">
      <c r="A863" s="2" t="s">
        <v>132</v>
      </c>
      <c r="B863" s="3">
        <v>45566</v>
      </c>
      <c r="C863" s="2">
        <v>21</v>
      </c>
      <c r="D863" s="2">
        <v>27693</v>
      </c>
      <c r="E863" s="17">
        <v>62499.9</v>
      </c>
      <c r="F863" s="11">
        <v>6.47</v>
      </c>
      <c r="G863" s="9">
        <v>4327.8999999999996</v>
      </c>
      <c r="H863" s="10">
        <v>0.61899999999999999</v>
      </c>
      <c r="I863" s="11">
        <v>6.3</v>
      </c>
    </row>
    <row r="864" spans="1:9" x14ac:dyDescent="0.35">
      <c r="A864" s="2" t="s">
        <v>132</v>
      </c>
      <c r="B864" s="3">
        <v>45597</v>
      </c>
      <c r="C864" s="2">
        <v>17</v>
      </c>
      <c r="D864" s="2">
        <v>25248</v>
      </c>
      <c r="E864" s="17">
        <v>51984.05</v>
      </c>
      <c r="F864" s="11">
        <v>6.58</v>
      </c>
      <c r="G864" s="9">
        <v>3894</v>
      </c>
      <c r="H864" s="10">
        <v>0.41199999999999998</v>
      </c>
      <c r="I864" s="11">
        <v>6.1</v>
      </c>
    </row>
    <row r="865" spans="1:9" x14ac:dyDescent="0.35">
      <c r="A865" s="2" t="s">
        <v>132</v>
      </c>
      <c r="B865" s="3">
        <v>45627</v>
      </c>
      <c r="C865" s="2">
        <v>15</v>
      </c>
      <c r="D865" s="2">
        <v>18183</v>
      </c>
      <c r="E865" s="17">
        <v>41026.400000000001</v>
      </c>
      <c r="F865" s="11">
        <v>6.67</v>
      </c>
      <c r="G865" s="9">
        <v>2779.7</v>
      </c>
      <c r="H865" s="10">
        <v>0.26700000000000002</v>
      </c>
      <c r="I865" s="11">
        <v>8.3000000000000007</v>
      </c>
    </row>
    <row r="866" spans="1:9" x14ac:dyDescent="0.35">
      <c r="A866" s="2" t="s">
        <v>134</v>
      </c>
      <c r="B866" s="3">
        <v>44562</v>
      </c>
      <c r="C866" s="2">
        <v>29</v>
      </c>
      <c r="D866" s="2">
        <v>45824</v>
      </c>
      <c r="E866" s="17">
        <v>93425.279999999999</v>
      </c>
      <c r="F866" s="11">
        <v>6.56</v>
      </c>
      <c r="G866" s="9">
        <v>7006.5</v>
      </c>
      <c r="H866" s="10">
        <v>0.379</v>
      </c>
      <c r="I866" s="11">
        <v>7.2</v>
      </c>
    </row>
    <row r="867" spans="1:9" x14ac:dyDescent="0.35">
      <c r="A867" s="2" t="s">
        <v>134</v>
      </c>
      <c r="B867" s="3">
        <v>44593</v>
      </c>
      <c r="C867" s="2">
        <v>20</v>
      </c>
      <c r="D867" s="2">
        <v>25986</v>
      </c>
      <c r="E867" s="17">
        <v>55518</v>
      </c>
      <c r="F867" s="11">
        <v>6.47</v>
      </c>
      <c r="G867" s="9">
        <v>4001.8</v>
      </c>
      <c r="H867" s="10">
        <v>0.5</v>
      </c>
      <c r="I867" s="11">
        <v>6.1</v>
      </c>
    </row>
    <row r="868" spans="1:9" x14ac:dyDescent="0.35">
      <c r="A868" s="2" t="s">
        <v>134</v>
      </c>
      <c r="B868" s="3">
        <v>44621</v>
      </c>
      <c r="C868" s="2">
        <v>10</v>
      </c>
      <c r="D868" s="2">
        <v>10152</v>
      </c>
      <c r="E868" s="17">
        <v>23283.88</v>
      </c>
      <c r="F868" s="11">
        <v>6.45</v>
      </c>
      <c r="G868" s="9">
        <v>1540.5</v>
      </c>
      <c r="H868" s="10">
        <v>0.6</v>
      </c>
      <c r="I868" s="11">
        <v>6.2</v>
      </c>
    </row>
    <row r="869" spans="1:9" x14ac:dyDescent="0.35">
      <c r="A869" s="2" t="s">
        <v>134</v>
      </c>
      <c r="B869" s="3">
        <v>44652</v>
      </c>
      <c r="C869" s="2">
        <v>19</v>
      </c>
      <c r="D869" s="2">
        <v>23778</v>
      </c>
      <c r="E869" s="17">
        <v>51504.17</v>
      </c>
      <c r="F869" s="11">
        <v>6.42</v>
      </c>
      <c r="G869" s="9">
        <v>3746.3</v>
      </c>
      <c r="H869" s="10">
        <v>0.47399999999999998</v>
      </c>
      <c r="I869" s="11">
        <v>7.6</v>
      </c>
    </row>
    <row r="870" spans="1:9" x14ac:dyDescent="0.35">
      <c r="A870" s="2" t="s">
        <v>134</v>
      </c>
      <c r="B870" s="3">
        <v>44682</v>
      </c>
      <c r="C870" s="2">
        <v>21</v>
      </c>
      <c r="D870" s="2">
        <v>24364</v>
      </c>
      <c r="E870" s="17">
        <v>53398.92</v>
      </c>
      <c r="F870" s="11">
        <v>6.52</v>
      </c>
      <c r="G870" s="9">
        <v>3774.1</v>
      </c>
      <c r="H870" s="10">
        <v>0.38100000000000001</v>
      </c>
      <c r="I870" s="11">
        <v>7.1</v>
      </c>
    </row>
    <row r="871" spans="1:9" x14ac:dyDescent="0.35">
      <c r="A871" s="2" t="s">
        <v>134</v>
      </c>
      <c r="B871" s="3">
        <v>44713</v>
      </c>
      <c r="C871" s="2">
        <v>24</v>
      </c>
      <c r="D871" s="2">
        <v>33167</v>
      </c>
      <c r="E871" s="17">
        <v>65021.27</v>
      </c>
      <c r="F871" s="11">
        <v>6.37</v>
      </c>
      <c r="G871" s="9">
        <v>5318</v>
      </c>
      <c r="H871" s="10">
        <v>0.41699999999999998</v>
      </c>
      <c r="I871" s="11">
        <v>7.8</v>
      </c>
    </row>
    <row r="872" spans="1:9" x14ac:dyDescent="0.35">
      <c r="A872" s="2" t="s">
        <v>134</v>
      </c>
      <c r="B872" s="3">
        <v>44743</v>
      </c>
      <c r="C872" s="2">
        <v>14</v>
      </c>
      <c r="D872" s="2">
        <v>19537</v>
      </c>
      <c r="E872" s="17">
        <v>40346.160000000003</v>
      </c>
      <c r="F872" s="11">
        <v>6.42</v>
      </c>
      <c r="G872" s="9">
        <v>3095.5</v>
      </c>
      <c r="H872" s="10">
        <v>0.64300000000000002</v>
      </c>
      <c r="I872" s="11">
        <v>7.5</v>
      </c>
    </row>
    <row r="873" spans="1:9" x14ac:dyDescent="0.35">
      <c r="A873" s="2" t="s">
        <v>134</v>
      </c>
      <c r="B873" s="3">
        <v>44774</v>
      </c>
      <c r="C873" s="2">
        <v>16</v>
      </c>
      <c r="D873" s="2">
        <v>21016</v>
      </c>
      <c r="E873" s="17">
        <v>45637.14</v>
      </c>
      <c r="F873" s="11">
        <v>6.52</v>
      </c>
      <c r="G873" s="9">
        <v>3335.1</v>
      </c>
      <c r="H873" s="10">
        <v>0.438</v>
      </c>
      <c r="I873" s="11">
        <v>8.1</v>
      </c>
    </row>
    <row r="874" spans="1:9" x14ac:dyDescent="0.35">
      <c r="A874" s="2" t="s">
        <v>134</v>
      </c>
      <c r="B874" s="3">
        <v>44805</v>
      </c>
      <c r="C874" s="2">
        <v>18</v>
      </c>
      <c r="D874" s="2">
        <v>22754</v>
      </c>
      <c r="E874" s="17">
        <v>53775.48</v>
      </c>
      <c r="F874" s="11">
        <v>6.39</v>
      </c>
      <c r="G874" s="9">
        <v>3501.9</v>
      </c>
      <c r="H874" s="10">
        <v>0.33300000000000002</v>
      </c>
      <c r="I874" s="11">
        <v>7.8</v>
      </c>
    </row>
    <row r="875" spans="1:9" x14ac:dyDescent="0.35">
      <c r="A875" s="2" t="s">
        <v>134</v>
      </c>
      <c r="B875" s="3">
        <v>44835</v>
      </c>
      <c r="C875" s="2">
        <v>17</v>
      </c>
      <c r="D875" s="2">
        <v>25519</v>
      </c>
      <c r="E875" s="17">
        <v>52745.98</v>
      </c>
      <c r="F875" s="11">
        <v>6.22</v>
      </c>
      <c r="G875" s="9">
        <v>4108.8999999999996</v>
      </c>
      <c r="H875" s="10">
        <v>0.35299999999999998</v>
      </c>
      <c r="I875" s="11">
        <v>7.7</v>
      </c>
    </row>
    <row r="876" spans="1:9" x14ac:dyDescent="0.35">
      <c r="A876" s="2" t="s">
        <v>134</v>
      </c>
      <c r="B876" s="3">
        <v>44866</v>
      </c>
      <c r="C876" s="2">
        <v>24</v>
      </c>
      <c r="D876" s="2">
        <v>37058</v>
      </c>
      <c r="E876" s="17">
        <v>82266.960000000006</v>
      </c>
      <c r="F876" s="11">
        <v>6.45</v>
      </c>
      <c r="G876" s="9">
        <v>5902.7</v>
      </c>
      <c r="H876" s="10">
        <v>0.58299999999999996</v>
      </c>
      <c r="I876" s="11">
        <v>7.2</v>
      </c>
    </row>
    <row r="877" spans="1:9" x14ac:dyDescent="0.35">
      <c r="A877" s="2" t="s">
        <v>134</v>
      </c>
      <c r="B877" s="3">
        <v>44896</v>
      </c>
      <c r="C877" s="2">
        <v>24</v>
      </c>
      <c r="D877" s="2">
        <v>41413</v>
      </c>
      <c r="E877" s="17">
        <v>88809.8</v>
      </c>
      <c r="F877" s="11">
        <v>6.38</v>
      </c>
      <c r="G877" s="9">
        <v>6534.1</v>
      </c>
      <c r="H877" s="10">
        <v>0.625</v>
      </c>
      <c r="I877" s="11">
        <v>6.5</v>
      </c>
    </row>
    <row r="878" spans="1:9" x14ac:dyDescent="0.35">
      <c r="A878" s="2" t="s">
        <v>134</v>
      </c>
      <c r="B878" s="3">
        <v>44927</v>
      </c>
      <c r="C878" s="2">
        <v>19</v>
      </c>
      <c r="D878" s="2">
        <v>29899</v>
      </c>
      <c r="E878" s="17">
        <v>66241.78</v>
      </c>
      <c r="F878" s="11">
        <v>6.62</v>
      </c>
      <c r="G878" s="9">
        <v>4520.8</v>
      </c>
      <c r="H878" s="10">
        <v>0.42099999999999999</v>
      </c>
      <c r="I878" s="11">
        <v>5.9</v>
      </c>
    </row>
    <row r="879" spans="1:9" x14ac:dyDescent="0.35">
      <c r="A879" s="2" t="s">
        <v>134</v>
      </c>
      <c r="B879" s="3">
        <v>44958</v>
      </c>
      <c r="C879" s="2">
        <v>13</v>
      </c>
      <c r="D879" s="2">
        <v>17786</v>
      </c>
      <c r="E879" s="17">
        <v>41925.93</v>
      </c>
      <c r="F879" s="11">
        <v>6.65</v>
      </c>
      <c r="G879" s="9">
        <v>2686.9</v>
      </c>
      <c r="H879" s="10">
        <v>0.23100000000000001</v>
      </c>
      <c r="I879" s="11">
        <v>6.9</v>
      </c>
    </row>
    <row r="880" spans="1:9" x14ac:dyDescent="0.35">
      <c r="A880" s="2" t="s">
        <v>134</v>
      </c>
      <c r="B880" s="3">
        <v>44986</v>
      </c>
      <c r="C880" s="2">
        <v>14</v>
      </c>
      <c r="D880" s="2">
        <v>22761</v>
      </c>
      <c r="E880" s="17">
        <v>42960.959999999999</v>
      </c>
      <c r="F880" s="11">
        <v>6.25</v>
      </c>
      <c r="G880" s="9">
        <v>3604.6</v>
      </c>
      <c r="H880" s="10">
        <v>0.28599999999999998</v>
      </c>
      <c r="I880" s="11">
        <v>7.8</v>
      </c>
    </row>
    <row r="881" spans="1:9" x14ac:dyDescent="0.35">
      <c r="A881" s="2" t="s">
        <v>134</v>
      </c>
      <c r="B881" s="3">
        <v>45017</v>
      </c>
      <c r="C881" s="2">
        <v>23</v>
      </c>
      <c r="D881" s="2">
        <v>32600</v>
      </c>
      <c r="E881" s="17">
        <v>68284.740000000005</v>
      </c>
      <c r="F881" s="11">
        <v>6.37</v>
      </c>
      <c r="G881" s="9">
        <v>5132</v>
      </c>
      <c r="H881" s="10">
        <v>0.47799999999999998</v>
      </c>
      <c r="I881" s="11">
        <v>6.4</v>
      </c>
    </row>
    <row r="882" spans="1:9" x14ac:dyDescent="0.35">
      <c r="A882" s="2" t="s">
        <v>134</v>
      </c>
      <c r="B882" s="3">
        <v>45047</v>
      </c>
      <c r="C882" s="2">
        <v>17</v>
      </c>
      <c r="D882" s="2">
        <v>29646</v>
      </c>
      <c r="E882" s="17">
        <v>66406.16</v>
      </c>
      <c r="F882" s="11">
        <v>6.6</v>
      </c>
      <c r="G882" s="9">
        <v>4531.3</v>
      </c>
      <c r="H882" s="10">
        <v>0.52900000000000003</v>
      </c>
      <c r="I882" s="11">
        <v>7</v>
      </c>
    </row>
    <row r="883" spans="1:9" x14ac:dyDescent="0.35">
      <c r="A883" s="2" t="s">
        <v>134</v>
      </c>
      <c r="B883" s="3">
        <v>45078</v>
      </c>
      <c r="C883" s="2">
        <v>12</v>
      </c>
      <c r="D883" s="2">
        <v>20707</v>
      </c>
      <c r="E883" s="17">
        <v>48458.8</v>
      </c>
      <c r="F883" s="11">
        <v>6.44</v>
      </c>
      <c r="G883" s="9">
        <v>3247.3</v>
      </c>
      <c r="H883" s="10">
        <v>0.75</v>
      </c>
      <c r="I883" s="11">
        <v>7.6</v>
      </c>
    </row>
    <row r="884" spans="1:9" x14ac:dyDescent="0.35">
      <c r="A884" s="2" t="s">
        <v>134</v>
      </c>
      <c r="B884" s="3">
        <v>45108</v>
      </c>
      <c r="C884" s="2">
        <v>17</v>
      </c>
      <c r="D884" s="2">
        <v>23663</v>
      </c>
      <c r="E884" s="17">
        <v>49807</v>
      </c>
      <c r="F884" s="11">
        <v>6.51</v>
      </c>
      <c r="G884" s="9">
        <v>3706.7</v>
      </c>
      <c r="H884" s="10">
        <v>0.47099999999999997</v>
      </c>
      <c r="I884" s="11">
        <v>5.9</v>
      </c>
    </row>
    <row r="885" spans="1:9" x14ac:dyDescent="0.35">
      <c r="A885" s="2" t="s">
        <v>134</v>
      </c>
      <c r="B885" s="3">
        <v>45139</v>
      </c>
      <c r="C885" s="2">
        <v>18</v>
      </c>
      <c r="D885" s="2">
        <v>21842</v>
      </c>
      <c r="E885" s="17">
        <v>49527.81</v>
      </c>
      <c r="F885" s="11">
        <v>6.35</v>
      </c>
      <c r="G885" s="9">
        <v>3487.4</v>
      </c>
      <c r="H885" s="10">
        <v>0.44400000000000001</v>
      </c>
      <c r="I885" s="11">
        <v>6.1</v>
      </c>
    </row>
    <row r="886" spans="1:9" x14ac:dyDescent="0.35">
      <c r="A886" s="2" t="s">
        <v>134</v>
      </c>
      <c r="B886" s="3">
        <v>45170</v>
      </c>
      <c r="C886" s="2">
        <v>20</v>
      </c>
      <c r="D886" s="2">
        <v>25785</v>
      </c>
      <c r="E886" s="17">
        <v>50229.35</v>
      </c>
      <c r="F886" s="11">
        <v>6.64</v>
      </c>
      <c r="G886" s="9">
        <v>3919.6</v>
      </c>
      <c r="H886" s="10">
        <v>0.6</v>
      </c>
      <c r="I886" s="11">
        <v>6.8</v>
      </c>
    </row>
    <row r="887" spans="1:9" x14ac:dyDescent="0.35">
      <c r="A887" s="2" t="s">
        <v>134</v>
      </c>
      <c r="B887" s="3">
        <v>45200</v>
      </c>
      <c r="C887" s="2">
        <v>15</v>
      </c>
      <c r="D887" s="2">
        <v>19215</v>
      </c>
      <c r="E887" s="17">
        <v>41464.879999999997</v>
      </c>
      <c r="F887" s="11">
        <v>6.26</v>
      </c>
      <c r="G887" s="9">
        <v>3097.8</v>
      </c>
      <c r="H887" s="10">
        <v>0.4</v>
      </c>
      <c r="I887" s="11">
        <v>6.5</v>
      </c>
    </row>
    <row r="888" spans="1:9" x14ac:dyDescent="0.35">
      <c r="A888" s="2" t="s">
        <v>134</v>
      </c>
      <c r="B888" s="3">
        <v>45231</v>
      </c>
      <c r="C888" s="2">
        <v>24</v>
      </c>
      <c r="D888" s="2">
        <v>41096</v>
      </c>
      <c r="E888" s="17">
        <v>89721.23</v>
      </c>
      <c r="F888" s="11">
        <v>6.45</v>
      </c>
      <c r="G888" s="9">
        <v>6365.8</v>
      </c>
      <c r="H888" s="10">
        <v>0.375</v>
      </c>
      <c r="I888" s="11">
        <v>7.4</v>
      </c>
    </row>
    <row r="889" spans="1:9" x14ac:dyDescent="0.35">
      <c r="A889" s="2" t="s">
        <v>134</v>
      </c>
      <c r="B889" s="3">
        <v>45261</v>
      </c>
      <c r="C889" s="2">
        <v>19</v>
      </c>
      <c r="D889" s="2">
        <v>28511</v>
      </c>
      <c r="E889" s="17">
        <v>60594.02</v>
      </c>
      <c r="F889" s="11">
        <v>6.26</v>
      </c>
      <c r="G889" s="9">
        <v>4566.5</v>
      </c>
      <c r="H889" s="10">
        <v>0.52600000000000002</v>
      </c>
      <c r="I889" s="11">
        <v>7.2</v>
      </c>
    </row>
    <row r="890" spans="1:9" x14ac:dyDescent="0.35">
      <c r="A890" s="2" t="s">
        <v>134</v>
      </c>
      <c r="B890" s="3">
        <v>45292</v>
      </c>
      <c r="C890" s="2">
        <v>18</v>
      </c>
      <c r="D890" s="2">
        <v>33811</v>
      </c>
      <c r="E890" s="17">
        <v>77735.789999999994</v>
      </c>
      <c r="F890" s="11">
        <v>6.48</v>
      </c>
      <c r="G890" s="9">
        <v>5230.6000000000004</v>
      </c>
      <c r="H890" s="10">
        <v>0.55600000000000005</v>
      </c>
      <c r="I890" s="11">
        <v>7.4</v>
      </c>
    </row>
    <row r="891" spans="1:9" x14ac:dyDescent="0.35">
      <c r="A891" s="2" t="s">
        <v>134</v>
      </c>
      <c r="B891" s="3">
        <v>45323</v>
      </c>
      <c r="C891" s="2">
        <v>14</v>
      </c>
      <c r="D891" s="2">
        <v>22734</v>
      </c>
      <c r="E891" s="17">
        <v>48182.27</v>
      </c>
      <c r="F891" s="11">
        <v>6.49</v>
      </c>
      <c r="G891" s="9">
        <v>3513.6</v>
      </c>
      <c r="H891" s="10">
        <v>0.35699999999999998</v>
      </c>
      <c r="I891" s="11">
        <v>7.4</v>
      </c>
    </row>
    <row r="892" spans="1:9" x14ac:dyDescent="0.35">
      <c r="A892" s="2" t="s">
        <v>134</v>
      </c>
      <c r="B892" s="3">
        <v>45352</v>
      </c>
      <c r="C892" s="2">
        <v>22</v>
      </c>
      <c r="D892" s="2">
        <v>38907</v>
      </c>
      <c r="E892" s="17">
        <v>88361.08</v>
      </c>
      <c r="F892" s="11">
        <v>6.48</v>
      </c>
      <c r="G892" s="9">
        <v>5994.3</v>
      </c>
      <c r="H892" s="10">
        <v>0.45500000000000002</v>
      </c>
      <c r="I892" s="11">
        <v>6.4</v>
      </c>
    </row>
    <row r="893" spans="1:9" x14ac:dyDescent="0.35">
      <c r="A893" s="2" t="s">
        <v>134</v>
      </c>
      <c r="B893" s="3">
        <v>45383</v>
      </c>
      <c r="C893" s="2">
        <v>13</v>
      </c>
      <c r="D893" s="2">
        <v>15977</v>
      </c>
      <c r="E893" s="17">
        <v>37799.160000000003</v>
      </c>
      <c r="F893" s="11">
        <v>6.23</v>
      </c>
      <c r="G893" s="9">
        <v>2569.1999999999998</v>
      </c>
      <c r="H893" s="10">
        <v>0.46200000000000002</v>
      </c>
      <c r="I893" s="11">
        <v>7.3</v>
      </c>
    </row>
    <row r="894" spans="1:9" x14ac:dyDescent="0.35">
      <c r="A894" s="2" t="s">
        <v>134</v>
      </c>
      <c r="B894" s="3">
        <v>45413</v>
      </c>
      <c r="C894" s="2">
        <v>24</v>
      </c>
      <c r="D894" s="2">
        <v>43547</v>
      </c>
      <c r="E894" s="17">
        <v>98839.58</v>
      </c>
      <c r="F894" s="11">
        <v>6.2</v>
      </c>
      <c r="G894" s="9">
        <v>7086.9</v>
      </c>
      <c r="H894" s="10">
        <v>0.375</v>
      </c>
      <c r="I894" s="11">
        <v>6.4</v>
      </c>
    </row>
    <row r="895" spans="1:9" x14ac:dyDescent="0.35">
      <c r="A895" s="2" t="s">
        <v>134</v>
      </c>
      <c r="B895" s="3">
        <v>45444</v>
      </c>
      <c r="C895" s="2">
        <v>21</v>
      </c>
      <c r="D895" s="2">
        <v>25242</v>
      </c>
      <c r="E895" s="17">
        <v>53283.33</v>
      </c>
      <c r="F895" s="11">
        <v>6.45</v>
      </c>
      <c r="G895" s="9">
        <v>3991.9</v>
      </c>
      <c r="H895" s="10">
        <v>0.42899999999999999</v>
      </c>
      <c r="I895" s="11">
        <v>7.3</v>
      </c>
    </row>
    <row r="896" spans="1:9" x14ac:dyDescent="0.35">
      <c r="A896" s="2" t="s">
        <v>134</v>
      </c>
      <c r="B896" s="3">
        <v>45474</v>
      </c>
      <c r="C896" s="2">
        <v>25</v>
      </c>
      <c r="D896" s="2">
        <v>31334</v>
      </c>
      <c r="E896" s="17">
        <v>71195.5</v>
      </c>
      <c r="F896" s="11">
        <v>6.56</v>
      </c>
      <c r="G896" s="9">
        <v>4811.1000000000004</v>
      </c>
      <c r="H896" s="10">
        <v>0.44</v>
      </c>
      <c r="I896" s="11">
        <v>7.9</v>
      </c>
    </row>
    <row r="897" spans="1:9" x14ac:dyDescent="0.35">
      <c r="A897" s="2" t="s">
        <v>134</v>
      </c>
      <c r="B897" s="3">
        <v>45505</v>
      </c>
      <c r="C897" s="2">
        <v>25</v>
      </c>
      <c r="D897" s="2">
        <v>39478</v>
      </c>
      <c r="E897" s="17">
        <v>88676.42</v>
      </c>
      <c r="F897" s="11">
        <v>6.6</v>
      </c>
      <c r="G897" s="9">
        <v>6013.9</v>
      </c>
      <c r="H897" s="10">
        <v>0.6</v>
      </c>
      <c r="I897" s="11">
        <v>5.9</v>
      </c>
    </row>
    <row r="898" spans="1:9" x14ac:dyDescent="0.35">
      <c r="A898" s="2" t="s">
        <v>134</v>
      </c>
      <c r="B898" s="3">
        <v>45536</v>
      </c>
      <c r="C898" s="2">
        <v>22</v>
      </c>
      <c r="D898" s="2">
        <v>30335</v>
      </c>
      <c r="E898" s="17">
        <v>63110.99</v>
      </c>
      <c r="F898" s="11">
        <v>6.63</v>
      </c>
      <c r="G898" s="9">
        <v>4619.8</v>
      </c>
      <c r="H898" s="10">
        <v>0.54500000000000004</v>
      </c>
      <c r="I898" s="11">
        <v>7</v>
      </c>
    </row>
    <row r="899" spans="1:9" x14ac:dyDescent="0.35">
      <c r="A899" s="2" t="s">
        <v>134</v>
      </c>
      <c r="B899" s="3">
        <v>45566</v>
      </c>
      <c r="C899" s="2">
        <v>17</v>
      </c>
      <c r="D899" s="2">
        <v>24813</v>
      </c>
      <c r="E899" s="17">
        <v>54102.34</v>
      </c>
      <c r="F899" s="11">
        <v>6.57</v>
      </c>
      <c r="G899" s="9">
        <v>3821.5</v>
      </c>
      <c r="H899" s="10">
        <v>0.64700000000000002</v>
      </c>
      <c r="I899" s="11">
        <v>6.7</v>
      </c>
    </row>
    <row r="900" spans="1:9" x14ac:dyDescent="0.35">
      <c r="A900" s="2" t="s">
        <v>134</v>
      </c>
      <c r="B900" s="3">
        <v>45597</v>
      </c>
      <c r="C900" s="2">
        <v>20</v>
      </c>
      <c r="D900" s="2">
        <v>30797</v>
      </c>
      <c r="E900" s="17">
        <v>65996.09</v>
      </c>
      <c r="F900" s="11">
        <v>6.62</v>
      </c>
      <c r="G900" s="9">
        <v>4740.8999999999996</v>
      </c>
      <c r="H900" s="10">
        <v>0.6</v>
      </c>
      <c r="I900" s="11">
        <v>6.5</v>
      </c>
    </row>
    <row r="901" spans="1:9" x14ac:dyDescent="0.35">
      <c r="A901" s="2" t="s">
        <v>134</v>
      </c>
      <c r="B901" s="3">
        <v>45627</v>
      </c>
      <c r="C901" s="2">
        <v>17</v>
      </c>
      <c r="D901" s="2">
        <v>25794</v>
      </c>
      <c r="E901" s="17">
        <v>55487.29</v>
      </c>
      <c r="F901" s="11">
        <v>6.6</v>
      </c>
      <c r="G901" s="9">
        <v>3890.2</v>
      </c>
      <c r="H901" s="10">
        <v>0.29399999999999998</v>
      </c>
      <c r="I901" s="11">
        <v>7.1</v>
      </c>
    </row>
    <row r="902" spans="1:9" x14ac:dyDescent="0.35">
      <c r="A902" s="2" t="s">
        <v>137</v>
      </c>
      <c r="B902" s="3">
        <v>44562</v>
      </c>
      <c r="C902" s="2">
        <v>24</v>
      </c>
      <c r="D902" s="2">
        <v>37044</v>
      </c>
      <c r="E902" s="17">
        <v>82580.83</v>
      </c>
      <c r="F902" s="11">
        <v>6.47</v>
      </c>
      <c r="G902" s="9">
        <v>5838.5</v>
      </c>
      <c r="H902" s="10">
        <v>0.41699999999999998</v>
      </c>
      <c r="I902" s="11">
        <v>7.6</v>
      </c>
    </row>
    <row r="903" spans="1:9" x14ac:dyDescent="0.35">
      <c r="A903" s="2" t="s">
        <v>137</v>
      </c>
      <c r="B903" s="3">
        <v>44593</v>
      </c>
      <c r="C903" s="2">
        <v>16</v>
      </c>
      <c r="D903" s="2">
        <v>18846</v>
      </c>
      <c r="E903" s="17">
        <v>40786.980000000003</v>
      </c>
      <c r="F903" s="11">
        <v>6.36</v>
      </c>
      <c r="G903" s="9">
        <v>3002</v>
      </c>
      <c r="H903" s="10">
        <v>0.312</v>
      </c>
      <c r="I903" s="11">
        <v>6</v>
      </c>
    </row>
    <row r="904" spans="1:9" x14ac:dyDescent="0.35">
      <c r="A904" s="2" t="s">
        <v>137</v>
      </c>
      <c r="B904" s="3">
        <v>44621</v>
      </c>
      <c r="C904" s="2">
        <v>18</v>
      </c>
      <c r="D904" s="2">
        <v>25535</v>
      </c>
      <c r="E904" s="17">
        <v>56040.7</v>
      </c>
      <c r="F904" s="11">
        <v>6.37</v>
      </c>
      <c r="G904" s="9">
        <v>4106.6000000000004</v>
      </c>
      <c r="H904" s="10">
        <v>0.38900000000000001</v>
      </c>
      <c r="I904" s="11">
        <v>8</v>
      </c>
    </row>
    <row r="905" spans="1:9" x14ac:dyDescent="0.35">
      <c r="A905" s="2" t="s">
        <v>137</v>
      </c>
      <c r="B905" s="3">
        <v>44652</v>
      </c>
      <c r="C905" s="2">
        <v>15</v>
      </c>
      <c r="D905" s="2">
        <v>21148</v>
      </c>
      <c r="E905" s="17">
        <v>43912.91</v>
      </c>
      <c r="F905" s="11">
        <v>6.41</v>
      </c>
      <c r="G905" s="9">
        <v>3451.9</v>
      </c>
      <c r="H905" s="10">
        <v>0.46700000000000003</v>
      </c>
      <c r="I905" s="11">
        <v>6.4</v>
      </c>
    </row>
    <row r="906" spans="1:9" x14ac:dyDescent="0.35">
      <c r="A906" s="2" t="s">
        <v>137</v>
      </c>
      <c r="B906" s="3">
        <v>44682</v>
      </c>
      <c r="C906" s="2">
        <v>13</v>
      </c>
      <c r="D906" s="2">
        <v>16402</v>
      </c>
      <c r="E906" s="17">
        <v>33958.800000000003</v>
      </c>
      <c r="F906" s="11">
        <v>6.36</v>
      </c>
      <c r="G906" s="9">
        <v>2614.3000000000002</v>
      </c>
      <c r="H906" s="10">
        <v>0.308</v>
      </c>
      <c r="I906" s="11">
        <v>7.6</v>
      </c>
    </row>
    <row r="907" spans="1:9" x14ac:dyDescent="0.35">
      <c r="A907" s="2" t="s">
        <v>137</v>
      </c>
      <c r="B907" s="3">
        <v>44713</v>
      </c>
      <c r="C907" s="2">
        <v>28</v>
      </c>
      <c r="D907" s="2">
        <v>47564</v>
      </c>
      <c r="E907" s="17">
        <v>99091.6</v>
      </c>
      <c r="F907" s="11">
        <v>6.23</v>
      </c>
      <c r="G907" s="9">
        <v>7707.7</v>
      </c>
      <c r="H907" s="10">
        <v>0.46400000000000002</v>
      </c>
      <c r="I907" s="11">
        <v>6.5</v>
      </c>
    </row>
    <row r="908" spans="1:9" x14ac:dyDescent="0.35">
      <c r="A908" s="2" t="s">
        <v>137</v>
      </c>
      <c r="B908" s="3">
        <v>44743</v>
      </c>
      <c r="C908" s="2">
        <v>20</v>
      </c>
      <c r="D908" s="2">
        <v>28183</v>
      </c>
      <c r="E908" s="17">
        <v>60862.66</v>
      </c>
      <c r="F908" s="11">
        <v>6.52</v>
      </c>
      <c r="G908" s="9">
        <v>4398.5</v>
      </c>
      <c r="H908" s="10">
        <v>0.35</v>
      </c>
      <c r="I908" s="11">
        <v>5.6</v>
      </c>
    </row>
    <row r="909" spans="1:9" x14ac:dyDescent="0.35">
      <c r="A909" s="2" t="s">
        <v>137</v>
      </c>
      <c r="B909" s="3">
        <v>44774</v>
      </c>
      <c r="C909" s="2">
        <v>18</v>
      </c>
      <c r="D909" s="2">
        <v>25801</v>
      </c>
      <c r="E909" s="17">
        <v>59943.519999999997</v>
      </c>
      <c r="F909" s="11">
        <v>6.58</v>
      </c>
      <c r="G909" s="9">
        <v>4072.4</v>
      </c>
      <c r="H909" s="10">
        <v>0.61099999999999999</v>
      </c>
      <c r="I909" s="11">
        <v>7.9</v>
      </c>
    </row>
    <row r="910" spans="1:9" x14ac:dyDescent="0.35">
      <c r="A910" s="2" t="s">
        <v>137</v>
      </c>
      <c r="B910" s="3">
        <v>44805</v>
      </c>
      <c r="C910" s="2">
        <v>21</v>
      </c>
      <c r="D910" s="2">
        <v>27747</v>
      </c>
      <c r="E910" s="17">
        <v>58425.36</v>
      </c>
      <c r="F910" s="11">
        <v>6.6</v>
      </c>
      <c r="G910" s="9">
        <v>4301.2</v>
      </c>
      <c r="H910" s="10">
        <v>0.57099999999999995</v>
      </c>
      <c r="I910" s="11">
        <v>7.6</v>
      </c>
    </row>
    <row r="911" spans="1:9" x14ac:dyDescent="0.35">
      <c r="A911" s="2" t="s">
        <v>137</v>
      </c>
      <c r="B911" s="3">
        <v>44835</v>
      </c>
      <c r="C911" s="2">
        <v>11</v>
      </c>
      <c r="D911" s="2">
        <v>22524</v>
      </c>
      <c r="E911" s="17">
        <v>43426.59</v>
      </c>
      <c r="F911" s="11">
        <v>6.36</v>
      </c>
      <c r="G911" s="9">
        <v>3577.2</v>
      </c>
      <c r="H911" s="10">
        <v>0.63600000000000001</v>
      </c>
      <c r="I911" s="11">
        <v>6.9</v>
      </c>
    </row>
    <row r="912" spans="1:9" x14ac:dyDescent="0.35">
      <c r="A912" s="2" t="s">
        <v>137</v>
      </c>
      <c r="B912" s="3">
        <v>44866</v>
      </c>
      <c r="C912" s="2">
        <v>23</v>
      </c>
      <c r="D912" s="2">
        <v>37496</v>
      </c>
      <c r="E912" s="17">
        <v>81023.11</v>
      </c>
      <c r="F912" s="11">
        <v>6.58</v>
      </c>
      <c r="G912" s="9">
        <v>5708.4</v>
      </c>
      <c r="H912" s="10">
        <v>0.47799999999999998</v>
      </c>
      <c r="I912" s="11">
        <v>6.9</v>
      </c>
    </row>
    <row r="913" spans="1:9" x14ac:dyDescent="0.35">
      <c r="A913" s="2" t="s">
        <v>137</v>
      </c>
      <c r="B913" s="3">
        <v>44896</v>
      </c>
      <c r="C913" s="2">
        <v>17</v>
      </c>
      <c r="D913" s="2">
        <v>24408</v>
      </c>
      <c r="E913" s="17">
        <v>53595.72</v>
      </c>
      <c r="F913" s="11">
        <v>6.42</v>
      </c>
      <c r="G913" s="9">
        <v>3842.3</v>
      </c>
      <c r="H913" s="10">
        <v>0.17599999999999999</v>
      </c>
      <c r="I913" s="11">
        <v>6.7</v>
      </c>
    </row>
    <row r="914" spans="1:9" x14ac:dyDescent="0.35">
      <c r="A914" s="2" t="s">
        <v>137</v>
      </c>
      <c r="B914" s="3">
        <v>44927</v>
      </c>
      <c r="C914" s="2">
        <v>18</v>
      </c>
      <c r="D914" s="2">
        <v>26504</v>
      </c>
      <c r="E914" s="17">
        <v>57433.01</v>
      </c>
      <c r="F914" s="11">
        <v>6.49</v>
      </c>
      <c r="G914" s="9">
        <v>4109.7</v>
      </c>
      <c r="H914" s="10">
        <v>0.55600000000000005</v>
      </c>
      <c r="I914" s="11">
        <v>6.7</v>
      </c>
    </row>
    <row r="915" spans="1:9" x14ac:dyDescent="0.35">
      <c r="A915" s="2" t="s">
        <v>137</v>
      </c>
      <c r="B915" s="3">
        <v>44958</v>
      </c>
      <c r="C915" s="2">
        <v>14</v>
      </c>
      <c r="D915" s="2">
        <v>22632</v>
      </c>
      <c r="E915" s="17">
        <v>49945.52</v>
      </c>
      <c r="F915" s="11">
        <v>6.48</v>
      </c>
      <c r="G915" s="9">
        <v>3576.2</v>
      </c>
      <c r="H915" s="10">
        <v>0.35699999999999998</v>
      </c>
      <c r="I915" s="11">
        <v>6.9</v>
      </c>
    </row>
    <row r="916" spans="1:9" x14ac:dyDescent="0.35">
      <c r="A916" s="2" t="s">
        <v>137</v>
      </c>
      <c r="B916" s="3">
        <v>44986</v>
      </c>
      <c r="C916" s="2">
        <v>18</v>
      </c>
      <c r="D916" s="2">
        <v>26974</v>
      </c>
      <c r="E916" s="17">
        <v>62619.22</v>
      </c>
      <c r="F916" s="11">
        <v>6.67</v>
      </c>
      <c r="G916" s="9">
        <v>4056</v>
      </c>
      <c r="H916" s="10">
        <v>0.66700000000000004</v>
      </c>
      <c r="I916" s="11">
        <v>7.1</v>
      </c>
    </row>
    <row r="917" spans="1:9" x14ac:dyDescent="0.35">
      <c r="A917" s="2" t="s">
        <v>137</v>
      </c>
      <c r="B917" s="3">
        <v>45017</v>
      </c>
      <c r="C917" s="2">
        <v>15</v>
      </c>
      <c r="D917" s="2">
        <v>16447</v>
      </c>
      <c r="E917" s="17">
        <v>35042.76</v>
      </c>
      <c r="F917" s="11">
        <v>6.54</v>
      </c>
      <c r="G917" s="9">
        <v>2559.9</v>
      </c>
      <c r="H917" s="10">
        <v>0.2</v>
      </c>
      <c r="I917" s="11">
        <v>6.7</v>
      </c>
    </row>
    <row r="918" spans="1:9" x14ac:dyDescent="0.35">
      <c r="A918" s="2" t="s">
        <v>137</v>
      </c>
      <c r="B918" s="3">
        <v>45047</v>
      </c>
      <c r="C918" s="2">
        <v>20</v>
      </c>
      <c r="D918" s="2">
        <v>28511</v>
      </c>
      <c r="E918" s="17">
        <v>63530.81</v>
      </c>
      <c r="F918" s="11">
        <v>6.51</v>
      </c>
      <c r="G918" s="9">
        <v>4412.3</v>
      </c>
      <c r="H918" s="10">
        <v>0.4</v>
      </c>
      <c r="I918" s="11">
        <v>7</v>
      </c>
    </row>
    <row r="919" spans="1:9" x14ac:dyDescent="0.35">
      <c r="A919" s="2" t="s">
        <v>137</v>
      </c>
      <c r="B919" s="3">
        <v>45078</v>
      </c>
      <c r="C919" s="2">
        <v>23</v>
      </c>
      <c r="D919" s="2">
        <v>37366</v>
      </c>
      <c r="E919" s="17">
        <v>78543.56</v>
      </c>
      <c r="F919" s="11">
        <v>6.66</v>
      </c>
      <c r="G919" s="9">
        <v>5663.7</v>
      </c>
      <c r="H919" s="10">
        <v>0.52200000000000002</v>
      </c>
      <c r="I919" s="11">
        <v>7.9</v>
      </c>
    </row>
    <row r="920" spans="1:9" x14ac:dyDescent="0.35">
      <c r="A920" s="2" t="s">
        <v>137</v>
      </c>
      <c r="B920" s="3">
        <v>45108</v>
      </c>
      <c r="C920" s="2">
        <v>19</v>
      </c>
      <c r="D920" s="2">
        <v>36646</v>
      </c>
      <c r="E920" s="17">
        <v>79850.240000000005</v>
      </c>
      <c r="F920" s="11">
        <v>6.51</v>
      </c>
      <c r="G920" s="9">
        <v>5614.3</v>
      </c>
      <c r="H920" s="10">
        <v>0.42099999999999999</v>
      </c>
      <c r="I920" s="11">
        <v>7.1</v>
      </c>
    </row>
    <row r="921" spans="1:9" x14ac:dyDescent="0.35">
      <c r="A921" s="2" t="s">
        <v>137</v>
      </c>
      <c r="B921" s="3">
        <v>45139</v>
      </c>
      <c r="C921" s="2">
        <v>15</v>
      </c>
      <c r="D921" s="2">
        <v>22491</v>
      </c>
      <c r="E921" s="17">
        <v>48935.33</v>
      </c>
      <c r="F921" s="11">
        <v>6.89</v>
      </c>
      <c r="G921" s="9">
        <v>3240.9</v>
      </c>
      <c r="H921" s="10">
        <v>0.4</v>
      </c>
      <c r="I921" s="11">
        <v>8.6</v>
      </c>
    </row>
    <row r="922" spans="1:9" x14ac:dyDescent="0.35">
      <c r="A922" s="2" t="s">
        <v>137</v>
      </c>
      <c r="B922" s="3">
        <v>45170</v>
      </c>
      <c r="C922" s="2">
        <v>20</v>
      </c>
      <c r="D922" s="2">
        <v>28781</v>
      </c>
      <c r="E922" s="17">
        <v>64797.55</v>
      </c>
      <c r="F922" s="11">
        <v>6.59</v>
      </c>
      <c r="G922" s="9">
        <v>4373.8</v>
      </c>
      <c r="H922" s="10">
        <v>0.65</v>
      </c>
      <c r="I922" s="11">
        <v>6.2</v>
      </c>
    </row>
    <row r="923" spans="1:9" x14ac:dyDescent="0.35">
      <c r="A923" s="2" t="s">
        <v>137</v>
      </c>
      <c r="B923" s="3">
        <v>45200</v>
      </c>
      <c r="C923" s="2">
        <v>20</v>
      </c>
      <c r="D923" s="2">
        <v>31870</v>
      </c>
      <c r="E923" s="17">
        <v>66383.429999999993</v>
      </c>
      <c r="F923" s="11">
        <v>6.24</v>
      </c>
      <c r="G923" s="9">
        <v>5211</v>
      </c>
      <c r="H923" s="10">
        <v>0.55000000000000004</v>
      </c>
      <c r="I923" s="11">
        <v>7.2</v>
      </c>
    </row>
    <row r="924" spans="1:9" x14ac:dyDescent="0.35">
      <c r="A924" s="2" t="s">
        <v>137</v>
      </c>
      <c r="B924" s="3">
        <v>45231</v>
      </c>
      <c r="C924" s="2">
        <v>28</v>
      </c>
      <c r="D924" s="2">
        <v>34727</v>
      </c>
      <c r="E924" s="17">
        <v>81498.05</v>
      </c>
      <c r="F924" s="11">
        <v>6.4</v>
      </c>
      <c r="G924" s="9">
        <v>5464.3</v>
      </c>
      <c r="H924" s="10">
        <v>0.53600000000000003</v>
      </c>
      <c r="I924" s="11">
        <v>6.8</v>
      </c>
    </row>
    <row r="925" spans="1:9" x14ac:dyDescent="0.35">
      <c r="A925" s="2" t="s">
        <v>137</v>
      </c>
      <c r="B925" s="3">
        <v>45261</v>
      </c>
      <c r="C925" s="2">
        <v>18</v>
      </c>
      <c r="D925" s="2">
        <v>26634</v>
      </c>
      <c r="E925" s="17">
        <v>59724.33</v>
      </c>
      <c r="F925" s="11">
        <v>6.27</v>
      </c>
      <c r="G925" s="9">
        <v>4276.5</v>
      </c>
      <c r="H925" s="10">
        <v>0.27800000000000002</v>
      </c>
      <c r="I925" s="11">
        <v>6.3</v>
      </c>
    </row>
    <row r="926" spans="1:9" x14ac:dyDescent="0.35">
      <c r="A926" s="2" t="s">
        <v>137</v>
      </c>
      <c r="B926" s="3">
        <v>45292</v>
      </c>
      <c r="C926" s="2">
        <v>18</v>
      </c>
      <c r="D926" s="2">
        <v>30873</v>
      </c>
      <c r="E926" s="17">
        <v>73542.990000000005</v>
      </c>
      <c r="F926" s="11">
        <v>6.44</v>
      </c>
      <c r="G926" s="9">
        <v>4748.8999999999996</v>
      </c>
      <c r="H926" s="10">
        <v>0.5</v>
      </c>
      <c r="I926" s="11">
        <v>7.4</v>
      </c>
    </row>
    <row r="927" spans="1:9" x14ac:dyDescent="0.35">
      <c r="A927" s="2" t="s">
        <v>137</v>
      </c>
      <c r="B927" s="3">
        <v>45323</v>
      </c>
      <c r="C927" s="2">
        <v>21</v>
      </c>
      <c r="D927" s="2">
        <v>28284</v>
      </c>
      <c r="E927" s="17">
        <v>59980.14</v>
      </c>
      <c r="F927" s="11">
        <v>6.39</v>
      </c>
      <c r="G927" s="9">
        <v>4400.3999999999996</v>
      </c>
      <c r="H927" s="10">
        <v>0.38100000000000001</v>
      </c>
      <c r="I927" s="11">
        <v>7.8</v>
      </c>
    </row>
    <row r="928" spans="1:9" x14ac:dyDescent="0.35">
      <c r="A928" s="2" t="s">
        <v>137</v>
      </c>
      <c r="B928" s="3">
        <v>45352</v>
      </c>
      <c r="C928" s="2">
        <v>20</v>
      </c>
      <c r="D928" s="2">
        <v>29492</v>
      </c>
      <c r="E928" s="17">
        <v>66436.83</v>
      </c>
      <c r="F928" s="11">
        <v>6.37</v>
      </c>
      <c r="G928" s="9">
        <v>4763.6000000000004</v>
      </c>
      <c r="H928" s="10">
        <v>0.55000000000000004</v>
      </c>
      <c r="I928" s="11">
        <v>7.6</v>
      </c>
    </row>
    <row r="929" spans="1:9" x14ac:dyDescent="0.35">
      <c r="A929" s="2" t="s">
        <v>137</v>
      </c>
      <c r="B929" s="3">
        <v>45383</v>
      </c>
      <c r="C929" s="2">
        <v>14</v>
      </c>
      <c r="D929" s="2">
        <v>16951</v>
      </c>
      <c r="E929" s="17">
        <v>35208.71</v>
      </c>
      <c r="F929" s="11">
        <v>6.62</v>
      </c>
      <c r="G929" s="9">
        <v>2616.6</v>
      </c>
      <c r="H929" s="10">
        <v>0.57099999999999995</v>
      </c>
      <c r="I929" s="11">
        <v>7.6</v>
      </c>
    </row>
    <row r="930" spans="1:9" x14ac:dyDescent="0.35">
      <c r="A930" s="2" t="s">
        <v>137</v>
      </c>
      <c r="B930" s="3">
        <v>45413</v>
      </c>
      <c r="C930" s="2">
        <v>16</v>
      </c>
      <c r="D930" s="2">
        <v>19335</v>
      </c>
      <c r="E930" s="17">
        <v>37896.89</v>
      </c>
      <c r="F930" s="11">
        <v>6.64</v>
      </c>
      <c r="G930" s="9">
        <v>2903.4</v>
      </c>
      <c r="H930" s="10">
        <v>0.375</v>
      </c>
      <c r="I930" s="11">
        <v>6.8</v>
      </c>
    </row>
    <row r="931" spans="1:9" x14ac:dyDescent="0.35">
      <c r="A931" s="2" t="s">
        <v>137</v>
      </c>
      <c r="B931" s="3">
        <v>45444</v>
      </c>
      <c r="C931" s="2">
        <v>20</v>
      </c>
      <c r="D931" s="2">
        <v>28766</v>
      </c>
      <c r="E931" s="17">
        <v>59417.42</v>
      </c>
      <c r="F931" s="11">
        <v>6.43</v>
      </c>
      <c r="G931" s="9">
        <v>4531.5</v>
      </c>
      <c r="H931" s="10">
        <v>0.7</v>
      </c>
      <c r="I931" s="11">
        <v>6.3</v>
      </c>
    </row>
    <row r="932" spans="1:9" x14ac:dyDescent="0.35">
      <c r="A932" s="2" t="s">
        <v>137</v>
      </c>
      <c r="B932" s="3">
        <v>45474</v>
      </c>
      <c r="C932" s="2">
        <v>21</v>
      </c>
      <c r="D932" s="2">
        <v>38148</v>
      </c>
      <c r="E932" s="17">
        <v>79216.59</v>
      </c>
      <c r="F932" s="11">
        <v>6.71</v>
      </c>
      <c r="G932" s="9">
        <v>5644.1</v>
      </c>
      <c r="H932" s="10">
        <v>0.61899999999999999</v>
      </c>
      <c r="I932" s="11">
        <v>6.8</v>
      </c>
    </row>
    <row r="933" spans="1:9" x14ac:dyDescent="0.35">
      <c r="A933" s="2" t="s">
        <v>137</v>
      </c>
      <c r="B933" s="3">
        <v>45505</v>
      </c>
      <c r="C933" s="2">
        <v>16</v>
      </c>
      <c r="D933" s="2">
        <v>17632</v>
      </c>
      <c r="E933" s="17">
        <v>38744</v>
      </c>
      <c r="F933" s="11">
        <v>6.47</v>
      </c>
      <c r="G933" s="9">
        <v>2729.1</v>
      </c>
      <c r="H933" s="10">
        <v>0.312</v>
      </c>
      <c r="I933" s="11">
        <v>6.3</v>
      </c>
    </row>
    <row r="934" spans="1:9" x14ac:dyDescent="0.35">
      <c r="A934" s="2" t="s">
        <v>137</v>
      </c>
      <c r="B934" s="3">
        <v>45536</v>
      </c>
      <c r="C934" s="2">
        <v>23</v>
      </c>
      <c r="D934" s="2">
        <v>32007</v>
      </c>
      <c r="E934" s="17">
        <v>69151.520000000004</v>
      </c>
      <c r="F934" s="11">
        <v>6.57</v>
      </c>
      <c r="G934" s="9">
        <v>4899</v>
      </c>
      <c r="H934" s="10">
        <v>0.217</v>
      </c>
      <c r="I934" s="11">
        <v>7.7</v>
      </c>
    </row>
    <row r="935" spans="1:9" x14ac:dyDescent="0.35">
      <c r="A935" s="2" t="s">
        <v>137</v>
      </c>
      <c r="B935" s="3">
        <v>45566</v>
      </c>
      <c r="C935" s="2">
        <v>19</v>
      </c>
      <c r="D935" s="2">
        <v>30049</v>
      </c>
      <c r="E935" s="17">
        <v>60093.81</v>
      </c>
      <c r="F935" s="11">
        <v>6.44</v>
      </c>
      <c r="G935" s="9">
        <v>4677.5</v>
      </c>
      <c r="H935" s="10">
        <v>0.52600000000000002</v>
      </c>
      <c r="I935" s="11">
        <v>6.8</v>
      </c>
    </row>
    <row r="936" spans="1:9" x14ac:dyDescent="0.35">
      <c r="A936" s="2" t="s">
        <v>137</v>
      </c>
      <c r="B936" s="3">
        <v>45597</v>
      </c>
      <c r="C936" s="2">
        <v>17</v>
      </c>
      <c r="D936" s="2">
        <v>26607</v>
      </c>
      <c r="E936" s="17">
        <v>54304.73</v>
      </c>
      <c r="F936" s="11">
        <v>6.41</v>
      </c>
      <c r="G936" s="9">
        <v>4155.3</v>
      </c>
      <c r="H936" s="10">
        <v>0.35299999999999998</v>
      </c>
      <c r="I936" s="11">
        <v>5.0999999999999996</v>
      </c>
    </row>
    <row r="937" spans="1:9" x14ac:dyDescent="0.35">
      <c r="A937" s="2" t="s">
        <v>137</v>
      </c>
      <c r="B937" s="3">
        <v>45627</v>
      </c>
      <c r="C937" s="2">
        <v>15</v>
      </c>
      <c r="D937" s="2">
        <v>18420</v>
      </c>
      <c r="E937" s="17">
        <v>40168.269999999997</v>
      </c>
      <c r="F937" s="11">
        <v>6.4</v>
      </c>
      <c r="G937" s="9">
        <v>2905.2</v>
      </c>
      <c r="H937" s="10">
        <v>0.46700000000000003</v>
      </c>
      <c r="I937" s="11">
        <v>6.2</v>
      </c>
    </row>
    <row r="938" spans="1:9" x14ac:dyDescent="0.35">
      <c r="A938" s="2" t="s">
        <v>142</v>
      </c>
      <c r="B938" s="3">
        <v>44562</v>
      </c>
      <c r="C938" s="2">
        <v>14</v>
      </c>
      <c r="D938" s="2">
        <v>25247</v>
      </c>
      <c r="E938" s="17">
        <v>55073.84</v>
      </c>
      <c r="F938" s="11">
        <v>6.55</v>
      </c>
      <c r="G938" s="9">
        <v>3828.9</v>
      </c>
      <c r="H938" s="10">
        <v>0.5</v>
      </c>
      <c r="I938" s="11">
        <v>8.1999999999999993</v>
      </c>
    </row>
    <row r="939" spans="1:9" x14ac:dyDescent="0.35">
      <c r="A939" s="2" t="s">
        <v>142</v>
      </c>
      <c r="B939" s="3">
        <v>44593</v>
      </c>
      <c r="C939" s="2">
        <v>20</v>
      </c>
      <c r="D939" s="2">
        <v>21920</v>
      </c>
      <c r="E939" s="17">
        <v>48445.03</v>
      </c>
      <c r="F939" s="11">
        <v>6.39</v>
      </c>
      <c r="G939" s="9">
        <v>3348.9</v>
      </c>
      <c r="H939" s="10">
        <v>0.4</v>
      </c>
      <c r="I939" s="11">
        <v>6.2</v>
      </c>
    </row>
    <row r="940" spans="1:9" x14ac:dyDescent="0.35">
      <c r="A940" s="2" t="s">
        <v>142</v>
      </c>
      <c r="B940" s="3">
        <v>44621</v>
      </c>
      <c r="C940" s="2">
        <v>18</v>
      </c>
      <c r="D940" s="2">
        <v>27048</v>
      </c>
      <c r="E940" s="17">
        <v>59187.25</v>
      </c>
      <c r="F940" s="11">
        <v>6.2</v>
      </c>
      <c r="G940" s="9">
        <v>4397.3</v>
      </c>
      <c r="H940" s="10">
        <v>0.5</v>
      </c>
      <c r="I940" s="11">
        <v>7.4</v>
      </c>
    </row>
    <row r="941" spans="1:9" x14ac:dyDescent="0.35">
      <c r="A941" s="2" t="s">
        <v>142</v>
      </c>
      <c r="B941" s="3">
        <v>44652</v>
      </c>
      <c r="C941" s="2">
        <v>16</v>
      </c>
      <c r="D941" s="2">
        <v>21079</v>
      </c>
      <c r="E941" s="17">
        <v>49173.55</v>
      </c>
      <c r="F941" s="11">
        <v>6.3</v>
      </c>
      <c r="G941" s="9">
        <v>3273.4</v>
      </c>
      <c r="H941" s="10">
        <v>0.312</v>
      </c>
      <c r="I941" s="11">
        <v>8.6</v>
      </c>
    </row>
    <row r="942" spans="1:9" x14ac:dyDescent="0.35">
      <c r="A942" s="2" t="s">
        <v>142</v>
      </c>
      <c r="B942" s="3">
        <v>44682</v>
      </c>
      <c r="C942" s="2">
        <v>17</v>
      </c>
      <c r="D942" s="2">
        <v>23608</v>
      </c>
      <c r="E942" s="17">
        <v>52827.88</v>
      </c>
      <c r="F942" s="11">
        <v>6.45</v>
      </c>
      <c r="G942" s="9">
        <v>3674.4</v>
      </c>
      <c r="H942" s="10">
        <v>0.17599999999999999</v>
      </c>
      <c r="I942" s="11">
        <v>7</v>
      </c>
    </row>
    <row r="943" spans="1:9" x14ac:dyDescent="0.35">
      <c r="A943" s="2" t="s">
        <v>142</v>
      </c>
      <c r="B943" s="3">
        <v>44713</v>
      </c>
      <c r="C943" s="2">
        <v>22</v>
      </c>
      <c r="D943" s="2">
        <v>34091</v>
      </c>
      <c r="E943" s="17">
        <v>75246.39</v>
      </c>
      <c r="F943" s="11">
        <v>6.56</v>
      </c>
      <c r="G943" s="9">
        <v>5268.6</v>
      </c>
      <c r="H943" s="10">
        <v>0.45500000000000002</v>
      </c>
      <c r="I943" s="11">
        <v>7.4</v>
      </c>
    </row>
    <row r="944" spans="1:9" x14ac:dyDescent="0.35">
      <c r="A944" s="2" t="s">
        <v>142</v>
      </c>
      <c r="B944" s="3">
        <v>44743</v>
      </c>
      <c r="C944" s="2">
        <v>13</v>
      </c>
      <c r="D944" s="2">
        <v>17991</v>
      </c>
      <c r="E944" s="17">
        <v>35082.15</v>
      </c>
      <c r="F944" s="11">
        <v>6.45</v>
      </c>
      <c r="G944" s="9">
        <v>2843.5</v>
      </c>
      <c r="H944" s="10">
        <v>7.6999999999999999E-2</v>
      </c>
      <c r="I944" s="11">
        <v>7.3</v>
      </c>
    </row>
    <row r="945" spans="1:9" x14ac:dyDescent="0.35">
      <c r="A945" s="2" t="s">
        <v>142</v>
      </c>
      <c r="B945" s="3">
        <v>44774</v>
      </c>
      <c r="C945" s="2">
        <v>19</v>
      </c>
      <c r="D945" s="2">
        <v>33260</v>
      </c>
      <c r="E945" s="17">
        <v>69754.19</v>
      </c>
      <c r="F945" s="11">
        <v>6.89</v>
      </c>
      <c r="G945" s="9">
        <v>4847.3</v>
      </c>
      <c r="H945" s="10">
        <v>0.68400000000000005</v>
      </c>
      <c r="I945" s="11">
        <v>6.9</v>
      </c>
    </row>
    <row r="946" spans="1:9" x14ac:dyDescent="0.35">
      <c r="A946" s="2" t="s">
        <v>142</v>
      </c>
      <c r="B946" s="3">
        <v>44805</v>
      </c>
      <c r="C946" s="2">
        <v>22</v>
      </c>
      <c r="D946" s="2">
        <v>36272</v>
      </c>
      <c r="E946" s="17">
        <v>74204.289999999994</v>
      </c>
      <c r="F946" s="11">
        <v>6.6</v>
      </c>
      <c r="G946" s="9">
        <v>5578.5</v>
      </c>
      <c r="H946" s="10">
        <v>0.40899999999999997</v>
      </c>
      <c r="I946" s="11">
        <v>7.8</v>
      </c>
    </row>
    <row r="947" spans="1:9" x14ac:dyDescent="0.35">
      <c r="A947" s="2" t="s">
        <v>142</v>
      </c>
      <c r="B947" s="3">
        <v>44835</v>
      </c>
      <c r="C947" s="2">
        <v>23</v>
      </c>
      <c r="D947" s="2">
        <v>37647</v>
      </c>
      <c r="E947" s="17">
        <v>84631.79</v>
      </c>
      <c r="F947" s="11">
        <v>6.34</v>
      </c>
      <c r="G947" s="9">
        <v>5945.7</v>
      </c>
      <c r="H947" s="10">
        <v>0.56499999999999995</v>
      </c>
      <c r="I947" s="11">
        <v>7.1</v>
      </c>
    </row>
    <row r="948" spans="1:9" x14ac:dyDescent="0.35">
      <c r="A948" s="2" t="s">
        <v>142</v>
      </c>
      <c r="B948" s="3">
        <v>44866</v>
      </c>
      <c r="C948" s="2">
        <v>23</v>
      </c>
      <c r="D948" s="2">
        <v>27894</v>
      </c>
      <c r="E948" s="17">
        <v>64151.9</v>
      </c>
      <c r="F948" s="11">
        <v>6.36</v>
      </c>
      <c r="G948" s="9">
        <v>4452.3999999999996</v>
      </c>
      <c r="H948" s="10">
        <v>0.60899999999999999</v>
      </c>
      <c r="I948" s="11">
        <v>7.9</v>
      </c>
    </row>
    <row r="949" spans="1:9" x14ac:dyDescent="0.35">
      <c r="A949" s="2" t="s">
        <v>142</v>
      </c>
      <c r="B949" s="3">
        <v>44896</v>
      </c>
      <c r="C949" s="2">
        <v>17</v>
      </c>
      <c r="D949" s="2">
        <v>24935</v>
      </c>
      <c r="E949" s="17">
        <v>50688.77</v>
      </c>
      <c r="F949" s="11">
        <v>6.54</v>
      </c>
      <c r="G949" s="9">
        <v>3822.8</v>
      </c>
      <c r="H949" s="10">
        <v>0.29399999999999998</v>
      </c>
      <c r="I949" s="11">
        <v>8</v>
      </c>
    </row>
    <row r="950" spans="1:9" x14ac:dyDescent="0.35">
      <c r="A950" s="2" t="s">
        <v>142</v>
      </c>
      <c r="B950" s="3">
        <v>44927</v>
      </c>
      <c r="C950" s="2">
        <v>17</v>
      </c>
      <c r="D950" s="2">
        <v>26153</v>
      </c>
      <c r="E950" s="17">
        <v>58296.06</v>
      </c>
      <c r="F950" s="11">
        <v>6.47</v>
      </c>
      <c r="G950" s="9">
        <v>3996.8</v>
      </c>
      <c r="H950" s="10">
        <v>0.58799999999999997</v>
      </c>
      <c r="I950" s="11">
        <v>7.2</v>
      </c>
    </row>
    <row r="951" spans="1:9" x14ac:dyDescent="0.35">
      <c r="A951" s="2" t="s">
        <v>142</v>
      </c>
      <c r="B951" s="3">
        <v>44958</v>
      </c>
      <c r="C951" s="2">
        <v>14</v>
      </c>
      <c r="D951" s="2">
        <v>21391</v>
      </c>
      <c r="E951" s="17">
        <v>46405.02</v>
      </c>
      <c r="F951" s="11">
        <v>6.31</v>
      </c>
      <c r="G951" s="9">
        <v>3385.5</v>
      </c>
      <c r="H951" s="10">
        <v>0.42899999999999999</v>
      </c>
      <c r="I951" s="11">
        <v>6.5</v>
      </c>
    </row>
    <row r="952" spans="1:9" x14ac:dyDescent="0.35">
      <c r="A952" s="2" t="s">
        <v>142</v>
      </c>
      <c r="B952" s="3">
        <v>44986</v>
      </c>
      <c r="C952" s="2">
        <v>16</v>
      </c>
      <c r="D952" s="2">
        <v>22275</v>
      </c>
      <c r="E952" s="17">
        <v>45224.13</v>
      </c>
      <c r="F952" s="11">
        <v>6.18</v>
      </c>
      <c r="G952" s="9">
        <v>3591.1</v>
      </c>
      <c r="H952" s="10">
        <v>0.438</v>
      </c>
      <c r="I952" s="11">
        <v>7.7</v>
      </c>
    </row>
    <row r="953" spans="1:9" x14ac:dyDescent="0.35">
      <c r="A953" s="2" t="s">
        <v>142</v>
      </c>
      <c r="B953" s="3">
        <v>45017</v>
      </c>
      <c r="C953" s="2">
        <v>12</v>
      </c>
      <c r="D953" s="2">
        <v>15415</v>
      </c>
      <c r="E953" s="17">
        <v>30479.7</v>
      </c>
      <c r="F953" s="11">
        <v>6.41</v>
      </c>
      <c r="G953" s="9">
        <v>2438.9</v>
      </c>
      <c r="H953" s="10">
        <v>0.5</v>
      </c>
      <c r="I953" s="11">
        <v>5.5</v>
      </c>
    </row>
    <row r="954" spans="1:9" x14ac:dyDescent="0.35">
      <c r="A954" s="2" t="s">
        <v>142</v>
      </c>
      <c r="B954" s="3">
        <v>45047</v>
      </c>
      <c r="C954" s="2">
        <v>22</v>
      </c>
      <c r="D954" s="2">
        <v>35358</v>
      </c>
      <c r="E954" s="17">
        <v>68870.28</v>
      </c>
      <c r="F954" s="11">
        <v>6.53</v>
      </c>
      <c r="G954" s="9">
        <v>5515.9</v>
      </c>
      <c r="H954" s="10">
        <v>0.5</v>
      </c>
      <c r="I954" s="11">
        <v>7.1</v>
      </c>
    </row>
    <row r="955" spans="1:9" x14ac:dyDescent="0.35">
      <c r="A955" s="2" t="s">
        <v>142</v>
      </c>
      <c r="B955" s="3">
        <v>45078</v>
      </c>
      <c r="C955" s="2">
        <v>18</v>
      </c>
      <c r="D955" s="2">
        <v>23565</v>
      </c>
      <c r="E955" s="17">
        <v>51887.23</v>
      </c>
      <c r="F955" s="11">
        <v>6.16</v>
      </c>
      <c r="G955" s="9">
        <v>3824.7</v>
      </c>
      <c r="H955" s="10">
        <v>0.44400000000000001</v>
      </c>
      <c r="I955" s="11">
        <v>7</v>
      </c>
    </row>
    <row r="956" spans="1:9" x14ac:dyDescent="0.35">
      <c r="A956" s="2" t="s">
        <v>142</v>
      </c>
      <c r="B956" s="3">
        <v>45108</v>
      </c>
      <c r="C956" s="2">
        <v>22</v>
      </c>
      <c r="D956" s="2">
        <v>31416</v>
      </c>
      <c r="E956" s="17">
        <v>65473.38</v>
      </c>
      <c r="F956" s="11">
        <v>6.7</v>
      </c>
      <c r="G956" s="9">
        <v>4730</v>
      </c>
      <c r="H956" s="10">
        <v>0.36399999999999999</v>
      </c>
      <c r="I956" s="11">
        <v>7.9</v>
      </c>
    </row>
    <row r="957" spans="1:9" x14ac:dyDescent="0.35">
      <c r="A957" s="2" t="s">
        <v>142</v>
      </c>
      <c r="B957" s="3">
        <v>45139</v>
      </c>
      <c r="C957" s="2">
        <v>21</v>
      </c>
      <c r="D957" s="2">
        <v>35584</v>
      </c>
      <c r="E957" s="17">
        <v>76791.97</v>
      </c>
      <c r="F957" s="11">
        <v>6.76</v>
      </c>
      <c r="G957" s="9">
        <v>5321</v>
      </c>
      <c r="H957" s="10">
        <v>0.33300000000000002</v>
      </c>
      <c r="I957" s="11">
        <v>7.9</v>
      </c>
    </row>
    <row r="958" spans="1:9" x14ac:dyDescent="0.35">
      <c r="A958" s="2" t="s">
        <v>142</v>
      </c>
      <c r="B958" s="3">
        <v>45170</v>
      </c>
      <c r="C958" s="2">
        <v>23</v>
      </c>
      <c r="D958" s="2">
        <v>32592</v>
      </c>
      <c r="E958" s="17">
        <v>68760.509999999995</v>
      </c>
      <c r="F958" s="11">
        <v>6.4</v>
      </c>
      <c r="G958" s="9">
        <v>5161.8999999999996</v>
      </c>
      <c r="H958" s="10">
        <v>0.435</v>
      </c>
      <c r="I958" s="11">
        <v>6.9</v>
      </c>
    </row>
    <row r="959" spans="1:9" x14ac:dyDescent="0.35">
      <c r="A959" s="2" t="s">
        <v>142</v>
      </c>
      <c r="B959" s="3">
        <v>45200</v>
      </c>
      <c r="C959" s="2">
        <v>18</v>
      </c>
      <c r="D959" s="2">
        <v>28696</v>
      </c>
      <c r="E959" s="17">
        <v>59631.79</v>
      </c>
      <c r="F959" s="11">
        <v>6.58</v>
      </c>
      <c r="G959" s="9">
        <v>4387.6000000000004</v>
      </c>
      <c r="H959" s="10">
        <v>0.44400000000000001</v>
      </c>
      <c r="I959" s="11">
        <v>7</v>
      </c>
    </row>
    <row r="960" spans="1:9" x14ac:dyDescent="0.35">
      <c r="A960" s="2" t="s">
        <v>142</v>
      </c>
      <c r="B960" s="3">
        <v>45231</v>
      </c>
      <c r="C960" s="2">
        <v>25</v>
      </c>
      <c r="D960" s="2">
        <v>39763</v>
      </c>
      <c r="E960" s="17">
        <v>89785.52</v>
      </c>
      <c r="F960" s="11">
        <v>6.58</v>
      </c>
      <c r="G960" s="9">
        <v>6117.3</v>
      </c>
      <c r="H960" s="10">
        <v>0.4</v>
      </c>
      <c r="I960" s="11">
        <v>6.8</v>
      </c>
    </row>
    <row r="961" spans="1:9" x14ac:dyDescent="0.35">
      <c r="A961" s="2" t="s">
        <v>142</v>
      </c>
      <c r="B961" s="3">
        <v>45261</v>
      </c>
      <c r="C961" s="2">
        <v>20</v>
      </c>
      <c r="D961" s="2">
        <v>30337</v>
      </c>
      <c r="E961" s="17">
        <v>62672.82</v>
      </c>
      <c r="F961" s="11">
        <v>6.4</v>
      </c>
      <c r="G961" s="9">
        <v>4744.8999999999996</v>
      </c>
      <c r="H961" s="10">
        <v>0.55000000000000004</v>
      </c>
      <c r="I961" s="11">
        <v>7.2</v>
      </c>
    </row>
    <row r="962" spans="1:9" x14ac:dyDescent="0.35">
      <c r="A962" s="2" t="s">
        <v>142</v>
      </c>
      <c r="B962" s="3">
        <v>45292</v>
      </c>
      <c r="C962" s="2">
        <v>12</v>
      </c>
      <c r="D962" s="2">
        <v>12971</v>
      </c>
      <c r="E962" s="17">
        <v>28637.96</v>
      </c>
      <c r="F962" s="11">
        <v>6.51</v>
      </c>
      <c r="G962" s="9">
        <v>1994.7</v>
      </c>
      <c r="H962" s="10">
        <v>0.66700000000000004</v>
      </c>
      <c r="I962" s="11">
        <v>6.7</v>
      </c>
    </row>
    <row r="963" spans="1:9" x14ac:dyDescent="0.35">
      <c r="A963" s="2" t="s">
        <v>142</v>
      </c>
      <c r="B963" s="3">
        <v>45323</v>
      </c>
      <c r="C963" s="2">
        <v>18</v>
      </c>
      <c r="D963" s="2">
        <v>28892</v>
      </c>
      <c r="E963" s="17">
        <v>60670.17</v>
      </c>
      <c r="F963" s="11">
        <v>6.53</v>
      </c>
      <c r="G963" s="9">
        <v>4471.5</v>
      </c>
      <c r="H963" s="10">
        <v>0.5</v>
      </c>
      <c r="I963" s="11">
        <v>8.1</v>
      </c>
    </row>
    <row r="964" spans="1:9" x14ac:dyDescent="0.35">
      <c r="A964" s="2" t="s">
        <v>142</v>
      </c>
      <c r="B964" s="3">
        <v>45352</v>
      </c>
      <c r="C964" s="2">
        <v>23</v>
      </c>
      <c r="D964" s="2">
        <v>33077</v>
      </c>
      <c r="E964" s="17">
        <v>72917.990000000005</v>
      </c>
      <c r="F964" s="11">
        <v>6.52</v>
      </c>
      <c r="G964" s="9">
        <v>5165.6000000000004</v>
      </c>
      <c r="H964" s="10">
        <v>0.435</v>
      </c>
      <c r="I964" s="11">
        <v>7.1</v>
      </c>
    </row>
    <row r="965" spans="1:9" x14ac:dyDescent="0.35">
      <c r="A965" s="2" t="s">
        <v>142</v>
      </c>
      <c r="B965" s="3">
        <v>45383</v>
      </c>
      <c r="C965" s="2">
        <v>21</v>
      </c>
      <c r="D965" s="2">
        <v>31780</v>
      </c>
      <c r="E965" s="17">
        <v>66888.58</v>
      </c>
      <c r="F965" s="11">
        <v>6.5</v>
      </c>
      <c r="G965" s="9">
        <v>4851.2</v>
      </c>
      <c r="H965" s="10">
        <v>0.42899999999999999</v>
      </c>
      <c r="I965" s="11">
        <v>7.4</v>
      </c>
    </row>
    <row r="966" spans="1:9" x14ac:dyDescent="0.35">
      <c r="A966" s="2" t="s">
        <v>142</v>
      </c>
      <c r="B966" s="3">
        <v>45413</v>
      </c>
      <c r="C966" s="2">
        <v>19</v>
      </c>
      <c r="D966" s="2">
        <v>23725</v>
      </c>
      <c r="E966" s="17">
        <v>53211.24</v>
      </c>
      <c r="F966" s="11">
        <v>6.34</v>
      </c>
      <c r="G966" s="9">
        <v>3819.3</v>
      </c>
      <c r="H966" s="10">
        <v>0.47399999999999998</v>
      </c>
      <c r="I966" s="11">
        <v>6.6</v>
      </c>
    </row>
    <row r="967" spans="1:9" x14ac:dyDescent="0.35">
      <c r="A967" s="2" t="s">
        <v>142</v>
      </c>
      <c r="B967" s="3">
        <v>45444</v>
      </c>
      <c r="C967" s="2">
        <v>21</v>
      </c>
      <c r="D967" s="2">
        <v>27067</v>
      </c>
      <c r="E967" s="17">
        <v>64430.46</v>
      </c>
      <c r="F967" s="11">
        <v>6.66</v>
      </c>
      <c r="G967" s="9">
        <v>4150.1000000000004</v>
      </c>
      <c r="H967" s="10">
        <v>0.28599999999999998</v>
      </c>
      <c r="I967" s="11">
        <v>7</v>
      </c>
    </row>
    <row r="968" spans="1:9" x14ac:dyDescent="0.35">
      <c r="A968" s="2" t="s">
        <v>142</v>
      </c>
      <c r="B968" s="3">
        <v>45474</v>
      </c>
      <c r="C968" s="2">
        <v>15</v>
      </c>
      <c r="D968" s="2">
        <v>18440</v>
      </c>
      <c r="E968" s="17">
        <v>40482.43</v>
      </c>
      <c r="F968" s="11">
        <v>6.43</v>
      </c>
      <c r="G968" s="9">
        <v>2913.3</v>
      </c>
      <c r="H968" s="10">
        <v>0.4</v>
      </c>
      <c r="I968" s="11">
        <v>6.5</v>
      </c>
    </row>
    <row r="969" spans="1:9" x14ac:dyDescent="0.35">
      <c r="A969" s="2" t="s">
        <v>142</v>
      </c>
      <c r="B969" s="3">
        <v>45505</v>
      </c>
      <c r="C969" s="2">
        <v>19</v>
      </c>
      <c r="D969" s="2">
        <v>24475</v>
      </c>
      <c r="E969" s="17">
        <v>59215.99</v>
      </c>
      <c r="F969" s="11">
        <v>6.46</v>
      </c>
      <c r="G969" s="9">
        <v>3810.5</v>
      </c>
      <c r="H969" s="10">
        <v>0.42099999999999999</v>
      </c>
      <c r="I969" s="11">
        <v>6.2</v>
      </c>
    </row>
    <row r="970" spans="1:9" x14ac:dyDescent="0.35">
      <c r="A970" s="2" t="s">
        <v>142</v>
      </c>
      <c r="B970" s="3">
        <v>45536</v>
      </c>
      <c r="C970" s="2">
        <v>16</v>
      </c>
      <c r="D970" s="2">
        <v>23426</v>
      </c>
      <c r="E970" s="17">
        <v>58836.09</v>
      </c>
      <c r="F970" s="11">
        <v>6.48</v>
      </c>
      <c r="G970" s="9">
        <v>3590</v>
      </c>
      <c r="H970" s="10">
        <v>0.5</v>
      </c>
      <c r="I970" s="11">
        <v>7.1</v>
      </c>
    </row>
    <row r="971" spans="1:9" x14ac:dyDescent="0.35">
      <c r="A971" s="2" t="s">
        <v>142</v>
      </c>
      <c r="B971" s="3">
        <v>45566</v>
      </c>
      <c r="C971" s="2">
        <v>22</v>
      </c>
      <c r="D971" s="2">
        <v>32045</v>
      </c>
      <c r="E971" s="17">
        <v>67804.12</v>
      </c>
      <c r="F971" s="11">
        <v>6.44</v>
      </c>
      <c r="G971" s="9">
        <v>5013.5</v>
      </c>
      <c r="H971" s="10">
        <v>0.54500000000000004</v>
      </c>
      <c r="I971" s="11">
        <v>7.4</v>
      </c>
    </row>
    <row r="972" spans="1:9" x14ac:dyDescent="0.35">
      <c r="A972" s="2" t="s">
        <v>142</v>
      </c>
      <c r="B972" s="3">
        <v>45597</v>
      </c>
      <c r="C972" s="2">
        <v>13</v>
      </c>
      <c r="D972" s="2">
        <v>16515</v>
      </c>
      <c r="E972" s="17">
        <v>37897.82</v>
      </c>
      <c r="F972" s="11">
        <v>6.37</v>
      </c>
      <c r="G972" s="9">
        <v>2532.6</v>
      </c>
      <c r="H972" s="10">
        <v>0.61499999999999999</v>
      </c>
      <c r="I972" s="11">
        <v>7</v>
      </c>
    </row>
    <row r="973" spans="1:9" x14ac:dyDescent="0.35">
      <c r="A973" s="2" t="s">
        <v>142</v>
      </c>
      <c r="B973" s="3">
        <v>45627</v>
      </c>
      <c r="C973" s="2">
        <v>10</v>
      </c>
      <c r="D973" s="2">
        <v>17147</v>
      </c>
      <c r="E973" s="17">
        <v>37177.81</v>
      </c>
      <c r="F973" s="11">
        <v>6.55</v>
      </c>
      <c r="G973" s="9">
        <v>2617.4</v>
      </c>
      <c r="H973" s="10">
        <v>0.5</v>
      </c>
      <c r="I973" s="11">
        <v>7.1</v>
      </c>
    </row>
    <row r="974" spans="1:9" x14ac:dyDescent="0.35">
      <c r="A974" s="2" t="s">
        <v>145</v>
      </c>
      <c r="B974" s="3">
        <v>44562</v>
      </c>
      <c r="C974" s="2">
        <v>30</v>
      </c>
      <c r="D974" s="2">
        <v>47344</v>
      </c>
      <c r="E974" s="17">
        <v>100734.23</v>
      </c>
      <c r="F974" s="11">
        <v>6.51</v>
      </c>
      <c r="G974" s="9">
        <v>7350.8</v>
      </c>
      <c r="H974" s="10">
        <v>0.63300000000000001</v>
      </c>
      <c r="I974" s="11">
        <v>7.4</v>
      </c>
    </row>
    <row r="975" spans="1:9" x14ac:dyDescent="0.35">
      <c r="A975" s="2" t="s">
        <v>145</v>
      </c>
      <c r="B975" s="3">
        <v>44593</v>
      </c>
      <c r="C975" s="2">
        <v>20</v>
      </c>
      <c r="D975" s="2">
        <v>33080</v>
      </c>
      <c r="E975" s="17">
        <v>72626.649999999994</v>
      </c>
      <c r="F975" s="11">
        <v>6.37</v>
      </c>
      <c r="G975" s="9">
        <v>5194.2</v>
      </c>
      <c r="H975" s="10">
        <v>0.6</v>
      </c>
      <c r="I975" s="11">
        <v>6.8</v>
      </c>
    </row>
    <row r="976" spans="1:9" x14ac:dyDescent="0.35">
      <c r="A976" s="2" t="s">
        <v>145</v>
      </c>
      <c r="B976" s="3">
        <v>44621</v>
      </c>
      <c r="C976" s="2">
        <v>9</v>
      </c>
      <c r="D976" s="2">
        <v>13757</v>
      </c>
      <c r="E976" s="17">
        <v>30589.62</v>
      </c>
      <c r="F976" s="11">
        <v>6.38</v>
      </c>
      <c r="G976" s="9">
        <v>2201.5</v>
      </c>
      <c r="H976" s="10">
        <v>0.55600000000000005</v>
      </c>
      <c r="I976" s="11">
        <v>6.4</v>
      </c>
    </row>
    <row r="977" spans="1:9" x14ac:dyDescent="0.35">
      <c r="A977" s="2" t="s">
        <v>145</v>
      </c>
      <c r="B977" s="3">
        <v>44652</v>
      </c>
      <c r="C977" s="2">
        <v>14</v>
      </c>
      <c r="D977" s="2">
        <v>24873</v>
      </c>
      <c r="E977" s="17">
        <v>56562.34</v>
      </c>
      <c r="F977" s="11">
        <v>6.6</v>
      </c>
      <c r="G977" s="9">
        <v>3750.5</v>
      </c>
      <c r="H977" s="10">
        <v>0.35699999999999998</v>
      </c>
      <c r="I977" s="11">
        <v>7.4</v>
      </c>
    </row>
    <row r="978" spans="1:9" x14ac:dyDescent="0.35">
      <c r="A978" s="2" t="s">
        <v>145</v>
      </c>
      <c r="B978" s="3">
        <v>44682</v>
      </c>
      <c r="C978" s="2">
        <v>22</v>
      </c>
      <c r="D978" s="2">
        <v>28079</v>
      </c>
      <c r="E978" s="17">
        <v>62600.9</v>
      </c>
      <c r="F978" s="11">
        <v>6.39</v>
      </c>
      <c r="G978" s="9">
        <v>4454.8999999999996</v>
      </c>
      <c r="H978" s="10">
        <v>0.318</v>
      </c>
      <c r="I978" s="11">
        <v>7.3</v>
      </c>
    </row>
    <row r="979" spans="1:9" x14ac:dyDescent="0.35">
      <c r="A979" s="2" t="s">
        <v>145</v>
      </c>
      <c r="B979" s="3">
        <v>44713</v>
      </c>
      <c r="C979" s="2">
        <v>20</v>
      </c>
      <c r="D979" s="2">
        <v>34110</v>
      </c>
      <c r="E979" s="17">
        <v>69070.19</v>
      </c>
      <c r="F979" s="11">
        <v>6.55</v>
      </c>
      <c r="G979" s="9">
        <v>5223.3999999999996</v>
      </c>
      <c r="H979" s="10">
        <v>0.35</v>
      </c>
      <c r="I979" s="11">
        <v>6.6</v>
      </c>
    </row>
    <row r="980" spans="1:9" x14ac:dyDescent="0.35">
      <c r="A980" s="2" t="s">
        <v>145</v>
      </c>
      <c r="B980" s="3">
        <v>44743</v>
      </c>
      <c r="C980" s="2">
        <v>16</v>
      </c>
      <c r="D980" s="2">
        <v>19327</v>
      </c>
      <c r="E980" s="17">
        <v>38797.21</v>
      </c>
      <c r="F980" s="11">
        <v>6.48</v>
      </c>
      <c r="G980" s="9">
        <v>2976.8</v>
      </c>
      <c r="H980" s="10">
        <v>0.75</v>
      </c>
      <c r="I980" s="11">
        <v>6.2</v>
      </c>
    </row>
    <row r="981" spans="1:9" x14ac:dyDescent="0.35">
      <c r="A981" s="2" t="s">
        <v>145</v>
      </c>
      <c r="B981" s="3">
        <v>44774</v>
      </c>
      <c r="C981" s="2">
        <v>24</v>
      </c>
      <c r="D981" s="2">
        <v>34517</v>
      </c>
      <c r="E981" s="17">
        <v>72605.47</v>
      </c>
      <c r="F981" s="11">
        <v>6.39</v>
      </c>
      <c r="G981" s="9">
        <v>5432.7</v>
      </c>
      <c r="H981" s="10">
        <v>0.54200000000000004</v>
      </c>
      <c r="I981" s="11">
        <v>5.9</v>
      </c>
    </row>
    <row r="982" spans="1:9" x14ac:dyDescent="0.35">
      <c r="A982" s="2" t="s">
        <v>145</v>
      </c>
      <c r="B982" s="3">
        <v>44805</v>
      </c>
      <c r="C982" s="2">
        <v>12</v>
      </c>
      <c r="D982" s="2">
        <v>18152</v>
      </c>
      <c r="E982" s="17">
        <v>41892.800000000003</v>
      </c>
      <c r="F982" s="11">
        <v>6.71</v>
      </c>
      <c r="G982" s="9">
        <v>2707</v>
      </c>
      <c r="H982" s="10">
        <v>0.5</v>
      </c>
      <c r="I982" s="11">
        <v>7.2</v>
      </c>
    </row>
    <row r="983" spans="1:9" x14ac:dyDescent="0.35">
      <c r="A983" s="2" t="s">
        <v>145</v>
      </c>
      <c r="B983" s="3">
        <v>44835</v>
      </c>
      <c r="C983" s="2">
        <v>18</v>
      </c>
      <c r="D983" s="2">
        <v>27965</v>
      </c>
      <c r="E983" s="17">
        <v>62571.22</v>
      </c>
      <c r="F983" s="11">
        <v>6.7</v>
      </c>
      <c r="G983" s="9">
        <v>4208.8999999999996</v>
      </c>
      <c r="H983" s="10">
        <v>0.33300000000000002</v>
      </c>
      <c r="I983" s="11">
        <v>7</v>
      </c>
    </row>
    <row r="984" spans="1:9" x14ac:dyDescent="0.35">
      <c r="A984" s="2" t="s">
        <v>145</v>
      </c>
      <c r="B984" s="3">
        <v>44866</v>
      </c>
      <c r="C984" s="2">
        <v>23</v>
      </c>
      <c r="D984" s="2">
        <v>31671</v>
      </c>
      <c r="E984" s="17">
        <v>74119.960000000006</v>
      </c>
      <c r="F984" s="11">
        <v>6.33</v>
      </c>
      <c r="G984" s="9">
        <v>4976.8999999999996</v>
      </c>
      <c r="H984" s="10">
        <v>0.435</v>
      </c>
      <c r="I984" s="11">
        <v>6.8</v>
      </c>
    </row>
    <row r="985" spans="1:9" x14ac:dyDescent="0.35">
      <c r="A985" s="2" t="s">
        <v>145</v>
      </c>
      <c r="B985" s="3">
        <v>44896</v>
      </c>
      <c r="C985" s="2">
        <v>11</v>
      </c>
      <c r="D985" s="2">
        <v>20162</v>
      </c>
      <c r="E985" s="17">
        <v>40223.64</v>
      </c>
      <c r="F985" s="11">
        <v>6.43</v>
      </c>
      <c r="G985" s="9">
        <v>3178.3</v>
      </c>
      <c r="H985" s="10">
        <v>0.54500000000000004</v>
      </c>
      <c r="I985" s="11">
        <v>7</v>
      </c>
    </row>
    <row r="986" spans="1:9" x14ac:dyDescent="0.35">
      <c r="A986" s="2" t="s">
        <v>145</v>
      </c>
      <c r="B986" s="3">
        <v>44927</v>
      </c>
      <c r="C986" s="2">
        <v>18</v>
      </c>
      <c r="D986" s="2">
        <v>28110</v>
      </c>
      <c r="E986" s="17">
        <v>62117.25</v>
      </c>
      <c r="F986" s="11">
        <v>6.19</v>
      </c>
      <c r="G986" s="9">
        <v>4622</v>
      </c>
      <c r="H986" s="10">
        <v>0.5</v>
      </c>
      <c r="I986" s="11">
        <v>7.5</v>
      </c>
    </row>
    <row r="987" spans="1:9" x14ac:dyDescent="0.35">
      <c r="A987" s="2" t="s">
        <v>145</v>
      </c>
      <c r="B987" s="3">
        <v>44958</v>
      </c>
      <c r="C987" s="2">
        <v>13</v>
      </c>
      <c r="D987" s="2">
        <v>21526</v>
      </c>
      <c r="E987" s="17">
        <v>50969.42</v>
      </c>
      <c r="F987" s="11">
        <v>6.36</v>
      </c>
      <c r="G987" s="9">
        <v>3426.3</v>
      </c>
      <c r="H987" s="10">
        <v>0.46200000000000002</v>
      </c>
      <c r="I987" s="11">
        <v>4.8</v>
      </c>
    </row>
    <row r="988" spans="1:9" x14ac:dyDescent="0.35">
      <c r="A988" s="2" t="s">
        <v>145</v>
      </c>
      <c r="B988" s="3">
        <v>44986</v>
      </c>
      <c r="C988" s="2">
        <v>24</v>
      </c>
      <c r="D988" s="2">
        <v>29633</v>
      </c>
      <c r="E988" s="17">
        <v>64269.16</v>
      </c>
      <c r="F988" s="11">
        <v>6.36</v>
      </c>
      <c r="G988" s="9">
        <v>4765.8999999999996</v>
      </c>
      <c r="H988" s="10">
        <v>0.375</v>
      </c>
      <c r="I988" s="11">
        <v>7.1</v>
      </c>
    </row>
    <row r="989" spans="1:9" x14ac:dyDescent="0.35">
      <c r="A989" s="2" t="s">
        <v>145</v>
      </c>
      <c r="B989" s="3">
        <v>45017</v>
      </c>
      <c r="C989" s="2">
        <v>20</v>
      </c>
      <c r="D989" s="2">
        <v>29060</v>
      </c>
      <c r="E989" s="17">
        <v>64618.55</v>
      </c>
      <c r="F989" s="11">
        <v>6.47</v>
      </c>
      <c r="G989" s="9">
        <v>4423.3999999999996</v>
      </c>
      <c r="H989" s="10">
        <v>0.45</v>
      </c>
      <c r="I989" s="11">
        <v>6.2</v>
      </c>
    </row>
    <row r="990" spans="1:9" x14ac:dyDescent="0.35">
      <c r="A990" s="2" t="s">
        <v>145</v>
      </c>
      <c r="B990" s="3">
        <v>45047</v>
      </c>
      <c r="C990" s="2">
        <v>13</v>
      </c>
      <c r="D990" s="2">
        <v>20160</v>
      </c>
      <c r="E990" s="17">
        <v>41636.46</v>
      </c>
      <c r="F990" s="11">
        <v>6.34</v>
      </c>
      <c r="G990" s="9">
        <v>3285.2</v>
      </c>
      <c r="H990" s="10">
        <v>0.53800000000000003</v>
      </c>
      <c r="I990" s="11">
        <v>6</v>
      </c>
    </row>
    <row r="991" spans="1:9" x14ac:dyDescent="0.35">
      <c r="A991" s="2" t="s">
        <v>145</v>
      </c>
      <c r="B991" s="3">
        <v>45078</v>
      </c>
      <c r="C991" s="2">
        <v>23</v>
      </c>
      <c r="D991" s="2">
        <v>30577</v>
      </c>
      <c r="E991" s="17">
        <v>67377.820000000007</v>
      </c>
      <c r="F991" s="11">
        <v>6.57</v>
      </c>
      <c r="G991" s="9">
        <v>4771.5</v>
      </c>
      <c r="H991" s="10">
        <v>0.435</v>
      </c>
      <c r="I991" s="11">
        <v>7</v>
      </c>
    </row>
    <row r="992" spans="1:9" x14ac:dyDescent="0.35">
      <c r="A992" s="2" t="s">
        <v>145</v>
      </c>
      <c r="B992" s="3">
        <v>45108</v>
      </c>
      <c r="C992" s="2">
        <v>23</v>
      </c>
      <c r="D992" s="2">
        <v>35697</v>
      </c>
      <c r="E992" s="17">
        <v>80062.649999999994</v>
      </c>
      <c r="F992" s="11">
        <v>6.48</v>
      </c>
      <c r="G992" s="9">
        <v>5636.1</v>
      </c>
      <c r="H992" s="10">
        <v>0.34799999999999998</v>
      </c>
      <c r="I992" s="11">
        <v>7.3</v>
      </c>
    </row>
    <row r="993" spans="1:9" x14ac:dyDescent="0.35">
      <c r="A993" s="2" t="s">
        <v>145</v>
      </c>
      <c r="B993" s="3">
        <v>45139</v>
      </c>
      <c r="C993" s="2">
        <v>23</v>
      </c>
      <c r="D993" s="2">
        <v>31541</v>
      </c>
      <c r="E993" s="17">
        <v>73086.2</v>
      </c>
      <c r="F993" s="11">
        <v>6.5</v>
      </c>
      <c r="G993" s="9">
        <v>4991.8999999999996</v>
      </c>
      <c r="H993" s="10">
        <v>0.26100000000000001</v>
      </c>
      <c r="I993" s="11">
        <v>7.5</v>
      </c>
    </row>
    <row r="994" spans="1:9" x14ac:dyDescent="0.35">
      <c r="A994" s="2" t="s">
        <v>145</v>
      </c>
      <c r="B994" s="3">
        <v>45170</v>
      </c>
      <c r="C994" s="2">
        <v>21</v>
      </c>
      <c r="D994" s="2">
        <v>28556</v>
      </c>
      <c r="E994" s="17">
        <v>63151.59</v>
      </c>
      <c r="F994" s="11">
        <v>6.62</v>
      </c>
      <c r="G994" s="9">
        <v>4442.3999999999996</v>
      </c>
      <c r="H994" s="10">
        <v>0.57099999999999995</v>
      </c>
      <c r="I994" s="11">
        <v>6.2</v>
      </c>
    </row>
    <row r="995" spans="1:9" x14ac:dyDescent="0.35">
      <c r="A995" s="2" t="s">
        <v>145</v>
      </c>
      <c r="B995" s="3">
        <v>45200</v>
      </c>
      <c r="C995" s="2">
        <v>18</v>
      </c>
      <c r="D995" s="2">
        <v>21779</v>
      </c>
      <c r="E995" s="17">
        <v>46854.29</v>
      </c>
      <c r="F995" s="11">
        <v>6.45</v>
      </c>
      <c r="G995" s="9">
        <v>3397.6</v>
      </c>
      <c r="H995" s="10">
        <v>0.55600000000000005</v>
      </c>
      <c r="I995" s="11">
        <v>6</v>
      </c>
    </row>
    <row r="996" spans="1:9" x14ac:dyDescent="0.35">
      <c r="A996" s="2" t="s">
        <v>145</v>
      </c>
      <c r="B996" s="3">
        <v>45231</v>
      </c>
      <c r="C996" s="2">
        <v>20</v>
      </c>
      <c r="D996" s="2">
        <v>22843</v>
      </c>
      <c r="E996" s="17">
        <v>49827.73</v>
      </c>
      <c r="F996" s="11">
        <v>6.36</v>
      </c>
      <c r="G996" s="9">
        <v>3591.4</v>
      </c>
      <c r="H996" s="10">
        <v>0.6</v>
      </c>
      <c r="I996" s="11">
        <v>7.3</v>
      </c>
    </row>
    <row r="997" spans="1:9" x14ac:dyDescent="0.35">
      <c r="A997" s="2" t="s">
        <v>145</v>
      </c>
      <c r="B997" s="3">
        <v>45261</v>
      </c>
      <c r="C997" s="2">
        <v>12</v>
      </c>
      <c r="D997" s="2">
        <v>19944</v>
      </c>
      <c r="E997" s="17">
        <v>40710.559999999998</v>
      </c>
      <c r="F997" s="11">
        <v>6.41</v>
      </c>
      <c r="G997" s="9">
        <v>3123.5</v>
      </c>
      <c r="H997" s="10">
        <v>0.25</v>
      </c>
      <c r="I997" s="11">
        <v>8.1999999999999993</v>
      </c>
    </row>
    <row r="998" spans="1:9" x14ac:dyDescent="0.35">
      <c r="A998" s="2" t="s">
        <v>145</v>
      </c>
      <c r="B998" s="3">
        <v>45292</v>
      </c>
      <c r="C998" s="2">
        <v>24</v>
      </c>
      <c r="D998" s="2">
        <v>29528</v>
      </c>
      <c r="E998" s="17">
        <v>60298.97</v>
      </c>
      <c r="F998" s="11">
        <v>6.36</v>
      </c>
      <c r="G998" s="9">
        <v>4686.2</v>
      </c>
      <c r="H998" s="10">
        <v>0.45800000000000002</v>
      </c>
      <c r="I998" s="11">
        <v>5.6</v>
      </c>
    </row>
    <row r="999" spans="1:9" x14ac:dyDescent="0.35">
      <c r="A999" s="2" t="s">
        <v>145</v>
      </c>
      <c r="B999" s="3">
        <v>45323</v>
      </c>
      <c r="C999" s="2">
        <v>13</v>
      </c>
      <c r="D999" s="2">
        <v>26709</v>
      </c>
      <c r="E999" s="17">
        <v>59948.78</v>
      </c>
      <c r="F999" s="11">
        <v>6.49</v>
      </c>
      <c r="G999" s="9">
        <v>4113.5</v>
      </c>
      <c r="H999" s="10">
        <v>0.53800000000000003</v>
      </c>
      <c r="I999" s="11">
        <v>7.7</v>
      </c>
    </row>
    <row r="1000" spans="1:9" x14ac:dyDescent="0.35">
      <c r="A1000" s="2" t="s">
        <v>145</v>
      </c>
      <c r="B1000" s="3">
        <v>45352</v>
      </c>
      <c r="C1000" s="2">
        <v>15</v>
      </c>
      <c r="D1000" s="2">
        <v>21967</v>
      </c>
      <c r="E1000" s="17">
        <v>41740.410000000003</v>
      </c>
      <c r="F1000" s="11">
        <v>6.96</v>
      </c>
      <c r="G1000" s="9">
        <v>3246.6</v>
      </c>
      <c r="H1000" s="10">
        <v>0.33300000000000002</v>
      </c>
      <c r="I1000" s="11">
        <v>6.5</v>
      </c>
    </row>
    <row r="1001" spans="1:9" x14ac:dyDescent="0.35">
      <c r="A1001" s="2" t="s">
        <v>145</v>
      </c>
      <c r="B1001" s="3">
        <v>45383</v>
      </c>
      <c r="C1001" s="2">
        <v>13</v>
      </c>
      <c r="D1001" s="2">
        <v>11683</v>
      </c>
      <c r="E1001" s="17">
        <v>22695.9</v>
      </c>
      <c r="F1001" s="11">
        <v>6.63</v>
      </c>
      <c r="G1001" s="9">
        <v>1759.9</v>
      </c>
      <c r="H1001" s="10">
        <v>0.308</v>
      </c>
      <c r="I1001" s="11">
        <v>7.7</v>
      </c>
    </row>
    <row r="1002" spans="1:9" x14ac:dyDescent="0.35">
      <c r="A1002" s="2" t="s">
        <v>145</v>
      </c>
      <c r="B1002" s="3">
        <v>45413</v>
      </c>
      <c r="C1002" s="2">
        <v>21</v>
      </c>
      <c r="D1002" s="2">
        <v>30341</v>
      </c>
      <c r="E1002" s="17">
        <v>66486.7</v>
      </c>
      <c r="F1002" s="11">
        <v>6.6</v>
      </c>
      <c r="G1002" s="9">
        <v>4594.2</v>
      </c>
      <c r="H1002" s="10">
        <v>0.28599999999999998</v>
      </c>
      <c r="I1002" s="11">
        <v>6.6</v>
      </c>
    </row>
    <row r="1003" spans="1:9" x14ac:dyDescent="0.35">
      <c r="A1003" s="2" t="s">
        <v>145</v>
      </c>
      <c r="B1003" s="3">
        <v>45444</v>
      </c>
      <c r="C1003" s="2">
        <v>17</v>
      </c>
      <c r="D1003" s="2">
        <v>27136</v>
      </c>
      <c r="E1003" s="17">
        <v>60890.31</v>
      </c>
      <c r="F1003" s="11">
        <v>6.63</v>
      </c>
      <c r="G1003" s="9">
        <v>4129.7</v>
      </c>
      <c r="H1003" s="10">
        <v>0.47099999999999997</v>
      </c>
      <c r="I1003" s="11">
        <v>6.6</v>
      </c>
    </row>
    <row r="1004" spans="1:9" x14ac:dyDescent="0.35">
      <c r="A1004" s="2" t="s">
        <v>145</v>
      </c>
      <c r="B1004" s="3">
        <v>45474</v>
      </c>
      <c r="C1004" s="2">
        <v>18</v>
      </c>
      <c r="D1004" s="2">
        <v>22760</v>
      </c>
      <c r="E1004" s="17">
        <v>50300.88</v>
      </c>
      <c r="F1004" s="11">
        <v>6.39</v>
      </c>
      <c r="G1004" s="9">
        <v>3632.4</v>
      </c>
      <c r="H1004" s="10">
        <v>0.44400000000000001</v>
      </c>
      <c r="I1004" s="11">
        <v>7.8</v>
      </c>
    </row>
    <row r="1005" spans="1:9" x14ac:dyDescent="0.35">
      <c r="A1005" s="2" t="s">
        <v>145</v>
      </c>
      <c r="B1005" s="3">
        <v>45505</v>
      </c>
      <c r="C1005" s="2">
        <v>20</v>
      </c>
      <c r="D1005" s="2">
        <v>26813</v>
      </c>
      <c r="E1005" s="17">
        <v>55295.43</v>
      </c>
      <c r="F1005" s="11">
        <v>6.46</v>
      </c>
      <c r="G1005" s="9">
        <v>4220.3</v>
      </c>
      <c r="H1005" s="10">
        <v>0.25</v>
      </c>
      <c r="I1005" s="11">
        <v>6.1</v>
      </c>
    </row>
    <row r="1006" spans="1:9" x14ac:dyDescent="0.35">
      <c r="A1006" s="2" t="s">
        <v>145</v>
      </c>
      <c r="B1006" s="3">
        <v>45536</v>
      </c>
      <c r="C1006" s="2">
        <v>11</v>
      </c>
      <c r="D1006" s="2">
        <v>12909</v>
      </c>
      <c r="E1006" s="17">
        <v>31104.33</v>
      </c>
      <c r="F1006" s="11">
        <v>6.52</v>
      </c>
      <c r="G1006" s="9">
        <v>2050.6999999999998</v>
      </c>
      <c r="H1006" s="10">
        <v>0.182</v>
      </c>
      <c r="I1006" s="11">
        <v>6.6</v>
      </c>
    </row>
    <row r="1007" spans="1:9" x14ac:dyDescent="0.35">
      <c r="A1007" s="2" t="s">
        <v>145</v>
      </c>
      <c r="B1007" s="3">
        <v>45566</v>
      </c>
      <c r="C1007" s="2">
        <v>24</v>
      </c>
      <c r="D1007" s="2">
        <v>36566</v>
      </c>
      <c r="E1007" s="17">
        <v>85013.79</v>
      </c>
      <c r="F1007" s="11">
        <v>6.4</v>
      </c>
      <c r="G1007" s="9">
        <v>5818.6</v>
      </c>
      <c r="H1007" s="10">
        <v>0.41699999999999998</v>
      </c>
      <c r="I1007" s="11">
        <v>7.2</v>
      </c>
    </row>
    <row r="1008" spans="1:9" x14ac:dyDescent="0.35">
      <c r="A1008" s="2" t="s">
        <v>145</v>
      </c>
      <c r="B1008" s="3">
        <v>45597</v>
      </c>
      <c r="C1008" s="2">
        <v>25</v>
      </c>
      <c r="D1008" s="2">
        <v>35918</v>
      </c>
      <c r="E1008" s="17">
        <v>76616.06</v>
      </c>
      <c r="F1008" s="11">
        <v>6.46</v>
      </c>
      <c r="G1008" s="9">
        <v>5602.4</v>
      </c>
      <c r="H1008" s="10">
        <v>0.48</v>
      </c>
      <c r="I1008" s="11">
        <v>7.5</v>
      </c>
    </row>
    <row r="1009" spans="1:9" x14ac:dyDescent="0.35">
      <c r="A1009" s="2" t="s">
        <v>145</v>
      </c>
      <c r="B1009" s="3">
        <v>45627</v>
      </c>
      <c r="C1009" s="2">
        <v>18</v>
      </c>
      <c r="D1009" s="2">
        <v>23512</v>
      </c>
      <c r="E1009" s="17">
        <v>56654.94</v>
      </c>
      <c r="F1009" s="11">
        <v>6.47</v>
      </c>
      <c r="G1009" s="9">
        <v>3632.5</v>
      </c>
      <c r="H1009" s="10">
        <v>0.33300000000000002</v>
      </c>
      <c r="I1009" s="11">
        <v>7.1</v>
      </c>
    </row>
    <row r="1010" spans="1:9" x14ac:dyDescent="0.35">
      <c r="A1010" s="2" t="s">
        <v>147</v>
      </c>
      <c r="B1010" s="3">
        <v>44562</v>
      </c>
      <c r="C1010" s="2">
        <v>10</v>
      </c>
      <c r="D1010" s="2">
        <v>17646</v>
      </c>
      <c r="E1010" s="17">
        <v>38446.93</v>
      </c>
      <c r="F1010" s="11">
        <v>6.3</v>
      </c>
      <c r="G1010" s="9">
        <v>2798.9</v>
      </c>
      <c r="H1010" s="10">
        <v>0.8</v>
      </c>
      <c r="I1010" s="11">
        <v>8.4</v>
      </c>
    </row>
    <row r="1011" spans="1:9" x14ac:dyDescent="0.35">
      <c r="A1011" s="2" t="s">
        <v>147</v>
      </c>
      <c r="B1011" s="3">
        <v>44593</v>
      </c>
      <c r="C1011" s="2">
        <v>16</v>
      </c>
      <c r="D1011" s="2">
        <v>20159</v>
      </c>
      <c r="E1011" s="17">
        <v>40847.440000000002</v>
      </c>
      <c r="F1011" s="11">
        <v>6.6</v>
      </c>
      <c r="G1011" s="9">
        <v>3109.6</v>
      </c>
      <c r="H1011" s="10">
        <v>0.56200000000000006</v>
      </c>
      <c r="I1011" s="11">
        <v>6.9</v>
      </c>
    </row>
    <row r="1012" spans="1:9" x14ac:dyDescent="0.35">
      <c r="A1012" s="2" t="s">
        <v>147</v>
      </c>
      <c r="B1012" s="3">
        <v>44621</v>
      </c>
      <c r="C1012" s="2">
        <v>21</v>
      </c>
      <c r="D1012" s="2">
        <v>29187</v>
      </c>
      <c r="E1012" s="17">
        <v>58884.24</v>
      </c>
      <c r="F1012" s="11">
        <v>6.31</v>
      </c>
      <c r="G1012" s="9">
        <v>4682.2</v>
      </c>
      <c r="H1012" s="10">
        <v>0.47599999999999998</v>
      </c>
      <c r="I1012" s="11">
        <v>7.3</v>
      </c>
    </row>
    <row r="1013" spans="1:9" x14ac:dyDescent="0.35">
      <c r="A1013" s="2" t="s">
        <v>147</v>
      </c>
      <c r="B1013" s="3">
        <v>44652</v>
      </c>
      <c r="C1013" s="2">
        <v>10</v>
      </c>
      <c r="D1013" s="2">
        <v>15674</v>
      </c>
      <c r="E1013" s="17">
        <v>34654.199999999997</v>
      </c>
      <c r="F1013" s="11">
        <v>6.57</v>
      </c>
      <c r="G1013" s="9">
        <v>2442</v>
      </c>
      <c r="H1013" s="10">
        <v>0.1</v>
      </c>
      <c r="I1013" s="11">
        <v>6.6</v>
      </c>
    </row>
    <row r="1014" spans="1:9" x14ac:dyDescent="0.35">
      <c r="A1014" s="2" t="s">
        <v>147</v>
      </c>
      <c r="B1014" s="3">
        <v>44682</v>
      </c>
      <c r="C1014" s="2">
        <v>15</v>
      </c>
      <c r="D1014" s="2">
        <v>25209</v>
      </c>
      <c r="E1014" s="17">
        <v>51637.97</v>
      </c>
      <c r="F1014" s="11">
        <v>6.33</v>
      </c>
      <c r="G1014" s="9">
        <v>3978.2</v>
      </c>
      <c r="H1014" s="10">
        <v>0.4</v>
      </c>
      <c r="I1014" s="11">
        <v>7</v>
      </c>
    </row>
    <row r="1015" spans="1:9" x14ac:dyDescent="0.35">
      <c r="A1015" s="2" t="s">
        <v>147</v>
      </c>
      <c r="B1015" s="3">
        <v>44713</v>
      </c>
      <c r="C1015" s="2">
        <v>21</v>
      </c>
      <c r="D1015" s="2">
        <v>23825</v>
      </c>
      <c r="E1015" s="17">
        <v>54279.94</v>
      </c>
      <c r="F1015" s="11">
        <v>6.59</v>
      </c>
      <c r="G1015" s="9">
        <v>3741.6</v>
      </c>
      <c r="H1015" s="10">
        <v>0.42899999999999999</v>
      </c>
      <c r="I1015" s="11">
        <v>6.6</v>
      </c>
    </row>
    <row r="1016" spans="1:9" x14ac:dyDescent="0.35">
      <c r="A1016" s="2" t="s">
        <v>147</v>
      </c>
      <c r="B1016" s="3">
        <v>44743</v>
      </c>
      <c r="C1016" s="2">
        <v>16</v>
      </c>
      <c r="D1016" s="2">
        <v>21734</v>
      </c>
      <c r="E1016" s="17">
        <v>51370.239999999998</v>
      </c>
      <c r="F1016" s="11">
        <v>6.38</v>
      </c>
      <c r="G1016" s="9">
        <v>3464.2</v>
      </c>
      <c r="H1016" s="10">
        <v>0.375</v>
      </c>
      <c r="I1016" s="11">
        <v>7.1</v>
      </c>
    </row>
    <row r="1017" spans="1:9" x14ac:dyDescent="0.35">
      <c r="A1017" s="2" t="s">
        <v>147</v>
      </c>
      <c r="B1017" s="3">
        <v>44774</v>
      </c>
      <c r="C1017" s="2">
        <v>18</v>
      </c>
      <c r="D1017" s="2">
        <v>19947</v>
      </c>
      <c r="E1017" s="17">
        <v>42610.71</v>
      </c>
      <c r="F1017" s="11">
        <v>6.41</v>
      </c>
      <c r="G1017" s="9">
        <v>3080.5</v>
      </c>
      <c r="H1017" s="10">
        <v>0.33300000000000002</v>
      </c>
      <c r="I1017" s="11">
        <v>7.2</v>
      </c>
    </row>
    <row r="1018" spans="1:9" x14ac:dyDescent="0.35">
      <c r="A1018" s="2" t="s">
        <v>147</v>
      </c>
      <c r="B1018" s="3">
        <v>44805</v>
      </c>
      <c r="C1018" s="2">
        <v>20</v>
      </c>
      <c r="D1018" s="2">
        <v>28562</v>
      </c>
      <c r="E1018" s="17">
        <v>61123.29</v>
      </c>
      <c r="F1018" s="11">
        <v>6.44</v>
      </c>
      <c r="G1018" s="9">
        <v>4472.8999999999996</v>
      </c>
      <c r="H1018" s="10">
        <v>0.4</v>
      </c>
      <c r="I1018" s="11">
        <v>6.8</v>
      </c>
    </row>
    <row r="1019" spans="1:9" x14ac:dyDescent="0.35">
      <c r="A1019" s="2" t="s">
        <v>147</v>
      </c>
      <c r="B1019" s="3">
        <v>44835</v>
      </c>
      <c r="C1019" s="2">
        <v>19</v>
      </c>
      <c r="D1019" s="2">
        <v>25227</v>
      </c>
      <c r="E1019" s="17">
        <v>48397.74</v>
      </c>
      <c r="F1019" s="11">
        <v>6.31</v>
      </c>
      <c r="G1019" s="9">
        <v>4016.5</v>
      </c>
      <c r="H1019" s="10">
        <v>0.42099999999999999</v>
      </c>
      <c r="I1019" s="11">
        <v>7</v>
      </c>
    </row>
    <row r="1020" spans="1:9" x14ac:dyDescent="0.35">
      <c r="A1020" s="2" t="s">
        <v>147</v>
      </c>
      <c r="B1020" s="3">
        <v>44866</v>
      </c>
      <c r="C1020" s="2">
        <v>21</v>
      </c>
      <c r="D1020" s="2">
        <v>28997</v>
      </c>
      <c r="E1020" s="17">
        <v>56304.66</v>
      </c>
      <c r="F1020" s="11">
        <v>6.52</v>
      </c>
      <c r="G1020" s="9">
        <v>4527</v>
      </c>
      <c r="H1020" s="10">
        <v>0.57099999999999995</v>
      </c>
      <c r="I1020" s="11">
        <v>6.7</v>
      </c>
    </row>
    <row r="1021" spans="1:9" x14ac:dyDescent="0.35">
      <c r="A1021" s="2" t="s">
        <v>147</v>
      </c>
      <c r="B1021" s="3">
        <v>44896</v>
      </c>
      <c r="C1021" s="2">
        <v>21</v>
      </c>
      <c r="D1021" s="2">
        <v>27836</v>
      </c>
      <c r="E1021" s="17">
        <v>62531.08</v>
      </c>
      <c r="F1021" s="11">
        <v>6.62</v>
      </c>
      <c r="G1021" s="9">
        <v>4219.8</v>
      </c>
      <c r="H1021" s="10">
        <v>0.61899999999999999</v>
      </c>
      <c r="I1021" s="11">
        <v>7.8</v>
      </c>
    </row>
    <row r="1022" spans="1:9" x14ac:dyDescent="0.35">
      <c r="A1022" s="2" t="s">
        <v>147</v>
      </c>
      <c r="B1022" s="3">
        <v>44927</v>
      </c>
      <c r="C1022" s="2">
        <v>22</v>
      </c>
      <c r="D1022" s="2">
        <v>32403</v>
      </c>
      <c r="E1022" s="17">
        <v>69633.72</v>
      </c>
      <c r="F1022" s="11">
        <v>6.7</v>
      </c>
      <c r="G1022" s="9">
        <v>4860</v>
      </c>
      <c r="H1022" s="10">
        <v>0.5</v>
      </c>
      <c r="I1022" s="11">
        <v>7.5</v>
      </c>
    </row>
    <row r="1023" spans="1:9" x14ac:dyDescent="0.35">
      <c r="A1023" s="2" t="s">
        <v>147</v>
      </c>
      <c r="B1023" s="3">
        <v>44958</v>
      </c>
      <c r="C1023" s="2">
        <v>10</v>
      </c>
      <c r="D1023" s="2">
        <v>19324</v>
      </c>
      <c r="E1023" s="17">
        <v>40782.86</v>
      </c>
      <c r="F1023" s="11">
        <v>6.53</v>
      </c>
      <c r="G1023" s="9">
        <v>2954.1</v>
      </c>
      <c r="H1023" s="10">
        <v>0.3</v>
      </c>
      <c r="I1023" s="11">
        <v>8.3000000000000007</v>
      </c>
    </row>
    <row r="1024" spans="1:9" x14ac:dyDescent="0.35">
      <c r="A1024" s="2" t="s">
        <v>147</v>
      </c>
      <c r="B1024" s="3">
        <v>44986</v>
      </c>
      <c r="C1024" s="2">
        <v>17</v>
      </c>
      <c r="D1024" s="2">
        <v>29584</v>
      </c>
      <c r="E1024" s="17">
        <v>68412.850000000006</v>
      </c>
      <c r="F1024" s="11">
        <v>6.52</v>
      </c>
      <c r="G1024" s="9">
        <v>4633.8999999999996</v>
      </c>
      <c r="H1024" s="10">
        <v>0.29399999999999998</v>
      </c>
      <c r="I1024" s="11">
        <v>5.9</v>
      </c>
    </row>
    <row r="1025" spans="1:9" x14ac:dyDescent="0.35">
      <c r="A1025" s="2" t="s">
        <v>147</v>
      </c>
      <c r="B1025" s="3">
        <v>45017</v>
      </c>
      <c r="C1025" s="2">
        <v>19</v>
      </c>
      <c r="D1025" s="2">
        <v>24674</v>
      </c>
      <c r="E1025" s="17">
        <v>50138.85</v>
      </c>
      <c r="F1025" s="11">
        <v>6.39</v>
      </c>
      <c r="G1025" s="9">
        <v>3800.3</v>
      </c>
      <c r="H1025" s="10">
        <v>0.63200000000000001</v>
      </c>
      <c r="I1025" s="11">
        <v>7.1</v>
      </c>
    </row>
    <row r="1026" spans="1:9" x14ac:dyDescent="0.35">
      <c r="A1026" s="2" t="s">
        <v>147</v>
      </c>
      <c r="B1026" s="3">
        <v>45047</v>
      </c>
      <c r="C1026" s="2">
        <v>19</v>
      </c>
      <c r="D1026" s="2">
        <v>20705</v>
      </c>
      <c r="E1026" s="17">
        <v>46305.81</v>
      </c>
      <c r="F1026" s="11">
        <v>6.33</v>
      </c>
      <c r="G1026" s="9">
        <v>3282.4</v>
      </c>
      <c r="H1026" s="10">
        <v>0.47399999999999998</v>
      </c>
      <c r="I1026" s="11">
        <v>7.9</v>
      </c>
    </row>
    <row r="1027" spans="1:9" x14ac:dyDescent="0.35">
      <c r="A1027" s="2" t="s">
        <v>147</v>
      </c>
      <c r="B1027" s="3">
        <v>45078</v>
      </c>
      <c r="C1027" s="2">
        <v>19</v>
      </c>
      <c r="D1027" s="2">
        <v>32100</v>
      </c>
      <c r="E1027" s="17">
        <v>75312.23</v>
      </c>
      <c r="F1027" s="11">
        <v>6.49</v>
      </c>
      <c r="G1027" s="9">
        <v>5034.2</v>
      </c>
      <c r="H1027" s="10">
        <v>0.63200000000000001</v>
      </c>
      <c r="I1027" s="11">
        <v>8.5</v>
      </c>
    </row>
    <row r="1028" spans="1:9" x14ac:dyDescent="0.35">
      <c r="A1028" s="2" t="s">
        <v>147</v>
      </c>
      <c r="B1028" s="3">
        <v>45108</v>
      </c>
      <c r="C1028" s="2">
        <v>25</v>
      </c>
      <c r="D1028" s="2">
        <v>41839</v>
      </c>
      <c r="E1028" s="17">
        <v>88226.21</v>
      </c>
      <c r="F1028" s="11">
        <v>6.41</v>
      </c>
      <c r="G1028" s="9">
        <v>6575.5</v>
      </c>
      <c r="H1028" s="10">
        <v>0.48</v>
      </c>
      <c r="I1028" s="11">
        <v>7.2</v>
      </c>
    </row>
    <row r="1029" spans="1:9" x14ac:dyDescent="0.35">
      <c r="A1029" s="2" t="s">
        <v>147</v>
      </c>
      <c r="B1029" s="3">
        <v>45139</v>
      </c>
      <c r="C1029" s="2">
        <v>21</v>
      </c>
      <c r="D1029" s="2">
        <v>24830</v>
      </c>
      <c r="E1029" s="17">
        <v>49788.43</v>
      </c>
      <c r="F1029" s="11">
        <v>6.68</v>
      </c>
      <c r="G1029" s="9">
        <v>3772.8</v>
      </c>
      <c r="H1029" s="10">
        <v>0.28599999999999998</v>
      </c>
      <c r="I1029" s="11">
        <v>7.2</v>
      </c>
    </row>
    <row r="1030" spans="1:9" x14ac:dyDescent="0.35">
      <c r="A1030" s="2" t="s">
        <v>147</v>
      </c>
      <c r="B1030" s="3">
        <v>45170</v>
      </c>
      <c r="C1030" s="2">
        <v>14</v>
      </c>
      <c r="D1030" s="2">
        <v>22227</v>
      </c>
      <c r="E1030" s="17">
        <v>44916.01</v>
      </c>
      <c r="F1030" s="11">
        <v>6.39</v>
      </c>
      <c r="G1030" s="9">
        <v>3525.1</v>
      </c>
      <c r="H1030" s="10">
        <v>0.64300000000000002</v>
      </c>
      <c r="I1030" s="11">
        <v>6.6</v>
      </c>
    </row>
    <row r="1031" spans="1:9" x14ac:dyDescent="0.35">
      <c r="A1031" s="2" t="s">
        <v>147</v>
      </c>
      <c r="B1031" s="3">
        <v>45200</v>
      </c>
      <c r="C1031" s="2">
        <v>18</v>
      </c>
      <c r="D1031" s="2">
        <v>30513</v>
      </c>
      <c r="E1031" s="17">
        <v>63767.63</v>
      </c>
      <c r="F1031" s="11">
        <v>6.59</v>
      </c>
      <c r="G1031" s="9">
        <v>4607.8</v>
      </c>
      <c r="H1031" s="10">
        <v>0.27800000000000002</v>
      </c>
      <c r="I1031" s="11">
        <v>6.1</v>
      </c>
    </row>
    <row r="1032" spans="1:9" x14ac:dyDescent="0.35">
      <c r="A1032" s="2" t="s">
        <v>147</v>
      </c>
      <c r="B1032" s="3">
        <v>45231</v>
      </c>
      <c r="C1032" s="2">
        <v>22</v>
      </c>
      <c r="D1032" s="2">
        <v>30686</v>
      </c>
      <c r="E1032" s="17">
        <v>70163.83</v>
      </c>
      <c r="F1032" s="11">
        <v>6.57</v>
      </c>
      <c r="G1032" s="9">
        <v>4692.3999999999996</v>
      </c>
      <c r="H1032" s="10">
        <v>0.36399999999999999</v>
      </c>
      <c r="I1032" s="11">
        <v>8</v>
      </c>
    </row>
    <row r="1033" spans="1:9" x14ac:dyDescent="0.35">
      <c r="A1033" s="2" t="s">
        <v>147</v>
      </c>
      <c r="B1033" s="3">
        <v>45261</v>
      </c>
      <c r="C1033" s="2">
        <v>24</v>
      </c>
      <c r="D1033" s="2">
        <v>36032</v>
      </c>
      <c r="E1033" s="17">
        <v>77804.59</v>
      </c>
      <c r="F1033" s="11">
        <v>6.47</v>
      </c>
      <c r="G1033" s="9">
        <v>5600.8</v>
      </c>
      <c r="H1033" s="10">
        <v>0.5</v>
      </c>
      <c r="I1033" s="11">
        <v>6.6</v>
      </c>
    </row>
    <row r="1034" spans="1:9" x14ac:dyDescent="0.35">
      <c r="A1034" s="2" t="s">
        <v>147</v>
      </c>
      <c r="B1034" s="3">
        <v>45292</v>
      </c>
      <c r="C1034" s="2">
        <v>16</v>
      </c>
      <c r="D1034" s="2">
        <v>14960</v>
      </c>
      <c r="E1034" s="17">
        <v>29615.74</v>
      </c>
      <c r="F1034" s="11">
        <v>6.34</v>
      </c>
      <c r="G1034" s="9">
        <v>2357.4</v>
      </c>
      <c r="H1034" s="10">
        <v>0.375</v>
      </c>
      <c r="I1034" s="11">
        <v>7.1</v>
      </c>
    </row>
    <row r="1035" spans="1:9" x14ac:dyDescent="0.35">
      <c r="A1035" s="2" t="s">
        <v>147</v>
      </c>
      <c r="B1035" s="3">
        <v>45323</v>
      </c>
      <c r="C1035" s="2">
        <v>23</v>
      </c>
      <c r="D1035" s="2">
        <v>33620</v>
      </c>
      <c r="E1035" s="17">
        <v>77915.210000000006</v>
      </c>
      <c r="F1035" s="11">
        <v>6.53</v>
      </c>
      <c r="G1035" s="9">
        <v>5157.7</v>
      </c>
      <c r="H1035" s="10">
        <v>0.30399999999999999</v>
      </c>
      <c r="I1035" s="11">
        <v>6.4</v>
      </c>
    </row>
    <row r="1036" spans="1:9" x14ac:dyDescent="0.35">
      <c r="A1036" s="2" t="s">
        <v>147</v>
      </c>
      <c r="B1036" s="3">
        <v>45352</v>
      </c>
      <c r="C1036" s="2">
        <v>17</v>
      </c>
      <c r="D1036" s="2">
        <v>22424</v>
      </c>
      <c r="E1036" s="17">
        <v>44579.16</v>
      </c>
      <c r="F1036" s="11">
        <v>6.73</v>
      </c>
      <c r="G1036" s="9">
        <v>3445.4</v>
      </c>
      <c r="H1036" s="10">
        <v>0.41199999999999998</v>
      </c>
      <c r="I1036" s="11">
        <v>8</v>
      </c>
    </row>
    <row r="1037" spans="1:9" x14ac:dyDescent="0.35">
      <c r="A1037" s="2" t="s">
        <v>147</v>
      </c>
      <c r="B1037" s="3">
        <v>45383</v>
      </c>
      <c r="C1037" s="2">
        <v>12</v>
      </c>
      <c r="D1037" s="2">
        <v>18439</v>
      </c>
      <c r="E1037" s="17">
        <v>39938.639999999999</v>
      </c>
      <c r="F1037" s="11">
        <v>6.65</v>
      </c>
      <c r="G1037" s="9">
        <v>2791</v>
      </c>
      <c r="H1037" s="10">
        <v>0.5</v>
      </c>
      <c r="I1037" s="11">
        <v>6.7</v>
      </c>
    </row>
    <row r="1038" spans="1:9" x14ac:dyDescent="0.35">
      <c r="A1038" s="2" t="s">
        <v>147</v>
      </c>
      <c r="B1038" s="3">
        <v>45413</v>
      </c>
      <c r="C1038" s="2">
        <v>18</v>
      </c>
      <c r="D1038" s="2">
        <v>22837</v>
      </c>
      <c r="E1038" s="17">
        <v>48975.77</v>
      </c>
      <c r="F1038" s="11">
        <v>6.59</v>
      </c>
      <c r="G1038" s="9">
        <v>3546.2</v>
      </c>
      <c r="H1038" s="10">
        <v>0.55600000000000005</v>
      </c>
      <c r="I1038" s="11">
        <v>6.9</v>
      </c>
    </row>
    <row r="1039" spans="1:9" x14ac:dyDescent="0.35">
      <c r="A1039" s="2" t="s">
        <v>147</v>
      </c>
      <c r="B1039" s="3">
        <v>45444</v>
      </c>
      <c r="C1039" s="2">
        <v>17</v>
      </c>
      <c r="D1039" s="2">
        <v>18043</v>
      </c>
      <c r="E1039" s="17">
        <v>38610.83</v>
      </c>
      <c r="F1039" s="11">
        <v>6.57</v>
      </c>
      <c r="G1039" s="9">
        <v>2726.1</v>
      </c>
      <c r="H1039" s="10">
        <v>0.29399999999999998</v>
      </c>
      <c r="I1039" s="11">
        <v>6.9</v>
      </c>
    </row>
    <row r="1040" spans="1:9" x14ac:dyDescent="0.35">
      <c r="A1040" s="2" t="s">
        <v>147</v>
      </c>
      <c r="B1040" s="3">
        <v>45474</v>
      </c>
      <c r="C1040" s="2">
        <v>20</v>
      </c>
      <c r="D1040" s="2">
        <v>24901</v>
      </c>
      <c r="E1040" s="17">
        <v>51638.36</v>
      </c>
      <c r="F1040" s="11">
        <v>6.55</v>
      </c>
      <c r="G1040" s="9">
        <v>3906.9</v>
      </c>
      <c r="H1040" s="10">
        <v>0.5</v>
      </c>
      <c r="I1040" s="11">
        <v>7.8</v>
      </c>
    </row>
    <row r="1041" spans="1:9" x14ac:dyDescent="0.35">
      <c r="A1041" s="2" t="s">
        <v>147</v>
      </c>
      <c r="B1041" s="3">
        <v>45505</v>
      </c>
      <c r="C1041" s="2">
        <v>13</v>
      </c>
      <c r="D1041" s="2">
        <v>18345</v>
      </c>
      <c r="E1041" s="17">
        <v>41132.699999999997</v>
      </c>
      <c r="F1041" s="11">
        <v>6.37</v>
      </c>
      <c r="G1041" s="9">
        <v>2842.3</v>
      </c>
      <c r="H1041" s="10">
        <v>0.46200000000000002</v>
      </c>
      <c r="I1041" s="11">
        <v>6.9</v>
      </c>
    </row>
    <row r="1042" spans="1:9" x14ac:dyDescent="0.35">
      <c r="A1042" s="2" t="s">
        <v>147</v>
      </c>
      <c r="B1042" s="3">
        <v>45536</v>
      </c>
      <c r="C1042" s="2">
        <v>20</v>
      </c>
      <c r="D1042" s="2">
        <v>29239</v>
      </c>
      <c r="E1042" s="17">
        <v>64468.45</v>
      </c>
      <c r="F1042" s="11">
        <v>6.48</v>
      </c>
      <c r="G1042" s="9">
        <v>4502.6000000000004</v>
      </c>
      <c r="H1042" s="10">
        <v>0.45</v>
      </c>
      <c r="I1042" s="11">
        <v>8.1999999999999993</v>
      </c>
    </row>
    <row r="1043" spans="1:9" x14ac:dyDescent="0.35">
      <c r="A1043" s="2" t="s">
        <v>147</v>
      </c>
      <c r="B1043" s="3">
        <v>45566</v>
      </c>
      <c r="C1043" s="2">
        <v>17</v>
      </c>
      <c r="D1043" s="2">
        <v>18253</v>
      </c>
      <c r="E1043" s="17">
        <v>36801.53</v>
      </c>
      <c r="F1043" s="11">
        <v>6.5</v>
      </c>
      <c r="G1043" s="9">
        <v>2930.6</v>
      </c>
      <c r="H1043" s="10">
        <v>0.41199999999999998</v>
      </c>
      <c r="I1043" s="11">
        <v>7.2</v>
      </c>
    </row>
    <row r="1044" spans="1:9" x14ac:dyDescent="0.35">
      <c r="A1044" s="2" t="s">
        <v>147</v>
      </c>
      <c r="B1044" s="3">
        <v>45597</v>
      </c>
      <c r="C1044" s="2">
        <v>14</v>
      </c>
      <c r="D1044" s="2">
        <v>24015</v>
      </c>
      <c r="E1044" s="17">
        <v>50877.93</v>
      </c>
      <c r="F1044" s="11">
        <v>6.64</v>
      </c>
      <c r="G1044" s="9">
        <v>3576.6</v>
      </c>
      <c r="H1044" s="10">
        <v>0.57099999999999995</v>
      </c>
      <c r="I1044" s="11">
        <v>7.3</v>
      </c>
    </row>
    <row r="1045" spans="1:9" x14ac:dyDescent="0.35">
      <c r="A1045" s="2" t="s">
        <v>147</v>
      </c>
      <c r="B1045" s="3">
        <v>45627</v>
      </c>
      <c r="C1045" s="2">
        <v>16</v>
      </c>
      <c r="D1045" s="2">
        <v>24971</v>
      </c>
      <c r="E1045" s="17">
        <v>59880.5</v>
      </c>
      <c r="F1045" s="11">
        <v>6.35</v>
      </c>
      <c r="G1045" s="9">
        <v>3941.3</v>
      </c>
      <c r="H1045" s="10">
        <v>0.5</v>
      </c>
      <c r="I1045" s="11">
        <v>6.8</v>
      </c>
    </row>
    <row r="1046" spans="1:9" x14ac:dyDescent="0.35">
      <c r="A1046" s="2" t="s">
        <v>149</v>
      </c>
      <c r="B1046" s="3">
        <v>44562</v>
      </c>
      <c r="C1046" s="2">
        <v>17</v>
      </c>
      <c r="D1046" s="2">
        <v>26501</v>
      </c>
      <c r="E1046" s="17">
        <v>53581.120000000003</v>
      </c>
      <c r="F1046" s="11">
        <v>6.49</v>
      </c>
      <c r="G1046" s="9">
        <v>4021.1</v>
      </c>
      <c r="H1046" s="10">
        <v>0.47099999999999997</v>
      </c>
      <c r="I1046" s="11">
        <v>6.8</v>
      </c>
    </row>
    <row r="1047" spans="1:9" x14ac:dyDescent="0.35">
      <c r="A1047" s="2" t="s">
        <v>149</v>
      </c>
      <c r="B1047" s="3">
        <v>44593</v>
      </c>
      <c r="C1047" s="2">
        <v>14</v>
      </c>
      <c r="D1047" s="2">
        <v>20671</v>
      </c>
      <c r="E1047" s="17">
        <v>45932.22</v>
      </c>
      <c r="F1047" s="11">
        <v>6.7</v>
      </c>
      <c r="G1047" s="9">
        <v>3086.3</v>
      </c>
      <c r="H1047" s="10">
        <v>0.5</v>
      </c>
      <c r="I1047" s="11">
        <v>6.7</v>
      </c>
    </row>
    <row r="1048" spans="1:9" x14ac:dyDescent="0.35">
      <c r="A1048" s="2" t="s">
        <v>149</v>
      </c>
      <c r="B1048" s="3">
        <v>44621</v>
      </c>
      <c r="C1048" s="2">
        <v>19</v>
      </c>
      <c r="D1048" s="2">
        <v>25759</v>
      </c>
      <c r="E1048" s="17">
        <v>54630.86</v>
      </c>
      <c r="F1048" s="11">
        <v>6.72</v>
      </c>
      <c r="G1048" s="9">
        <v>3868.6</v>
      </c>
      <c r="H1048" s="10">
        <v>0.57899999999999996</v>
      </c>
      <c r="I1048" s="11">
        <v>7.7</v>
      </c>
    </row>
    <row r="1049" spans="1:9" x14ac:dyDescent="0.35">
      <c r="A1049" s="2" t="s">
        <v>149</v>
      </c>
      <c r="B1049" s="3">
        <v>44652</v>
      </c>
      <c r="C1049" s="2">
        <v>11</v>
      </c>
      <c r="D1049" s="2">
        <v>14988</v>
      </c>
      <c r="E1049" s="17">
        <v>29589.88</v>
      </c>
      <c r="F1049" s="11">
        <v>6.43</v>
      </c>
      <c r="G1049" s="9">
        <v>2374</v>
      </c>
      <c r="H1049" s="10">
        <v>0.63600000000000001</v>
      </c>
      <c r="I1049" s="11">
        <v>6.5</v>
      </c>
    </row>
    <row r="1050" spans="1:9" x14ac:dyDescent="0.35">
      <c r="A1050" s="2" t="s">
        <v>149</v>
      </c>
      <c r="B1050" s="3">
        <v>44682</v>
      </c>
      <c r="C1050" s="2">
        <v>12</v>
      </c>
      <c r="D1050" s="2">
        <v>18400</v>
      </c>
      <c r="E1050" s="17">
        <v>40224.83</v>
      </c>
      <c r="F1050" s="11">
        <v>6.87</v>
      </c>
      <c r="G1050" s="9">
        <v>2601.1</v>
      </c>
      <c r="H1050" s="10">
        <v>0.33300000000000002</v>
      </c>
      <c r="I1050" s="11">
        <v>7.6</v>
      </c>
    </row>
    <row r="1051" spans="1:9" x14ac:dyDescent="0.35">
      <c r="A1051" s="2" t="s">
        <v>149</v>
      </c>
      <c r="B1051" s="3">
        <v>44713</v>
      </c>
      <c r="C1051" s="2">
        <v>13</v>
      </c>
      <c r="D1051" s="2">
        <v>20322</v>
      </c>
      <c r="E1051" s="17">
        <v>45671.22</v>
      </c>
      <c r="F1051" s="11">
        <v>6.15</v>
      </c>
      <c r="G1051" s="9">
        <v>3267.4</v>
      </c>
      <c r="H1051" s="10">
        <v>0.69199999999999995</v>
      </c>
      <c r="I1051" s="11">
        <v>7.7</v>
      </c>
    </row>
    <row r="1052" spans="1:9" x14ac:dyDescent="0.35">
      <c r="A1052" s="2" t="s">
        <v>149</v>
      </c>
      <c r="B1052" s="3">
        <v>44743</v>
      </c>
      <c r="C1052" s="2">
        <v>13</v>
      </c>
      <c r="D1052" s="2">
        <v>16806</v>
      </c>
      <c r="E1052" s="17">
        <v>35720.949999999997</v>
      </c>
      <c r="F1052" s="11">
        <v>6.42</v>
      </c>
      <c r="G1052" s="9">
        <v>2616</v>
      </c>
      <c r="H1052" s="10">
        <v>0.53800000000000003</v>
      </c>
      <c r="I1052" s="11">
        <v>8.9</v>
      </c>
    </row>
    <row r="1053" spans="1:9" x14ac:dyDescent="0.35">
      <c r="A1053" s="2" t="s">
        <v>149</v>
      </c>
      <c r="B1053" s="3">
        <v>44774</v>
      </c>
      <c r="C1053" s="2">
        <v>14</v>
      </c>
      <c r="D1053" s="2">
        <v>27653</v>
      </c>
      <c r="E1053" s="17">
        <v>55321.52</v>
      </c>
      <c r="F1053" s="11">
        <v>6.45</v>
      </c>
      <c r="G1053" s="9">
        <v>4365.6000000000004</v>
      </c>
      <c r="H1053" s="10">
        <v>0.35699999999999998</v>
      </c>
      <c r="I1053" s="11">
        <v>7.7</v>
      </c>
    </row>
    <row r="1054" spans="1:9" x14ac:dyDescent="0.35">
      <c r="A1054" s="2" t="s">
        <v>149</v>
      </c>
      <c r="B1054" s="3">
        <v>44805</v>
      </c>
      <c r="C1054" s="2">
        <v>19</v>
      </c>
      <c r="D1054" s="2">
        <v>22671</v>
      </c>
      <c r="E1054" s="17">
        <v>47083.7</v>
      </c>
      <c r="F1054" s="11">
        <v>6.31</v>
      </c>
      <c r="G1054" s="9">
        <v>3623.1</v>
      </c>
      <c r="H1054" s="10">
        <v>0.36799999999999999</v>
      </c>
      <c r="I1054" s="11">
        <v>6.6</v>
      </c>
    </row>
    <row r="1055" spans="1:9" x14ac:dyDescent="0.35">
      <c r="A1055" s="2" t="s">
        <v>149</v>
      </c>
      <c r="B1055" s="3">
        <v>44835</v>
      </c>
      <c r="C1055" s="2">
        <v>22</v>
      </c>
      <c r="D1055" s="2">
        <v>34166</v>
      </c>
      <c r="E1055" s="17">
        <v>72765.59</v>
      </c>
      <c r="F1055" s="11">
        <v>6.36</v>
      </c>
      <c r="G1055" s="9">
        <v>5424.4</v>
      </c>
      <c r="H1055" s="10">
        <v>0.27300000000000002</v>
      </c>
      <c r="I1055" s="11">
        <v>6.9</v>
      </c>
    </row>
    <row r="1056" spans="1:9" x14ac:dyDescent="0.35">
      <c r="A1056" s="2" t="s">
        <v>149</v>
      </c>
      <c r="B1056" s="3">
        <v>44866</v>
      </c>
      <c r="C1056" s="2">
        <v>18</v>
      </c>
      <c r="D1056" s="2">
        <v>27118</v>
      </c>
      <c r="E1056" s="17">
        <v>58163.68</v>
      </c>
      <c r="F1056" s="11">
        <v>6.52</v>
      </c>
      <c r="G1056" s="9">
        <v>4111.3999999999996</v>
      </c>
      <c r="H1056" s="10">
        <v>0.38900000000000001</v>
      </c>
      <c r="I1056" s="11">
        <v>6.6</v>
      </c>
    </row>
    <row r="1057" spans="1:9" x14ac:dyDescent="0.35">
      <c r="A1057" s="2" t="s">
        <v>149</v>
      </c>
      <c r="B1057" s="3">
        <v>44896</v>
      </c>
      <c r="C1057" s="2">
        <v>21</v>
      </c>
      <c r="D1057" s="2">
        <v>36588</v>
      </c>
      <c r="E1057" s="17">
        <v>79199.320000000007</v>
      </c>
      <c r="F1057" s="11">
        <v>6.39</v>
      </c>
      <c r="G1057" s="9">
        <v>5794.1</v>
      </c>
      <c r="H1057" s="10">
        <v>0.47599999999999998</v>
      </c>
      <c r="I1057" s="11">
        <v>6.8</v>
      </c>
    </row>
    <row r="1058" spans="1:9" x14ac:dyDescent="0.35">
      <c r="A1058" s="2" t="s">
        <v>149</v>
      </c>
      <c r="B1058" s="3">
        <v>44927</v>
      </c>
      <c r="C1058" s="2">
        <v>16</v>
      </c>
      <c r="D1058" s="2">
        <v>23030</v>
      </c>
      <c r="E1058" s="17">
        <v>48638.11</v>
      </c>
      <c r="F1058" s="11">
        <v>6.63</v>
      </c>
      <c r="G1058" s="9">
        <v>3498.6</v>
      </c>
      <c r="H1058" s="10">
        <v>0.25</v>
      </c>
      <c r="I1058" s="11">
        <v>5.4</v>
      </c>
    </row>
    <row r="1059" spans="1:9" x14ac:dyDescent="0.35">
      <c r="A1059" s="2" t="s">
        <v>149</v>
      </c>
      <c r="B1059" s="3">
        <v>44958</v>
      </c>
      <c r="C1059" s="2">
        <v>24</v>
      </c>
      <c r="D1059" s="2">
        <v>39023</v>
      </c>
      <c r="E1059" s="17">
        <v>81697.399999999994</v>
      </c>
      <c r="F1059" s="11">
        <v>6.54</v>
      </c>
      <c r="G1059" s="9">
        <v>5958.9</v>
      </c>
      <c r="H1059" s="10">
        <v>0.45800000000000002</v>
      </c>
      <c r="I1059" s="11">
        <v>6.3</v>
      </c>
    </row>
    <row r="1060" spans="1:9" x14ac:dyDescent="0.35">
      <c r="A1060" s="2" t="s">
        <v>149</v>
      </c>
      <c r="B1060" s="3">
        <v>44986</v>
      </c>
      <c r="C1060" s="2">
        <v>25</v>
      </c>
      <c r="D1060" s="2">
        <v>36265</v>
      </c>
      <c r="E1060" s="17">
        <v>74376.41</v>
      </c>
      <c r="F1060" s="11">
        <v>6.57</v>
      </c>
      <c r="G1060" s="9">
        <v>5673.1</v>
      </c>
      <c r="H1060" s="10">
        <v>0.52</v>
      </c>
      <c r="I1060" s="11">
        <v>7.2</v>
      </c>
    </row>
    <row r="1061" spans="1:9" x14ac:dyDescent="0.35">
      <c r="A1061" s="2" t="s">
        <v>149</v>
      </c>
      <c r="B1061" s="3">
        <v>45017</v>
      </c>
      <c r="C1061" s="2">
        <v>25</v>
      </c>
      <c r="D1061" s="2">
        <v>37667</v>
      </c>
      <c r="E1061" s="17">
        <v>89698.09</v>
      </c>
      <c r="F1061" s="11">
        <v>6.56</v>
      </c>
      <c r="G1061" s="9">
        <v>5731.2</v>
      </c>
      <c r="H1061" s="10">
        <v>0.68</v>
      </c>
      <c r="I1061" s="11">
        <v>6.9</v>
      </c>
    </row>
    <row r="1062" spans="1:9" x14ac:dyDescent="0.35">
      <c r="A1062" s="2" t="s">
        <v>149</v>
      </c>
      <c r="B1062" s="3">
        <v>45047</v>
      </c>
      <c r="C1062" s="2">
        <v>8</v>
      </c>
      <c r="D1062" s="2">
        <v>12365</v>
      </c>
      <c r="E1062" s="17">
        <v>29193.3</v>
      </c>
      <c r="F1062" s="11">
        <v>6.29</v>
      </c>
      <c r="G1062" s="9">
        <v>1944.6</v>
      </c>
      <c r="H1062" s="10">
        <v>0.625</v>
      </c>
      <c r="I1062" s="11">
        <v>7.2</v>
      </c>
    </row>
    <row r="1063" spans="1:9" x14ac:dyDescent="0.35">
      <c r="A1063" s="2" t="s">
        <v>149</v>
      </c>
      <c r="B1063" s="3">
        <v>45078</v>
      </c>
      <c r="C1063" s="2">
        <v>20</v>
      </c>
      <c r="D1063" s="2">
        <v>29085</v>
      </c>
      <c r="E1063" s="17">
        <v>63439.53</v>
      </c>
      <c r="F1063" s="11">
        <v>6.39</v>
      </c>
      <c r="G1063" s="9">
        <v>4640.7</v>
      </c>
      <c r="H1063" s="10">
        <v>0.3</v>
      </c>
      <c r="I1063" s="11">
        <v>6.7</v>
      </c>
    </row>
    <row r="1064" spans="1:9" x14ac:dyDescent="0.35">
      <c r="A1064" s="2" t="s">
        <v>149</v>
      </c>
      <c r="B1064" s="3">
        <v>45108</v>
      </c>
      <c r="C1064" s="2">
        <v>20</v>
      </c>
      <c r="D1064" s="2">
        <v>33387</v>
      </c>
      <c r="E1064" s="17">
        <v>68321.58</v>
      </c>
      <c r="F1064" s="11">
        <v>6.6</v>
      </c>
      <c r="G1064" s="9">
        <v>5037.7</v>
      </c>
      <c r="H1064" s="10">
        <v>0.6</v>
      </c>
      <c r="I1064" s="11">
        <v>7</v>
      </c>
    </row>
    <row r="1065" spans="1:9" x14ac:dyDescent="0.35">
      <c r="A1065" s="2" t="s">
        <v>149</v>
      </c>
      <c r="B1065" s="3">
        <v>45139</v>
      </c>
      <c r="C1065" s="2">
        <v>13</v>
      </c>
      <c r="D1065" s="2">
        <v>15799</v>
      </c>
      <c r="E1065" s="17">
        <v>32734.2</v>
      </c>
      <c r="F1065" s="11">
        <v>6.86</v>
      </c>
      <c r="G1065" s="9">
        <v>2295.6</v>
      </c>
      <c r="H1065" s="10">
        <v>0.23100000000000001</v>
      </c>
      <c r="I1065" s="11">
        <v>6.6</v>
      </c>
    </row>
    <row r="1066" spans="1:9" x14ac:dyDescent="0.35">
      <c r="A1066" s="2" t="s">
        <v>149</v>
      </c>
      <c r="B1066" s="3">
        <v>45170</v>
      </c>
      <c r="C1066" s="2">
        <v>17</v>
      </c>
      <c r="D1066" s="2">
        <v>27295</v>
      </c>
      <c r="E1066" s="17">
        <v>54986.37</v>
      </c>
      <c r="F1066" s="11">
        <v>6.46</v>
      </c>
      <c r="G1066" s="9">
        <v>4263.1000000000004</v>
      </c>
      <c r="H1066" s="10">
        <v>0.41199999999999998</v>
      </c>
      <c r="I1066" s="11">
        <v>6.9</v>
      </c>
    </row>
    <row r="1067" spans="1:9" x14ac:dyDescent="0.35">
      <c r="A1067" s="2" t="s">
        <v>149</v>
      </c>
      <c r="B1067" s="3">
        <v>45200</v>
      </c>
      <c r="C1067" s="2">
        <v>18</v>
      </c>
      <c r="D1067" s="2">
        <v>28677</v>
      </c>
      <c r="E1067" s="17">
        <v>63448.15</v>
      </c>
      <c r="F1067" s="11">
        <v>6.49</v>
      </c>
      <c r="G1067" s="9">
        <v>4469.3</v>
      </c>
      <c r="H1067" s="10">
        <v>0.55600000000000005</v>
      </c>
      <c r="I1067" s="11">
        <v>5.9</v>
      </c>
    </row>
    <row r="1068" spans="1:9" x14ac:dyDescent="0.35">
      <c r="A1068" s="2" t="s">
        <v>149</v>
      </c>
      <c r="B1068" s="3">
        <v>45231</v>
      </c>
      <c r="C1068" s="2">
        <v>13</v>
      </c>
      <c r="D1068" s="2">
        <v>20460</v>
      </c>
      <c r="E1068" s="17">
        <v>41439.78</v>
      </c>
      <c r="F1068" s="11">
        <v>6.9</v>
      </c>
      <c r="G1068" s="9">
        <v>2918.8</v>
      </c>
      <c r="H1068" s="10">
        <v>0.46200000000000002</v>
      </c>
      <c r="I1068" s="11">
        <v>7.3</v>
      </c>
    </row>
    <row r="1069" spans="1:9" x14ac:dyDescent="0.35">
      <c r="A1069" s="2" t="s">
        <v>149</v>
      </c>
      <c r="B1069" s="3">
        <v>45261</v>
      </c>
      <c r="C1069" s="2">
        <v>15</v>
      </c>
      <c r="D1069" s="2">
        <v>20261</v>
      </c>
      <c r="E1069" s="17">
        <v>42198.96</v>
      </c>
      <c r="F1069" s="11">
        <v>6.62</v>
      </c>
      <c r="G1069" s="9">
        <v>3085.2</v>
      </c>
      <c r="H1069" s="10">
        <v>0.53300000000000003</v>
      </c>
      <c r="I1069" s="11">
        <v>7.9</v>
      </c>
    </row>
    <row r="1070" spans="1:9" x14ac:dyDescent="0.35">
      <c r="A1070" s="2" t="s">
        <v>149</v>
      </c>
      <c r="B1070" s="3">
        <v>45292</v>
      </c>
      <c r="C1070" s="2">
        <v>20</v>
      </c>
      <c r="D1070" s="2">
        <v>18414</v>
      </c>
      <c r="E1070" s="17">
        <v>36965.79</v>
      </c>
      <c r="F1070" s="11">
        <v>6.2</v>
      </c>
      <c r="G1070" s="9">
        <v>3024</v>
      </c>
      <c r="H1070" s="10">
        <v>0.15</v>
      </c>
      <c r="I1070" s="11">
        <v>6.8</v>
      </c>
    </row>
    <row r="1071" spans="1:9" x14ac:dyDescent="0.35">
      <c r="A1071" s="2" t="s">
        <v>149</v>
      </c>
      <c r="B1071" s="3">
        <v>45323</v>
      </c>
      <c r="C1071" s="2">
        <v>16</v>
      </c>
      <c r="D1071" s="2">
        <v>20946</v>
      </c>
      <c r="E1071" s="17">
        <v>40399.230000000003</v>
      </c>
      <c r="F1071" s="11">
        <v>6.1</v>
      </c>
      <c r="G1071" s="9">
        <v>3505.6</v>
      </c>
      <c r="H1071" s="10">
        <v>0.375</v>
      </c>
      <c r="I1071" s="11">
        <v>7.2</v>
      </c>
    </row>
    <row r="1072" spans="1:9" x14ac:dyDescent="0.35">
      <c r="A1072" s="2" t="s">
        <v>149</v>
      </c>
      <c r="B1072" s="3">
        <v>45352</v>
      </c>
      <c r="C1072" s="2">
        <v>21</v>
      </c>
      <c r="D1072" s="2">
        <v>29410</v>
      </c>
      <c r="E1072" s="17">
        <v>62250.57</v>
      </c>
      <c r="F1072" s="11">
        <v>6.68</v>
      </c>
      <c r="G1072" s="9">
        <v>4426.6000000000004</v>
      </c>
      <c r="H1072" s="10">
        <v>0.52400000000000002</v>
      </c>
      <c r="I1072" s="11">
        <v>6.8</v>
      </c>
    </row>
    <row r="1073" spans="1:9" x14ac:dyDescent="0.35">
      <c r="A1073" s="2" t="s">
        <v>149</v>
      </c>
      <c r="B1073" s="3">
        <v>45383</v>
      </c>
      <c r="C1073" s="2">
        <v>14</v>
      </c>
      <c r="D1073" s="2">
        <v>25501</v>
      </c>
      <c r="E1073" s="17">
        <v>53908.84</v>
      </c>
      <c r="F1073" s="11">
        <v>6.69</v>
      </c>
      <c r="G1073" s="9">
        <v>3812.7</v>
      </c>
      <c r="H1073" s="10">
        <v>0.64300000000000002</v>
      </c>
      <c r="I1073" s="11">
        <v>7.1</v>
      </c>
    </row>
    <row r="1074" spans="1:9" x14ac:dyDescent="0.35">
      <c r="A1074" s="2" t="s">
        <v>149</v>
      </c>
      <c r="B1074" s="3">
        <v>45413</v>
      </c>
      <c r="C1074" s="2">
        <v>17</v>
      </c>
      <c r="D1074" s="2">
        <v>18762</v>
      </c>
      <c r="E1074" s="17">
        <v>40456.480000000003</v>
      </c>
      <c r="F1074" s="11">
        <v>6.46</v>
      </c>
      <c r="G1074" s="9">
        <v>2962.8</v>
      </c>
      <c r="H1074" s="10">
        <v>0.47099999999999997</v>
      </c>
      <c r="I1074" s="11">
        <v>8.8000000000000007</v>
      </c>
    </row>
    <row r="1075" spans="1:9" x14ac:dyDescent="0.35">
      <c r="A1075" s="2" t="s">
        <v>149</v>
      </c>
      <c r="B1075" s="3">
        <v>45444</v>
      </c>
      <c r="C1075" s="2">
        <v>17</v>
      </c>
      <c r="D1075" s="2">
        <v>23126</v>
      </c>
      <c r="E1075" s="17">
        <v>51039.3</v>
      </c>
      <c r="F1075" s="11">
        <v>6.47</v>
      </c>
      <c r="G1075" s="9">
        <v>3538.1</v>
      </c>
      <c r="H1075" s="10">
        <v>0.29399999999999998</v>
      </c>
      <c r="I1075" s="11">
        <v>7.6</v>
      </c>
    </row>
    <row r="1076" spans="1:9" x14ac:dyDescent="0.35">
      <c r="A1076" s="2" t="s">
        <v>149</v>
      </c>
      <c r="B1076" s="3">
        <v>45474</v>
      </c>
      <c r="C1076" s="2">
        <v>16</v>
      </c>
      <c r="D1076" s="2">
        <v>21832</v>
      </c>
      <c r="E1076" s="17">
        <v>49432.07</v>
      </c>
      <c r="F1076" s="11">
        <v>6.51</v>
      </c>
      <c r="G1076" s="9">
        <v>3335</v>
      </c>
      <c r="H1076" s="10">
        <v>0.438</v>
      </c>
      <c r="I1076" s="11">
        <v>8.4</v>
      </c>
    </row>
    <row r="1077" spans="1:9" x14ac:dyDescent="0.35">
      <c r="A1077" s="2" t="s">
        <v>149</v>
      </c>
      <c r="B1077" s="3">
        <v>45505</v>
      </c>
      <c r="C1077" s="2">
        <v>29</v>
      </c>
      <c r="D1077" s="2">
        <v>34179</v>
      </c>
      <c r="E1077" s="17">
        <v>72465.38</v>
      </c>
      <c r="F1077" s="11">
        <v>6.39</v>
      </c>
      <c r="G1077" s="9">
        <v>5384.4</v>
      </c>
      <c r="H1077" s="10">
        <v>0.44800000000000001</v>
      </c>
      <c r="I1077" s="11">
        <v>6.6</v>
      </c>
    </row>
    <row r="1078" spans="1:9" x14ac:dyDescent="0.35">
      <c r="A1078" s="2" t="s">
        <v>149</v>
      </c>
      <c r="B1078" s="3">
        <v>45536</v>
      </c>
      <c r="C1078" s="2">
        <v>15</v>
      </c>
      <c r="D1078" s="2">
        <v>19063</v>
      </c>
      <c r="E1078" s="17">
        <v>41673.01</v>
      </c>
      <c r="F1078" s="11">
        <v>6.38</v>
      </c>
      <c r="G1078" s="9">
        <v>3047</v>
      </c>
      <c r="H1078" s="10">
        <v>0.46700000000000003</v>
      </c>
      <c r="I1078" s="11">
        <v>7.2</v>
      </c>
    </row>
    <row r="1079" spans="1:9" x14ac:dyDescent="0.35">
      <c r="A1079" s="2" t="s">
        <v>149</v>
      </c>
      <c r="B1079" s="3">
        <v>45566</v>
      </c>
      <c r="C1079" s="2">
        <v>15</v>
      </c>
      <c r="D1079" s="2">
        <v>18137</v>
      </c>
      <c r="E1079" s="17">
        <v>40899</v>
      </c>
      <c r="F1079" s="11">
        <v>6.71</v>
      </c>
      <c r="G1079" s="9">
        <v>2715.8</v>
      </c>
      <c r="H1079" s="10">
        <v>0.66700000000000004</v>
      </c>
      <c r="I1079" s="11">
        <v>6.7</v>
      </c>
    </row>
    <row r="1080" spans="1:9" x14ac:dyDescent="0.35">
      <c r="A1080" s="2" t="s">
        <v>149</v>
      </c>
      <c r="B1080" s="3">
        <v>45597</v>
      </c>
      <c r="C1080" s="2">
        <v>17</v>
      </c>
      <c r="D1080" s="2">
        <v>28235</v>
      </c>
      <c r="E1080" s="17">
        <v>54131.17</v>
      </c>
      <c r="F1080" s="11">
        <v>6.57</v>
      </c>
      <c r="G1080" s="9">
        <v>4249.2</v>
      </c>
      <c r="H1080" s="10">
        <v>0.52900000000000003</v>
      </c>
      <c r="I1080" s="11">
        <v>7.1</v>
      </c>
    </row>
    <row r="1081" spans="1:9" x14ac:dyDescent="0.35">
      <c r="A1081" s="2" t="s">
        <v>149</v>
      </c>
      <c r="B1081" s="3">
        <v>45627</v>
      </c>
      <c r="C1081" s="2">
        <v>23</v>
      </c>
      <c r="D1081" s="2">
        <v>38166</v>
      </c>
      <c r="E1081" s="17">
        <v>83243.039999999994</v>
      </c>
      <c r="F1081" s="11">
        <v>6.35</v>
      </c>
      <c r="G1081" s="9">
        <v>6097.1</v>
      </c>
      <c r="H1081" s="10">
        <v>0.60899999999999999</v>
      </c>
      <c r="I1081" s="11">
        <v>6.8</v>
      </c>
    </row>
    <row r="1082" spans="1:9" x14ac:dyDescent="0.35">
      <c r="A1082" s="2" t="s">
        <v>152</v>
      </c>
      <c r="B1082" s="3">
        <v>44562</v>
      </c>
      <c r="C1082" s="2">
        <v>29</v>
      </c>
      <c r="D1082" s="2">
        <v>37319</v>
      </c>
      <c r="E1082" s="17">
        <v>79220.179999999993</v>
      </c>
      <c r="F1082" s="11">
        <v>6.58</v>
      </c>
      <c r="G1082" s="9">
        <v>5702</v>
      </c>
      <c r="H1082" s="10">
        <v>0.41399999999999998</v>
      </c>
      <c r="I1082" s="11">
        <v>5.9</v>
      </c>
    </row>
    <row r="1083" spans="1:9" x14ac:dyDescent="0.35">
      <c r="A1083" s="2" t="s">
        <v>152</v>
      </c>
      <c r="B1083" s="3">
        <v>44593</v>
      </c>
      <c r="C1083" s="2">
        <v>22</v>
      </c>
      <c r="D1083" s="2">
        <v>35992</v>
      </c>
      <c r="E1083" s="17">
        <v>72103.17</v>
      </c>
      <c r="F1083" s="11">
        <v>6.66</v>
      </c>
      <c r="G1083" s="9">
        <v>5450.5</v>
      </c>
      <c r="H1083" s="10">
        <v>0.45500000000000002</v>
      </c>
      <c r="I1083" s="11">
        <v>7.2</v>
      </c>
    </row>
    <row r="1084" spans="1:9" x14ac:dyDescent="0.35">
      <c r="A1084" s="2" t="s">
        <v>152</v>
      </c>
      <c r="B1084" s="3">
        <v>44621</v>
      </c>
      <c r="C1084" s="2">
        <v>23</v>
      </c>
      <c r="D1084" s="2">
        <v>32638</v>
      </c>
      <c r="E1084" s="17">
        <v>63461.87</v>
      </c>
      <c r="F1084" s="11">
        <v>6.51</v>
      </c>
      <c r="G1084" s="9">
        <v>5000.3</v>
      </c>
      <c r="H1084" s="10">
        <v>0.47799999999999998</v>
      </c>
      <c r="I1084" s="11">
        <v>6.8</v>
      </c>
    </row>
    <row r="1085" spans="1:9" x14ac:dyDescent="0.35">
      <c r="A1085" s="2" t="s">
        <v>152</v>
      </c>
      <c r="B1085" s="3">
        <v>44652</v>
      </c>
      <c r="C1085" s="2">
        <v>15</v>
      </c>
      <c r="D1085" s="2">
        <v>19308</v>
      </c>
      <c r="E1085" s="17">
        <v>41281.15</v>
      </c>
      <c r="F1085" s="11">
        <v>6.33</v>
      </c>
      <c r="G1085" s="9">
        <v>3085.4</v>
      </c>
      <c r="H1085" s="10">
        <v>0.46700000000000003</v>
      </c>
      <c r="I1085" s="11">
        <v>6.7</v>
      </c>
    </row>
    <row r="1086" spans="1:9" x14ac:dyDescent="0.35">
      <c r="A1086" s="2" t="s">
        <v>152</v>
      </c>
      <c r="B1086" s="3">
        <v>44682</v>
      </c>
      <c r="C1086" s="2">
        <v>18</v>
      </c>
      <c r="D1086" s="2">
        <v>25161</v>
      </c>
      <c r="E1086" s="17">
        <v>53330.42</v>
      </c>
      <c r="F1086" s="11">
        <v>6.52</v>
      </c>
      <c r="G1086" s="9">
        <v>3861.6</v>
      </c>
      <c r="H1086" s="10">
        <v>0.55600000000000005</v>
      </c>
      <c r="I1086" s="11">
        <v>7.4</v>
      </c>
    </row>
    <row r="1087" spans="1:9" x14ac:dyDescent="0.35">
      <c r="A1087" s="2" t="s">
        <v>152</v>
      </c>
      <c r="B1087" s="3">
        <v>44713</v>
      </c>
      <c r="C1087" s="2">
        <v>27</v>
      </c>
      <c r="D1087" s="2">
        <v>41960</v>
      </c>
      <c r="E1087" s="17">
        <v>89712.15</v>
      </c>
      <c r="F1087" s="11">
        <v>6.58</v>
      </c>
      <c r="G1087" s="9">
        <v>6404.1</v>
      </c>
      <c r="H1087" s="10">
        <v>0.33300000000000002</v>
      </c>
      <c r="I1087" s="11">
        <v>6.8</v>
      </c>
    </row>
    <row r="1088" spans="1:9" x14ac:dyDescent="0.35">
      <c r="A1088" s="2" t="s">
        <v>152</v>
      </c>
      <c r="B1088" s="3">
        <v>44743</v>
      </c>
      <c r="C1088" s="2">
        <v>21</v>
      </c>
      <c r="D1088" s="2">
        <v>31713</v>
      </c>
      <c r="E1088" s="17">
        <v>68633.84</v>
      </c>
      <c r="F1088" s="11">
        <v>6.62</v>
      </c>
      <c r="G1088" s="9">
        <v>4867.8999999999996</v>
      </c>
      <c r="H1088" s="10">
        <v>0.57099999999999995</v>
      </c>
      <c r="I1088" s="11">
        <v>7.2</v>
      </c>
    </row>
    <row r="1089" spans="1:9" x14ac:dyDescent="0.35">
      <c r="A1089" s="2" t="s">
        <v>152</v>
      </c>
      <c r="B1089" s="3">
        <v>44774</v>
      </c>
      <c r="C1089" s="2">
        <v>19</v>
      </c>
      <c r="D1089" s="2">
        <v>29394</v>
      </c>
      <c r="E1089" s="17">
        <v>62354.36</v>
      </c>
      <c r="F1089" s="11">
        <v>6.57</v>
      </c>
      <c r="G1089" s="9">
        <v>4480.5</v>
      </c>
      <c r="H1089" s="10">
        <v>0.52600000000000002</v>
      </c>
      <c r="I1089" s="11">
        <v>7.5</v>
      </c>
    </row>
    <row r="1090" spans="1:9" x14ac:dyDescent="0.35">
      <c r="A1090" s="2" t="s">
        <v>152</v>
      </c>
      <c r="B1090" s="3">
        <v>44805</v>
      </c>
      <c r="C1090" s="2">
        <v>19</v>
      </c>
      <c r="D1090" s="2">
        <v>27668</v>
      </c>
      <c r="E1090" s="17">
        <v>55121.52</v>
      </c>
      <c r="F1090" s="11">
        <v>6.73</v>
      </c>
      <c r="G1090" s="9">
        <v>4149.3999999999996</v>
      </c>
      <c r="H1090" s="10">
        <v>0.316</v>
      </c>
      <c r="I1090" s="11">
        <v>7.3</v>
      </c>
    </row>
    <row r="1091" spans="1:9" x14ac:dyDescent="0.35">
      <c r="A1091" s="2" t="s">
        <v>152</v>
      </c>
      <c r="B1091" s="3">
        <v>44835</v>
      </c>
      <c r="C1091" s="2">
        <v>22</v>
      </c>
      <c r="D1091" s="2">
        <v>36560</v>
      </c>
      <c r="E1091" s="17">
        <v>77812.67</v>
      </c>
      <c r="F1091" s="11">
        <v>6.5</v>
      </c>
      <c r="G1091" s="9">
        <v>5710.9</v>
      </c>
      <c r="H1091" s="10">
        <v>0.27300000000000002</v>
      </c>
      <c r="I1091" s="11">
        <v>6.8</v>
      </c>
    </row>
    <row r="1092" spans="1:9" x14ac:dyDescent="0.35">
      <c r="A1092" s="2" t="s">
        <v>152</v>
      </c>
      <c r="B1092" s="3">
        <v>44866</v>
      </c>
      <c r="C1092" s="2">
        <v>18</v>
      </c>
      <c r="D1092" s="2">
        <v>20450</v>
      </c>
      <c r="E1092" s="17">
        <v>44884.37</v>
      </c>
      <c r="F1092" s="11">
        <v>6.32</v>
      </c>
      <c r="G1092" s="9">
        <v>3259.1</v>
      </c>
      <c r="H1092" s="10">
        <v>0.72199999999999998</v>
      </c>
      <c r="I1092" s="11">
        <v>6.3</v>
      </c>
    </row>
    <row r="1093" spans="1:9" x14ac:dyDescent="0.35">
      <c r="A1093" s="2" t="s">
        <v>152</v>
      </c>
      <c r="B1093" s="3">
        <v>44896</v>
      </c>
      <c r="C1093" s="2">
        <v>19</v>
      </c>
      <c r="D1093" s="2">
        <v>28428</v>
      </c>
      <c r="E1093" s="17">
        <v>64751.45</v>
      </c>
      <c r="F1093" s="11">
        <v>6.6</v>
      </c>
      <c r="G1093" s="9">
        <v>4331</v>
      </c>
      <c r="H1093" s="10">
        <v>0.68400000000000005</v>
      </c>
      <c r="I1093" s="11">
        <v>6.5</v>
      </c>
    </row>
    <row r="1094" spans="1:9" x14ac:dyDescent="0.35">
      <c r="A1094" s="2" t="s">
        <v>152</v>
      </c>
      <c r="B1094" s="3">
        <v>44927</v>
      </c>
      <c r="C1094" s="2">
        <v>19</v>
      </c>
      <c r="D1094" s="2">
        <v>22391</v>
      </c>
      <c r="E1094" s="17">
        <v>45074.85</v>
      </c>
      <c r="F1094" s="11">
        <v>6.76</v>
      </c>
      <c r="G1094" s="9">
        <v>3393.7</v>
      </c>
      <c r="H1094" s="10">
        <v>0.36799999999999999</v>
      </c>
      <c r="I1094" s="11">
        <v>6.7</v>
      </c>
    </row>
    <row r="1095" spans="1:9" x14ac:dyDescent="0.35">
      <c r="A1095" s="2" t="s">
        <v>152</v>
      </c>
      <c r="B1095" s="3">
        <v>44958</v>
      </c>
      <c r="C1095" s="2">
        <v>22</v>
      </c>
      <c r="D1095" s="2">
        <v>37865</v>
      </c>
      <c r="E1095" s="17">
        <v>82407</v>
      </c>
      <c r="F1095" s="11">
        <v>6.54</v>
      </c>
      <c r="G1095" s="9">
        <v>5815.9</v>
      </c>
      <c r="H1095" s="10">
        <v>0.54500000000000004</v>
      </c>
      <c r="I1095" s="11">
        <v>7.4</v>
      </c>
    </row>
    <row r="1096" spans="1:9" x14ac:dyDescent="0.35">
      <c r="A1096" s="2" t="s">
        <v>152</v>
      </c>
      <c r="B1096" s="3">
        <v>44986</v>
      </c>
      <c r="C1096" s="2">
        <v>23</v>
      </c>
      <c r="D1096" s="2">
        <v>35631</v>
      </c>
      <c r="E1096" s="17">
        <v>74052.44</v>
      </c>
      <c r="F1096" s="11">
        <v>6.47</v>
      </c>
      <c r="G1096" s="9">
        <v>5490.9</v>
      </c>
      <c r="H1096" s="10">
        <v>0.47799999999999998</v>
      </c>
      <c r="I1096" s="11">
        <v>7.3</v>
      </c>
    </row>
    <row r="1097" spans="1:9" x14ac:dyDescent="0.35">
      <c r="A1097" s="2" t="s">
        <v>152</v>
      </c>
      <c r="B1097" s="3">
        <v>45017</v>
      </c>
      <c r="C1097" s="2">
        <v>14</v>
      </c>
      <c r="D1097" s="2">
        <v>17611</v>
      </c>
      <c r="E1097" s="17">
        <v>38481.69</v>
      </c>
      <c r="F1097" s="11">
        <v>6.41</v>
      </c>
      <c r="G1097" s="9">
        <v>2808.3</v>
      </c>
      <c r="H1097" s="10">
        <v>0.5</v>
      </c>
      <c r="I1097" s="11">
        <v>7.8</v>
      </c>
    </row>
    <row r="1098" spans="1:9" x14ac:dyDescent="0.35">
      <c r="A1098" s="2" t="s">
        <v>152</v>
      </c>
      <c r="B1098" s="3">
        <v>45047</v>
      </c>
      <c r="C1098" s="2">
        <v>15</v>
      </c>
      <c r="D1098" s="2">
        <v>15229</v>
      </c>
      <c r="E1098" s="17">
        <v>33315.06</v>
      </c>
      <c r="F1098" s="11">
        <v>6.51</v>
      </c>
      <c r="G1098" s="9">
        <v>2363.5</v>
      </c>
      <c r="H1098" s="10">
        <v>0.66700000000000004</v>
      </c>
      <c r="I1098" s="11">
        <v>5.9</v>
      </c>
    </row>
    <row r="1099" spans="1:9" x14ac:dyDescent="0.35">
      <c r="A1099" s="2" t="s">
        <v>152</v>
      </c>
      <c r="B1099" s="3">
        <v>45078</v>
      </c>
      <c r="C1099" s="2">
        <v>16</v>
      </c>
      <c r="D1099" s="2">
        <v>25338</v>
      </c>
      <c r="E1099" s="17">
        <v>60115.47</v>
      </c>
      <c r="F1099" s="11">
        <v>6.81</v>
      </c>
      <c r="G1099" s="9">
        <v>3700.6</v>
      </c>
      <c r="H1099" s="10">
        <v>0.5</v>
      </c>
      <c r="I1099" s="11">
        <v>8</v>
      </c>
    </row>
    <row r="1100" spans="1:9" x14ac:dyDescent="0.35">
      <c r="A1100" s="2" t="s">
        <v>152</v>
      </c>
      <c r="B1100" s="3">
        <v>45108</v>
      </c>
      <c r="C1100" s="2">
        <v>20</v>
      </c>
      <c r="D1100" s="2">
        <v>28170</v>
      </c>
      <c r="E1100" s="17">
        <v>64750.37</v>
      </c>
      <c r="F1100" s="11">
        <v>6.54</v>
      </c>
      <c r="G1100" s="9">
        <v>4339.3999999999996</v>
      </c>
      <c r="H1100" s="10">
        <v>0.55000000000000004</v>
      </c>
      <c r="I1100" s="11">
        <v>7.4</v>
      </c>
    </row>
    <row r="1101" spans="1:9" x14ac:dyDescent="0.35">
      <c r="A1101" s="2" t="s">
        <v>152</v>
      </c>
      <c r="B1101" s="3">
        <v>45139</v>
      </c>
      <c r="C1101" s="2">
        <v>21</v>
      </c>
      <c r="D1101" s="2">
        <v>32408</v>
      </c>
      <c r="E1101" s="17">
        <v>69867.75</v>
      </c>
      <c r="F1101" s="11">
        <v>6.48</v>
      </c>
      <c r="G1101" s="9">
        <v>4961.3999999999996</v>
      </c>
      <c r="H1101" s="10">
        <v>0.38100000000000001</v>
      </c>
      <c r="I1101" s="11">
        <v>7.5</v>
      </c>
    </row>
    <row r="1102" spans="1:9" x14ac:dyDescent="0.35">
      <c r="A1102" s="2" t="s">
        <v>152</v>
      </c>
      <c r="B1102" s="3">
        <v>45170</v>
      </c>
      <c r="C1102" s="2">
        <v>16</v>
      </c>
      <c r="D1102" s="2">
        <v>25995</v>
      </c>
      <c r="E1102" s="17">
        <v>51939.64</v>
      </c>
      <c r="F1102" s="11">
        <v>6.55</v>
      </c>
      <c r="G1102" s="9">
        <v>3958.4</v>
      </c>
      <c r="H1102" s="10">
        <v>0.68799999999999994</v>
      </c>
      <c r="I1102" s="11">
        <v>7.4</v>
      </c>
    </row>
    <row r="1103" spans="1:9" x14ac:dyDescent="0.35">
      <c r="A1103" s="2" t="s">
        <v>152</v>
      </c>
      <c r="B1103" s="3">
        <v>45200</v>
      </c>
      <c r="C1103" s="2">
        <v>25</v>
      </c>
      <c r="D1103" s="2">
        <v>40205</v>
      </c>
      <c r="E1103" s="17">
        <v>88362.62</v>
      </c>
      <c r="F1103" s="11">
        <v>6.56</v>
      </c>
      <c r="G1103" s="9">
        <v>6142</v>
      </c>
      <c r="H1103" s="10">
        <v>0.6</v>
      </c>
      <c r="I1103" s="11">
        <v>7.3</v>
      </c>
    </row>
    <row r="1104" spans="1:9" x14ac:dyDescent="0.35">
      <c r="A1104" s="2" t="s">
        <v>152</v>
      </c>
      <c r="B1104" s="3">
        <v>45231</v>
      </c>
      <c r="C1104" s="2">
        <v>19</v>
      </c>
      <c r="D1104" s="2">
        <v>27652</v>
      </c>
      <c r="E1104" s="17">
        <v>59035.03</v>
      </c>
      <c r="F1104" s="11">
        <v>6.42</v>
      </c>
      <c r="G1104" s="9">
        <v>4364.3</v>
      </c>
      <c r="H1104" s="10">
        <v>0.42099999999999999</v>
      </c>
      <c r="I1104" s="11">
        <v>6.8</v>
      </c>
    </row>
    <row r="1105" spans="1:9" x14ac:dyDescent="0.35">
      <c r="A1105" s="2" t="s">
        <v>152</v>
      </c>
      <c r="B1105" s="3">
        <v>45261</v>
      </c>
      <c r="C1105" s="2">
        <v>11</v>
      </c>
      <c r="D1105" s="2">
        <v>13930</v>
      </c>
      <c r="E1105" s="17">
        <v>30290.79</v>
      </c>
      <c r="F1105" s="11">
        <v>6.54</v>
      </c>
      <c r="G1105" s="9">
        <v>2105.8000000000002</v>
      </c>
      <c r="H1105" s="10">
        <v>0.45500000000000002</v>
      </c>
      <c r="I1105" s="11">
        <v>7.7</v>
      </c>
    </row>
    <row r="1106" spans="1:9" x14ac:dyDescent="0.35">
      <c r="A1106" s="2" t="s">
        <v>152</v>
      </c>
      <c r="B1106" s="3">
        <v>45292</v>
      </c>
      <c r="C1106" s="2">
        <v>23</v>
      </c>
      <c r="D1106" s="2">
        <v>35588</v>
      </c>
      <c r="E1106" s="17">
        <v>71578.990000000005</v>
      </c>
      <c r="F1106" s="11">
        <v>6.51</v>
      </c>
      <c r="G1106" s="9">
        <v>5590.3</v>
      </c>
      <c r="H1106" s="10">
        <v>0.39100000000000001</v>
      </c>
      <c r="I1106" s="11">
        <v>7.6</v>
      </c>
    </row>
    <row r="1107" spans="1:9" x14ac:dyDescent="0.35">
      <c r="A1107" s="2" t="s">
        <v>152</v>
      </c>
      <c r="B1107" s="3">
        <v>45323</v>
      </c>
      <c r="C1107" s="2">
        <v>16</v>
      </c>
      <c r="D1107" s="2">
        <v>23395</v>
      </c>
      <c r="E1107" s="17">
        <v>48640.51</v>
      </c>
      <c r="F1107" s="11">
        <v>6.5</v>
      </c>
      <c r="G1107" s="9">
        <v>3687.9</v>
      </c>
      <c r="H1107" s="10">
        <v>0.438</v>
      </c>
      <c r="I1107" s="11">
        <v>6.8</v>
      </c>
    </row>
    <row r="1108" spans="1:9" x14ac:dyDescent="0.35">
      <c r="A1108" s="2" t="s">
        <v>152</v>
      </c>
      <c r="B1108" s="3">
        <v>45352</v>
      </c>
      <c r="C1108" s="2">
        <v>16</v>
      </c>
      <c r="D1108" s="2">
        <v>26203</v>
      </c>
      <c r="E1108" s="17">
        <v>58874.33</v>
      </c>
      <c r="F1108" s="11">
        <v>6.32</v>
      </c>
      <c r="G1108" s="9">
        <v>4176.3999999999996</v>
      </c>
      <c r="H1108" s="10">
        <v>0.375</v>
      </c>
      <c r="I1108" s="11">
        <v>6.1</v>
      </c>
    </row>
    <row r="1109" spans="1:9" x14ac:dyDescent="0.35">
      <c r="A1109" s="2" t="s">
        <v>152</v>
      </c>
      <c r="B1109" s="3">
        <v>45383</v>
      </c>
      <c r="C1109" s="2">
        <v>19</v>
      </c>
      <c r="D1109" s="2">
        <v>29169</v>
      </c>
      <c r="E1109" s="17">
        <v>64892.23</v>
      </c>
      <c r="F1109" s="11">
        <v>6.55</v>
      </c>
      <c r="G1109" s="9">
        <v>4395.8</v>
      </c>
      <c r="H1109" s="10">
        <v>0.26300000000000001</v>
      </c>
      <c r="I1109" s="11">
        <v>6.8</v>
      </c>
    </row>
    <row r="1110" spans="1:9" x14ac:dyDescent="0.35">
      <c r="A1110" s="2" t="s">
        <v>152</v>
      </c>
      <c r="B1110" s="3">
        <v>45413</v>
      </c>
      <c r="C1110" s="2">
        <v>16</v>
      </c>
      <c r="D1110" s="2">
        <v>24166</v>
      </c>
      <c r="E1110" s="17">
        <v>51888.92</v>
      </c>
      <c r="F1110" s="11">
        <v>6.59</v>
      </c>
      <c r="G1110" s="9">
        <v>3710.8</v>
      </c>
      <c r="H1110" s="10">
        <v>0.625</v>
      </c>
      <c r="I1110" s="11">
        <v>7.2</v>
      </c>
    </row>
    <row r="1111" spans="1:9" x14ac:dyDescent="0.35">
      <c r="A1111" s="2" t="s">
        <v>152</v>
      </c>
      <c r="B1111" s="3">
        <v>45444</v>
      </c>
      <c r="C1111" s="2">
        <v>23</v>
      </c>
      <c r="D1111" s="2">
        <v>35992</v>
      </c>
      <c r="E1111" s="17">
        <v>76618.55</v>
      </c>
      <c r="F1111" s="11">
        <v>6.5</v>
      </c>
      <c r="G1111" s="9">
        <v>5583.8</v>
      </c>
      <c r="H1111" s="10">
        <v>0.39100000000000001</v>
      </c>
      <c r="I1111" s="11">
        <v>7.1</v>
      </c>
    </row>
    <row r="1112" spans="1:9" x14ac:dyDescent="0.35">
      <c r="A1112" s="2" t="s">
        <v>152</v>
      </c>
      <c r="B1112" s="3">
        <v>45474</v>
      </c>
      <c r="C1112" s="2">
        <v>30</v>
      </c>
      <c r="D1112" s="2">
        <v>46305</v>
      </c>
      <c r="E1112" s="17">
        <v>96942.65</v>
      </c>
      <c r="F1112" s="11">
        <v>6.46</v>
      </c>
      <c r="G1112" s="9">
        <v>7210.9</v>
      </c>
      <c r="H1112" s="10">
        <v>0.36699999999999999</v>
      </c>
      <c r="I1112" s="11">
        <v>7.1</v>
      </c>
    </row>
    <row r="1113" spans="1:9" x14ac:dyDescent="0.35">
      <c r="A1113" s="2" t="s">
        <v>152</v>
      </c>
      <c r="B1113" s="3">
        <v>45505</v>
      </c>
      <c r="C1113" s="2">
        <v>17</v>
      </c>
      <c r="D1113" s="2">
        <v>18410</v>
      </c>
      <c r="E1113" s="17">
        <v>42585.02</v>
      </c>
      <c r="F1113" s="11">
        <v>6.28</v>
      </c>
      <c r="G1113" s="9">
        <v>2943.6</v>
      </c>
      <c r="H1113" s="10">
        <v>0.52900000000000003</v>
      </c>
      <c r="I1113" s="11">
        <v>6.1</v>
      </c>
    </row>
    <row r="1114" spans="1:9" x14ac:dyDescent="0.35">
      <c r="A1114" s="2" t="s">
        <v>152</v>
      </c>
      <c r="B1114" s="3">
        <v>45536</v>
      </c>
      <c r="C1114" s="2">
        <v>15</v>
      </c>
      <c r="D1114" s="2">
        <v>21654</v>
      </c>
      <c r="E1114" s="17">
        <v>44867.54</v>
      </c>
      <c r="F1114" s="11">
        <v>6.43</v>
      </c>
      <c r="G1114" s="9">
        <v>3382.5</v>
      </c>
      <c r="H1114" s="10">
        <v>0.46700000000000003</v>
      </c>
      <c r="I1114" s="11">
        <v>7.4</v>
      </c>
    </row>
    <row r="1115" spans="1:9" x14ac:dyDescent="0.35">
      <c r="A1115" s="2" t="s">
        <v>152</v>
      </c>
      <c r="B1115" s="3">
        <v>45566</v>
      </c>
      <c r="C1115" s="2">
        <v>24</v>
      </c>
      <c r="D1115" s="2">
        <v>34202</v>
      </c>
      <c r="E1115" s="17">
        <v>75932.850000000006</v>
      </c>
      <c r="F1115" s="11">
        <v>6.36</v>
      </c>
      <c r="G1115" s="9">
        <v>5423.3</v>
      </c>
      <c r="H1115" s="10">
        <v>0.5</v>
      </c>
      <c r="I1115" s="11">
        <v>6.8</v>
      </c>
    </row>
    <row r="1116" spans="1:9" x14ac:dyDescent="0.35">
      <c r="A1116" s="2" t="s">
        <v>152</v>
      </c>
      <c r="B1116" s="3">
        <v>45597</v>
      </c>
      <c r="C1116" s="2">
        <v>7</v>
      </c>
      <c r="D1116" s="2">
        <v>11331</v>
      </c>
      <c r="E1116" s="17">
        <v>24733.3</v>
      </c>
      <c r="F1116" s="11">
        <v>6.64</v>
      </c>
      <c r="G1116" s="9">
        <v>1732.2</v>
      </c>
      <c r="H1116" s="10">
        <v>0.71399999999999997</v>
      </c>
      <c r="I1116" s="11">
        <v>7.5</v>
      </c>
    </row>
    <row r="1117" spans="1:9" x14ac:dyDescent="0.35">
      <c r="A1117" s="2" t="s">
        <v>152</v>
      </c>
      <c r="B1117" s="3">
        <v>45627</v>
      </c>
      <c r="C1117" s="2">
        <v>17</v>
      </c>
      <c r="D1117" s="2">
        <v>22278</v>
      </c>
      <c r="E1117" s="17">
        <v>51533.39</v>
      </c>
      <c r="F1117" s="11">
        <v>6.61</v>
      </c>
      <c r="G1117" s="9">
        <v>3348.8</v>
      </c>
      <c r="H1117" s="10">
        <v>0.64700000000000002</v>
      </c>
      <c r="I1117" s="11">
        <v>6</v>
      </c>
    </row>
    <row r="1118" spans="1:9" x14ac:dyDescent="0.35">
      <c r="A1118" s="2" t="s">
        <v>154</v>
      </c>
      <c r="B1118" s="3">
        <v>44562</v>
      </c>
      <c r="C1118" s="2">
        <v>13</v>
      </c>
      <c r="D1118" s="2">
        <v>22234</v>
      </c>
      <c r="E1118" s="17">
        <v>42883.16</v>
      </c>
      <c r="F1118" s="11">
        <v>6.36</v>
      </c>
      <c r="G1118" s="9">
        <v>3582.3</v>
      </c>
      <c r="H1118" s="10">
        <v>0.23100000000000001</v>
      </c>
      <c r="I1118" s="11">
        <v>7.2</v>
      </c>
    </row>
    <row r="1119" spans="1:9" x14ac:dyDescent="0.35">
      <c r="A1119" s="2" t="s">
        <v>154</v>
      </c>
      <c r="B1119" s="3">
        <v>44593</v>
      </c>
      <c r="C1119" s="2">
        <v>11</v>
      </c>
      <c r="D1119" s="2">
        <v>15084</v>
      </c>
      <c r="E1119" s="17">
        <v>30502.14</v>
      </c>
      <c r="F1119" s="11">
        <v>6.64</v>
      </c>
      <c r="G1119" s="9">
        <v>2328.3000000000002</v>
      </c>
      <c r="H1119" s="10">
        <v>0.54500000000000004</v>
      </c>
      <c r="I1119" s="11">
        <v>6.4</v>
      </c>
    </row>
    <row r="1120" spans="1:9" x14ac:dyDescent="0.35">
      <c r="A1120" s="2" t="s">
        <v>154</v>
      </c>
      <c r="B1120" s="3">
        <v>44621</v>
      </c>
      <c r="C1120" s="2">
        <v>16</v>
      </c>
      <c r="D1120" s="2">
        <v>24118</v>
      </c>
      <c r="E1120" s="17">
        <v>55669.58</v>
      </c>
      <c r="F1120" s="11">
        <v>6.59</v>
      </c>
      <c r="G1120" s="9">
        <v>3716.9</v>
      </c>
      <c r="H1120" s="10">
        <v>0.375</v>
      </c>
      <c r="I1120" s="11">
        <v>6.6</v>
      </c>
    </row>
    <row r="1121" spans="1:9" x14ac:dyDescent="0.35">
      <c r="A1121" s="2" t="s">
        <v>154</v>
      </c>
      <c r="B1121" s="3">
        <v>44652</v>
      </c>
      <c r="C1121" s="2">
        <v>13</v>
      </c>
      <c r="D1121" s="2">
        <v>16807</v>
      </c>
      <c r="E1121" s="17">
        <v>38789.19</v>
      </c>
      <c r="F1121" s="11">
        <v>6.57</v>
      </c>
      <c r="G1121" s="9">
        <v>2619.3000000000002</v>
      </c>
      <c r="H1121" s="10">
        <v>0.308</v>
      </c>
      <c r="I1121" s="11">
        <v>6.9</v>
      </c>
    </row>
    <row r="1122" spans="1:9" x14ac:dyDescent="0.35">
      <c r="A1122" s="2" t="s">
        <v>154</v>
      </c>
      <c r="B1122" s="3">
        <v>44682</v>
      </c>
      <c r="C1122" s="2">
        <v>24</v>
      </c>
      <c r="D1122" s="2">
        <v>40199</v>
      </c>
      <c r="E1122" s="17">
        <v>89505.5</v>
      </c>
      <c r="F1122" s="11">
        <v>6.76</v>
      </c>
      <c r="G1122" s="9">
        <v>5978.2</v>
      </c>
      <c r="H1122" s="10">
        <v>0.45800000000000002</v>
      </c>
      <c r="I1122" s="11">
        <v>5.7</v>
      </c>
    </row>
    <row r="1123" spans="1:9" x14ac:dyDescent="0.35">
      <c r="A1123" s="2" t="s">
        <v>154</v>
      </c>
      <c r="B1123" s="3">
        <v>44713</v>
      </c>
      <c r="C1123" s="2">
        <v>13</v>
      </c>
      <c r="D1123" s="2">
        <v>17232</v>
      </c>
      <c r="E1123" s="17">
        <v>38236.559999999998</v>
      </c>
      <c r="F1123" s="11">
        <v>6.73</v>
      </c>
      <c r="G1123" s="9">
        <v>2587.6999999999998</v>
      </c>
      <c r="H1123" s="10">
        <v>0.38500000000000001</v>
      </c>
      <c r="I1123" s="11">
        <v>8.1</v>
      </c>
    </row>
    <row r="1124" spans="1:9" x14ac:dyDescent="0.35">
      <c r="A1124" s="2" t="s">
        <v>154</v>
      </c>
      <c r="B1124" s="3">
        <v>44743</v>
      </c>
      <c r="C1124" s="2">
        <v>14</v>
      </c>
      <c r="D1124" s="2">
        <v>15898</v>
      </c>
      <c r="E1124" s="17">
        <v>36623.360000000001</v>
      </c>
      <c r="F1124" s="11">
        <v>6.44</v>
      </c>
      <c r="G1124" s="9">
        <v>2524</v>
      </c>
      <c r="H1124" s="10">
        <v>0.57099999999999995</v>
      </c>
      <c r="I1124" s="11">
        <v>6.4</v>
      </c>
    </row>
    <row r="1125" spans="1:9" x14ac:dyDescent="0.35">
      <c r="A1125" s="2" t="s">
        <v>154</v>
      </c>
      <c r="B1125" s="3">
        <v>44774</v>
      </c>
      <c r="C1125" s="2">
        <v>28</v>
      </c>
      <c r="D1125" s="2">
        <v>47234</v>
      </c>
      <c r="E1125" s="17">
        <v>103340.79</v>
      </c>
      <c r="F1125" s="11">
        <v>6.47</v>
      </c>
      <c r="G1125" s="9">
        <v>7426.4</v>
      </c>
      <c r="H1125" s="10">
        <v>0.53600000000000003</v>
      </c>
      <c r="I1125" s="11">
        <v>6.1</v>
      </c>
    </row>
    <row r="1126" spans="1:9" x14ac:dyDescent="0.35">
      <c r="A1126" s="2" t="s">
        <v>154</v>
      </c>
      <c r="B1126" s="3">
        <v>44805</v>
      </c>
      <c r="C1126" s="2">
        <v>15</v>
      </c>
      <c r="D1126" s="2">
        <v>22154</v>
      </c>
      <c r="E1126" s="17">
        <v>46805.61</v>
      </c>
      <c r="F1126" s="11">
        <v>6.18</v>
      </c>
      <c r="G1126" s="9">
        <v>3694.7</v>
      </c>
      <c r="H1126" s="10">
        <v>0.2</v>
      </c>
      <c r="I1126" s="11">
        <v>7</v>
      </c>
    </row>
    <row r="1127" spans="1:9" x14ac:dyDescent="0.35">
      <c r="A1127" s="2" t="s">
        <v>154</v>
      </c>
      <c r="B1127" s="3">
        <v>44835</v>
      </c>
      <c r="C1127" s="2">
        <v>19</v>
      </c>
      <c r="D1127" s="2">
        <v>30811</v>
      </c>
      <c r="E1127" s="17">
        <v>69924.02</v>
      </c>
      <c r="F1127" s="11">
        <v>6.79</v>
      </c>
      <c r="G1127" s="9">
        <v>4546.6000000000004</v>
      </c>
      <c r="H1127" s="10">
        <v>0.57899999999999996</v>
      </c>
      <c r="I1127" s="11">
        <v>6.9</v>
      </c>
    </row>
    <row r="1128" spans="1:9" x14ac:dyDescent="0.35">
      <c r="A1128" s="2" t="s">
        <v>154</v>
      </c>
      <c r="B1128" s="3">
        <v>44866</v>
      </c>
      <c r="C1128" s="2">
        <v>20</v>
      </c>
      <c r="D1128" s="2">
        <v>28940</v>
      </c>
      <c r="E1128" s="17">
        <v>59971.06</v>
      </c>
      <c r="F1128" s="11">
        <v>6.62</v>
      </c>
      <c r="G1128" s="9">
        <v>4383.6000000000004</v>
      </c>
      <c r="H1128" s="10">
        <v>0.45</v>
      </c>
      <c r="I1128" s="11">
        <v>6.4</v>
      </c>
    </row>
    <row r="1129" spans="1:9" x14ac:dyDescent="0.35">
      <c r="A1129" s="2" t="s">
        <v>154</v>
      </c>
      <c r="B1129" s="3">
        <v>44896</v>
      </c>
      <c r="C1129" s="2">
        <v>23</v>
      </c>
      <c r="D1129" s="2">
        <v>23413</v>
      </c>
      <c r="E1129" s="17">
        <v>45702.81</v>
      </c>
      <c r="F1129" s="11">
        <v>6.55</v>
      </c>
      <c r="G1129" s="9">
        <v>3604.8</v>
      </c>
      <c r="H1129" s="10">
        <v>0.435</v>
      </c>
      <c r="I1129" s="11">
        <v>7.9</v>
      </c>
    </row>
    <row r="1130" spans="1:9" x14ac:dyDescent="0.35">
      <c r="A1130" s="2" t="s">
        <v>154</v>
      </c>
      <c r="B1130" s="3">
        <v>44927</v>
      </c>
      <c r="C1130" s="2">
        <v>26</v>
      </c>
      <c r="D1130" s="2">
        <v>39528</v>
      </c>
      <c r="E1130" s="17">
        <v>82358.960000000006</v>
      </c>
      <c r="F1130" s="11">
        <v>6.54</v>
      </c>
      <c r="G1130" s="9">
        <v>6269.1</v>
      </c>
      <c r="H1130" s="10">
        <v>0.42299999999999999</v>
      </c>
      <c r="I1130" s="11">
        <v>7.6</v>
      </c>
    </row>
    <row r="1131" spans="1:9" x14ac:dyDescent="0.35">
      <c r="A1131" s="2" t="s">
        <v>154</v>
      </c>
      <c r="B1131" s="3">
        <v>44958</v>
      </c>
      <c r="C1131" s="2">
        <v>19</v>
      </c>
      <c r="D1131" s="2">
        <v>31277</v>
      </c>
      <c r="E1131" s="17">
        <v>66331.59</v>
      </c>
      <c r="F1131" s="11">
        <v>6.57</v>
      </c>
      <c r="G1131" s="9">
        <v>4896.2</v>
      </c>
      <c r="H1131" s="10">
        <v>0.42099999999999999</v>
      </c>
      <c r="I1131" s="11">
        <v>7</v>
      </c>
    </row>
    <row r="1132" spans="1:9" x14ac:dyDescent="0.35">
      <c r="A1132" s="2" t="s">
        <v>154</v>
      </c>
      <c r="B1132" s="3">
        <v>44986</v>
      </c>
      <c r="C1132" s="2">
        <v>17</v>
      </c>
      <c r="D1132" s="2">
        <v>19591</v>
      </c>
      <c r="E1132" s="17">
        <v>42973.88</v>
      </c>
      <c r="F1132" s="11">
        <v>6.44</v>
      </c>
      <c r="G1132" s="9">
        <v>3060.9</v>
      </c>
      <c r="H1132" s="10">
        <v>0.35299999999999998</v>
      </c>
      <c r="I1132" s="11">
        <v>7.5</v>
      </c>
    </row>
    <row r="1133" spans="1:9" x14ac:dyDescent="0.35">
      <c r="A1133" s="2" t="s">
        <v>154</v>
      </c>
      <c r="B1133" s="3">
        <v>45017</v>
      </c>
      <c r="C1133" s="2">
        <v>20</v>
      </c>
      <c r="D1133" s="2">
        <v>25677</v>
      </c>
      <c r="E1133" s="17">
        <v>52263.54</v>
      </c>
      <c r="F1133" s="11">
        <v>6.41</v>
      </c>
      <c r="G1133" s="9">
        <v>4072.2</v>
      </c>
      <c r="H1133" s="10">
        <v>0.4</v>
      </c>
      <c r="I1133" s="11">
        <v>6.7</v>
      </c>
    </row>
    <row r="1134" spans="1:9" x14ac:dyDescent="0.35">
      <c r="A1134" s="2" t="s">
        <v>154</v>
      </c>
      <c r="B1134" s="3">
        <v>45047</v>
      </c>
      <c r="C1134" s="2">
        <v>24</v>
      </c>
      <c r="D1134" s="2">
        <v>33795</v>
      </c>
      <c r="E1134" s="17">
        <v>73378.05</v>
      </c>
      <c r="F1134" s="11">
        <v>6.43</v>
      </c>
      <c r="G1134" s="9">
        <v>5224.8</v>
      </c>
      <c r="H1134" s="10">
        <v>0.41699999999999998</v>
      </c>
      <c r="I1134" s="11">
        <v>6.8</v>
      </c>
    </row>
    <row r="1135" spans="1:9" x14ac:dyDescent="0.35">
      <c r="A1135" s="2" t="s">
        <v>154</v>
      </c>
      <c r="B1135" s="3">
        <v>45078</v>
      </c>
      <c r="C1135" s="2">
        <v>20</v>
      </c>
      <c r="D1135" s="2">
        <v>30348</v>
      </c>
      <c r="E1135" s="17">
        <v>60450.95</v>
      </c>
      <c r="F1135" s="11">
        <v>6.5</v>
      </c>
      <c r="G1135" s="9">
        <v>4728.6000000000004</v>
      </c>
      <c r="H1135" s="10">
        <v>0.45</v>
      </c>
      <c r="I1135" s="11">
        <v>7.6</v>
      </c>
    </row>
    <row r="1136" spans="1:9" x14ac:dyDescent="0.35">
      <c r="A1136" s="2" t="s">
        <v>154</v>
      </c>
      <c r="B1136" s="3">
        <v>45108</v>
      </c>
      <c r="C1136" s="2">
        <v>28</v>
      </c>
      <c r="D1136" s="2">
        <v>38671</v>
      </c>
      <c r="E1136" s="17">
        <v>83936.36</v>
      </c>
      <c r="F1136" s="11">
        <v>6.65</v>
      </c>
      <c r="G1136" s="9">
        <v>5829.9</v>
      </c>
      <c r="H1136" s="10">
        <v>0.5</v>
      </c>
      <c r="I1136" s="11">
        <v>6.3</v>
      </c>
    </row>
    <row r="1137" spans="1:9" x14ac:dyDescent="0.35">
      <c r="A1137" s="2" t="s">
        <v>154</v>
      </c>
      <c r="B1137" s="3">
        <v>45139</v>
      </c>
      <c r="C1137" s="2">
        <v>31</v>
      </c>
      <c r="D1137" s="2">
        <v>42912</v>
      </c>
      <c r="E1137" s="17">
        <v>91719.67</v>
      </c>
      <c r="F1137" s="11">
        <v>6.37</v>
      </c>
      <c r="G1137" s="9">
        <v>6832.9</v>
      </c>
      <c r="H1137" s="10">
        <v>0.35499999999999998</v>
      </c>
      <c r="I1137" s="11">
        <v>6.8</v>
      </c>
    </row>
    <row r="1138" spans="1:9" x14ac:dyDescent="0.35">
      <c r="A1138" s="2" t="s">
        <v>154</v>
      </c>
      <c r="B1138" s="3">
        <v>45170</v>
      </c>
      <c r="C1138" s="2">
        <v>19</v>
      </c>
      <c r="D1138" s="2">
        <v>29771</v>
      </c>
      <c r="E1138" s="17">
        <v>56975.21</v>
      </c>
      <c r="F1138" s="11">
        <v>6.59</v>
      </c>
      <c r="G1138" s="9">
        <v>4640.2</v>
      </c>
      <c r="H1138" s="10">
        <v>0.63200000000000001</v>
      </c>
      <c r="I1138" s="11">
        <v>6.7</v>
      </c>
    </row>
    <row r="1139" spans="1:9" x14ac:dyDescent="0.35">
      <c r="A1139" s="2" t="s">
        <v>154</v>
      </c>
      <c r="B1139" s="3">
        <v>45200</v>
      </c>
      <c r="C1139" s="2">
        <v>16</v>
      </c>
      <c r="D1139" s="2">
        <v>23111</v>
      </c>
      <c r="E1139" s="17">
        <v>49101.46</v>
      </c>
      <c r="F1139" s="11">
        <v>6.48</v>
      </c>
      <c r="G1139" s="9">
        <v>3541.5</v>
      </c>
      <c r="H1139" s="10">
        <v>0.375</v>
      </c>
      <c r="I1139" s="11">
        <v>5.9</v>
      </c>
    </row>
    <row r="1140" spans="1:9" x14ac:dyDescent="0.35">
      <c r="A1140" s="2" t="s">
        <v>154</v>
      </c>
      <c r="B1140" s="3">
        <v>45231</v>
      </c>
      <c r="C1140" s="2">
        <v>10</v>
      </c>
      <c r="D1140" s="2">
        <v>15515</v>
      </c>
      <c r="E1140" s="17">
        <v>33228.019999999997</v>
      </c>
      <c r="F1140" s="11">
        <v>6.75</v>
      </c>
      <c r="G1140" s="9">
        <v>2245.1</v>
      </c>
      <c r="H1140" s="10">
        <v>0.6</v>
      </c>
      <c r="I1140" s="11">
        <v>7</v>
      </c>
    </row>
    <row r="1141" spans="1:9" x14ac:dyDescent="0.35">
      <c r="A1141" s="2" t="s">
        <v>154</v>
      </c>
      <c r="B1141" s="3">
        <v>45261</v>
      </c>
      <c r="C1141" s="2">
        <v>18</v>
      </c>
      <c r="D1141" s="2">
        <v>27712</v>
      </c>
      <c r="E1141" s="17">
        <v>59699.360000000001</v>
      </c>
      <c r="F1141" s="11">
        <v>6.42</v>
      </c>
      <c r="G1141" s="9">
        <v>4296.8999999999996</v>
      </c>
      <c r="H1141" s="10">
        <v>0.66700000000000004</v>
      </c>
      <c r="I1141" s="11">
        <v>7</v>
      </c>
    </row>
    <row r="1142" spans="1:9" x14ac:dyDescent="0.35">
      <c r="A1142" s="2" t="s">
        <v>154</v>
      </c>
      <c r="B1142" s="3">
        <v>45292</v>
      </c>
      <c r="C1142" s="2">
        <v>25</v>
      </c>
      <c r="D1142" s="2">
        <v>31878</v>
      </c>
      <c r="E1142" s="17">
        <v>74528.91</v>
      </c>
      <c r="F1142" s="11">
        <v>6.45</v>
      </c>
      <c r="G1142" s="9">
        <v>4989.3999999999996</v>
      </c>
      <c r="H1142" s="10">
        <v>0.44</v>
      </c>
      <c r="I1142" s="11">
        <v>6.9</v>
      </c>
    </row>
    <row r="1143" spans="1:9" x14ac:dyDescent="0.35">
      <c r="A1143" s="2" t="s">
        <v>154</v>
      </c>
      <c r="B1143" s="3">
        <v>45323</v>
      </c>
      <c r="C1143" s="2">
        <v>23</v>
      </c>
      <c r="D1143" s="2">
        <v>26137</v>
      </c>
      <c r="E1143" s="17">
        <v>51981.52</v>
      </c>
      <c r="F1143" s="11">
        <v>6.59</v>
      </c>
      <c r="G1143" s="9">
        <v>3990.5</v>
      </c>
      <c r="H1143" s="10">
        <v>0.56499999999999995</v>
      </c>
      <c r="I1143" s="11">
        <v>6.8</v>
      </c>
    </row>
    <row r="1144" spans="1:9" x14ac:dyDescent="0.35">
      <c r="A1144" s="2" t="s">
        <v>154</v>
      </c>
      <c r="B1144" s="3">
        <v>45352</v>
      </c>
      <c r="C1144" s="2">
        <v>22</v>
      </c>
      <c r="D1144" s="2">
        <v>23077</v>
      </c>
      <c r="E1144" s="17">
        <v>47843.16</v>
      </c>
      <c r="F1144" s="11">
        <v>6.47</v>
      </c>
      <c r="G1144" s="9">
        <v>3602.8</v>
      </c>
      <c r="H1144" s="10">
        <v>0.27300000000000002</v>
      </c>
      <c r="I1144" s="11">
        <v>6.4</v>
      </c>
    </row>
    <row r="1145" spans="1:9" x14ac:dyDescent="0.35">
      <c r="A1145" s="2" t="s">
        <v>154</v>
      </c>
      <c r="B1145" s="3">
        <v>45383</v>
      </c>
      <c r="C1145" s="2">
        <v>14</v>
      </c>
      <c r="D1145" s="2">
        <v>19576</v>
      </c>
      <c r="E1145" s="17">
        <v>39791.1</v>
      </c>
      <c r="F1145" s="11">
        <v>6.64</v>
      </c>
      <c r="G1145" s="9">
        <v>2939.8</v>
      </c>
      <c r="H1145" s="10">
        <v>0.5</v>
      </c>
      <c r="I1145" s="11">
        <v>8.3000000000000007</v>
      </c>
    </row>
    <row r="1146" spans="1:9" x14ac:dyDescent="0.35">
      <c r="A1146" s="2" t="s">
        <v>154</v>
      </c>
      <c r="B1146" s="3">
        <v>45413</v>
      </c>
      <c r="C1146" s="2">
        <v>26</v>
      </c>
      <c r="D1146" s="2">
        <v>39637</v>
      </c>
      <c r="E1146" s="17">
        <v>86857.98</v>
      </c>
      <c r="F1146" s="11">
        <v>6.4</v>
      </c>
      <c r="G1146" s="9">
        <v>6354.6</v>
      </c>
      <c r="H1146" s="10">
        <v>0.192</v>
      </c>
      <c r="I1146" s="11">
        <v>6.9</v>
      </c>
    </row>
    <row r="1147" spans="1:9" x14ac:dyDescent="0.35">
      <c r="A1147" s="2" t="s">
        <v>154</v>
      </c>
      <c r="B1147" s="3">
        <v>45444</v>
      </c>
      <c r="C1147" s="2">
        <v>17</v>
      </c>
      <c r="D1147" s="2">
        <v>32653</v>
      </c>
      <c r="E1147" s="17">
        <v>71354.94</v>
      </c>
      <c r="F1147" s="11">
        <v>6.64</v>
      </c>
      <c r="G1147" s="9">
        <v>5024.8</v>
      </c>
      <c r="H1147" s="10">
        <v>0.52900000000000003</v>
      </c>
      <c r="I1147" s="11">
        <v>7.4</v>
      </c>
    </row>
    <row r="1148" spans="1:9" x14ac:dyDescent="0.35">
      <c r="A1148" s="2" t="s">
        <v>154</v>
      </c>
      <c r="B1148" s="3">
        <v>45474</v>
      </c>
      <c r="C1148" s="2">
        <v>11</v>
      </c>
      <c r="D1148" s="2">
        <v>19133</v>
      </c>
      <c r="E1148" s="17">
        <v>41493.93</v>
      </c>
      <c r="F1148" s="11">
        <v>6.48</v>
      </c>
      <c r="G1148" s="9">
        <v>2908.7</v>
      </c>
      <c r="H1148" s="10">
        <v>0.54500000000000004</v>
      </c>
      <c r="I1148" s="11">
        <v>7.1</v>
      </c>
    </row>
    <row r="1149" spans="1:9" x14ac:dyDescent="0.35">
      <c r="A1149" s="2" t="s">
        <v>154</v>
      </c>
      <c r="B1149" s="3">
        <v>45505</v>
      </c>
      <c r="C1149" s="2">
        <v>15</v>
      </c>
      <c r="D1149" s="2">
        <v>17194</v>
      </c>
      <c r="E1149" s="17">
        <v>37858.67</v>
      </c>
      <c r="F1149" s="11">
        <v>6.86</v>
      </c>
      <c r="G1149" s="9">
        <v>2498.3000000000002</v>
      </c>
      <c r="H1149" s="10">
        <v>0.26700000000000002</v>
      </c>
      <c r="I1149" s="11">
        <v>7.5</v>
      </c>
    </row>
    <row r="1150" spans="1:9" x14ac:dyDescent="0.35">
      <c r="A1150" s="2" t="s">
        <v>154</v>
      </c>
      <c r="B1150" s="3">
        <v>45536</v>
      </c>
      <c r="C1150" s="2">
        <v>24</v>
      </c>
      <c r="D1150" s="2">
        <v>37961</v>
      </c>
      <c r="E1150" s="17">
        <v>75691.37</v>
      </c>
      <c r="F1150" s="11">
        <v>6.76</v>
      </c>
      <c r="G1150" s="9">
        <v>5690.6</v>
      </c>
      <c r="H1150" s="10">
        <v>0.125</v>
      </c>
      <c r="I1150" s="11">
        <v>6.3</v>
      </c>
    </row>
    <row r="1151" spans="1:9" x14ac:dyDescent="0.35">
      <c r="A1151" s="2" t="s">
        <v>154</v>
      </c>
      <c r="B1151" s="3">
        <v>45566</v>
      </c>
      <c r="C1151" s="2">
        <v>24</v>
      </c>
      <c r="D1151" s="2">
        <v>43726</v>
      </c>
      <c r="E1151" s="17">
        <v>99365.74</v>
      </c>
      <c r="F1151" s="11">
        <v>6.48</v>
      </c>
      <c r="G1151" s="9">
        <v>6815.2</v>
      </c>
      <c r="H1151" s="10">
        <v>0.58299999999999996</v>
      </c>
      <c r="I1151" s="11">
        <v>7.1</v>
      </c>
    </row>
    <row r="1152" spans="1:9" x14ac:dyDescent="0.35">
      <c r="A1152" s="2" t="s">
        <v>154</v>
      </c>
      <c r="B1152" s="3">
        <v>45597</v>
      </c>
      <c r="C1152" s="2">
        <v>16</v>
      </c>
      <c r="D1152" s="2">
        <v>29700</v>
      </c>
      <c r="E1152" s="17">
        <v>61193.72</v>
      </c>
      <c r="F1152" s="11">
        <v>6.41</v>
      </c>
      <c r="G1152" s="9">
        <v>4708.3999999999996</v>
      </c>
      <c r="H1152" s="10">
        <v>0.625</v>
      </c>
      <c r="I1152" s="11">
        <v>7.2</v>
      </c>
    </row>
    <row r="1153" spans="1:9" x14ac:dyDescent="0.35">
      <c r="A1153" s="2" t="s">
        <v>154</v>
      </c>
      <c r="B1153" s="3">
        <v>45627</v>
      </c>
      <c r="C1153" s="2">
        <v>16</v>
      </c>
      <c r="D1153" s="2">
        <v>25585</v>
      </c>
      <c r="E1153" s="17">
        <v>57752.61</v>
      </c>
      <c r="F1153" s="11">
        <v>6.5</v>
      </c>
      <c r="G1153" s="9">
        <v>3967.1</v>
      </c>
      <c r="H1153" s="10">
        <v>0.56200000000000006</v>
      </c>
      <c r="I1153" s="11">
        <v>6.4</v>
      </c>
    </row>
    <row r="1154" spans="1:9" x14ac:dyDescent="0.35">
      <c r="A1154" s="2" t="s">
        <v>157</v>
      </c>
      <c r="B1154" s="3">
        <v>44562</v>
      </c>
      <c r="C1154" s="2">
        <v>16</v>
      </c>
      <c r="D1154" s="2">
        <v>23893</v>
      </c>
      <c r="E1154" s="17">
        <v>47953.06</v>
      </c>
      <c r="F1154" s="11">
        <v>6.4</v>
      </c>
      <c r="G1154" s="9">
        <v>3788.2</v>
      </c>
      <c r="H1154" s="10">
        <v>0.375</v>
      </c>
      <c r="I1154" s="11">
        <v>7.1</v>
      </c>
    </row>
    <row r="1155" spans="1:9" x14ac:dyDescent="0.35">
      <c r="A1155" s="2" t="s">
        <v>157</v>
      </c>
      <c r="B1155" s="3">
        <v>44593</v>
      </c>
      <c r="C1155" s="2">
        <v>17</v>
      </c>
      <c r="D1155" s="2">
        <v>26211</v>
      </c>
      <c r="E1155" s="17">
        <v>56551.38</v>
      </c>
      <c r="F1155" s="11">
        <v>6.47</v>
      </c>
      <c r="G1155" s="9">
        <v>4057.8</v>
      </c>
      <c r="H1155" s="10">
        <v>0.41199999999999998</v>
      </c>
      <c r="I1155" s="11">
        <v>7.4</v>
      </c>
    </row>
    <row r="1156" spans="1:9" x14ac:dyDescent="0.35">
      <c r="A1156" s="2" t="s">
        <v>157</v>
      </c>
      <c r="B1156" s="3">
        <v>44621</v>
      </c>
      <c r="C1156" s="2">
        <v>18</v>
      </c>
      <c r="D1156" s="2">
        <v>30681</v>
      </c>
      <c r="E1156" s="17">
        <v>62972.86</v>
      </c>
      <c r="F1156" s="11">
        <v>6.72</v>
      </c>
      <c r="G1156" s="9">
        <v>4677.8</v>
      </c>
      <c r="H1156" s="10">
        <v>0.27800000000000002</v>
      </c>
      <c r="I1156" s="11">
        <v>7.1</v>
      </c>
    </row>
    <row r="1157" spans="1:9" x14ac:dyDescent="0.35">
      <c r="A1157" s="2" t="s">
        <v>157</v>
      </c>
      <c r="B1157" s="3">
        <v>44652</v>
      </c>
      <c r="C1157" s="2">
        <v>18</v>
      </c>
      <c r="D1157" s="2">
        <v>26404</v>
      </c>
      <c r="E1157" s="17">
        <v>60109.33</v>
      </c>
      <c r="F1157" s="11">
        <v>6.55</v>
      </c>
      <c r="G1157" s="9">
        <v>3998.2</v>
      </c>
      <c r="H1157" s="10">
        <v>0.72199999999999998</v>
      </c>
      <c r="I1157" s="11">
        <v>6.7</v>
      </c>
    </row>
    <row r="1158" spans="1:9" x14ac:dyDescent="0.35">
      <c r="A1158" s="2" t="s">
        <v>157</v>
      </c>
      <c r="B1158" s="3">
        <v>44682</v>
      </c>
      <c r="C1158" s="2">
        <v>28</v>
      </c>
      <c r="D1158" s="2">
        <v>40138</v>
      </c>
      <c r="E1158" s="17">
        <v>81676.27</v>
      </c>
      <c r="F1158" s="11">
        <v>6.51</v>
      </c>
      <c r="G1158" s="9">
        <v>6250.9</v>
      </c>
      <c r="H1158" s="10">
        <v>0.53600000000000003</v>
      </c>
      <c r="I1158" s="11">
        <v>6.6</v>
      </c>
    </row>
    <row r="1159" spans="1:9" x14ac:dyDescent="0.35">
      <c r="A1159" s="2" t="s">
        <v>157</v>
      </c>
      <c r="B1159" s="3">
        <v>44713</v>
      </c>
      <c r="C1159" s="2">
        <v>18</v>
      </c>
      <c r="D1159" s="2">
        <v>30726</v>
      </c>
      <c r="E1159" s="17">
        <v>70209.02</v>
      </c>
      <c r="F1159" s="11">
        <v>6.6</v>
      </c>
      <c r="G1159" s="9">
        <v>4725</v>
      </c>
      <c r="H1159" s="10">
        <v>0.5</v>
      </c>
      <c r="I1159" s="11">
        <v>7.3</v>
      </c>
    </row>
    <row r="1160" spans="1:9" x14ac:dyDescent="0.35">
      <c r="A1160" s="2" t="s">
        <v>157</v>
      </c>
      <c r="B1160" s="3">
        <v>44743</v>
      </c>
      <c r="C1160" s="2">
        <v>21</v>
      </c>
      <c r="D1160" s="2">
        <v>30182</v>
      </c>
      <c r="E1160" s="17">
        <v>59465.27</v>
      </c>
      <c r="F1160" s="11">
        <v>6.48</v>
      </c>
      <c r="G1160" s="9">
        <v>4743.1000000000004</v>
      </c>
      <c r="H1160" s="10">
        <v>0.61899999999999999</v>
      </c>
      <c r="I1160" s="11">
        <v>7</v>
      </c>
    </row>
    <row r="1161" spans="1:9" x14ac:dyDescent="0.35">
      <c r="A1161" s="2" t="s">
        <v>157</v>
      </c>
      <c r="B1161" s="3">
        <v>44774</v>
      </c>
      <c r="C1161" s="2">
        <v>9</v>
      </c>
      <c r="D1161" s="2">
        <v>12725</v>
      </c>
      <c r="E1161" s="17">
        <v>28170.02</v>
      </c>
      <c r="F1161" s="11">
        <v>6.77</v>
      </c>
      <c r="G1161" s="9">
        <v>1880.4</v>
      </c>
      <c r="H1161" s="10">
        <v>0.44400000000000001</v>
      </c>
      <c r="I1161" s="11">
        <v>7.5</v>
      </c>
    </row>
    <row r="1162" spans="1:9" x14ac:dyDescent="0.35">
      <c r="A1162" s="2" t="s">
        <v>157</v>
      </c>
      <c r="B1162" s="3">
        <v>44805</v>
      </c>
      <c r="C1162" s="2">
        <v>20</v>
      </c>
      <c r="D1162" s="2">
        <v>27242</v>
      </c>
      <c r="E1162" s="17">
        <v>58014.61</v>
      </c>
      <c r="F1162" s="11">
        <v>6.52</v>
      </c>
      <c r="G1162" s="9">
        <v>4160.5</v>
      </c>
      <c r="H1162" s="10">
        <v>0.3</v>
      </c>
      <c r="I1162" s="11">
        <v>6.2</v>
      </c>
    </row>
    <row r="1163" spans="1:9" x14ac:dyDescent="0.35">
      <c r="A1163" s="2" t="s">
        <v>157</v>
      </c>
      <c r="B1163" s="3">
        <v>44835</v>
      </c>
      <c r="C1163" s="2">
        <v>30</v>
      </c>
      <c r="D1163" s="2">
        <v>47560</v>
      </c>
      <c r="E1163" s="17">
        <v>101573.41</v>
      </c>
      <c r="F1163" s="11">
        <v>6.53</v>
      </c>
      <c r="G1163" s="9">
        <v>7315</v>
      </c>
      <c r="H1163" s="10">
        <v>0.56699999999999995</v>
      </c>
      <c r="I1163" s="11">
        <v>6</v>
      </c>
    </row>
    <row r="1164" spans="1:9" x14ac:dyDescent="0.35">
      <c r="A1164" s="2" t="s">
        <v>157</v>
      </c>
      <c r="B1164" s="3">
        <v>44866</v>
      </c>
      <c r="C1164" s="2">
        <v>17</v>
      </c>
      <c r="D1164" s="2">
        <v>21646</v>
      </c>
      <c r="E1164" s="17">
        <v>45376.28</v>
      </c>
      <c r="F1164" s="11">
        <v>6.6</v>
      </c>
      <c r="G1164" s="9">
        <v>3288.2</v>
      </c>
      <c r="H1164" s="10">
        <v>0.41199999999999998</v>
      </c>
      <c r="I1164" s="11">
        <v>7.1</v>
      </c>
    </row>
    <row r="1165" spans="1:9" x14ac:dyDescent="0.35">
      <c r="A1165" s="2" t="s">
        <v>157</v>
      </c>
      <c r="B1165" s="3">
        <v>44896</v>
      </c>
      <c r="C1165" s="2">
        <v>14</v>
      </c>
      <c r="D1165" s="2">
        <v>12729</v>
      </c>
      <c r="E1165" s="17">
        <v>29630.12</v>
      </c>
      <c r="F1165" s="11">
        <v>6.47</v>
      </c>
      <c r="G1165" s="9">
        <v>2055.9</v>
      </c>
      <c r="H1165" s="10">
        <v>0.5</v>
      </c>
      <c r="I1165" s="11">
        <v>7.5</v>
      </c>
    </row>
    <row r="1166" spans="1:9" x14ac:dyDescent="0.35">
      <c r="A1166" s="2" t="s">
        <v>157</v>
      </c>
      <c r="B1166" s="3">
        <v>44927</v>
      </c>
      <c r="C1166" s="2">
        <v>29</v>
      </c>
      <c r="D1166" s="2">
        <v>35615</v>
      </c>
      <c r="E1166" s="17">
        <v>74722.41</v>
      </c>
      <c r="F1166" s="11">
        <v>6.58</v>
      </c>
      <c r="G1166" s="9">
        <v>5440</v>
      </c>
      <c r="H1166" s="10">
        <v>0.44800000000000001</v>
      </c>
      <c r="I1166" s="11">
        <v>7.1</v>
      </c>
    </row>
    <row r="1167" spans="1:9" x14ac:dyDescent="0.35">
      <c r="A1167" s="2" t="s">
        <v>157</v>
      </c>
      <c r="B1167" s="3">
        <v>44958</v>
      </c>
      <c r="C1167" s="2">
        <v>19</v>
      </c>
      <c r="D1167" s="2">
        <v>27390</v>
      </c>
      <c r="E1167" s="17">
        <v>57155.51</v>
      </c>
      <c r="F1167" s="11">
        <v>6.48</v>
      </c>
      <c r="G1167" s="9">
        <v>4256.8</v>
      </c>
      <c r="H1167" s="10">
        <v>0.52600000000000002</v>
      </c>
      <c r="I1167" s="11">
        <v>7</v>
      </c>
    </row>
    <row r="1168" spans="1:9" x14ac:dyDescent="0.35">
      <c r="A1168" s="2" t="s">
        <v>157</v>
      </c>
      <c r="B1168" s="3">
        <v>44986</v>
      </c>
      <c r="C1168" s="2">
        <v>19</v>
      </c>
      <c r="D1168" s="2">
        <v>30206</v>
      </c>
      <c r="E1168" s="17">
        <v>58998.18</v>
      </c>
      <c r="F1168" s="11">
        <v>6.53</v>
      </c>
      <c r="G1168" s="9">
        <v>4671</v>
      </c>
      <c r="H1168" s="10">
        <v>0.42099999999999999</v>
      </c>
      <c r="I1168" s="11">
        <v>6.6</v>
      </c>
    </row>
    <row r="1169" spans="1:9" x14ac:dyDescent="0.35">
      <c r="A1169" s="2" t="s">
        <v>157</v>
      </c>
      <c r="B1169" s="3">
        <v>45017</v>
      </c>
      <c r="C1169" s="2">
        <v>19</v>
      </c>
      <c r="D1169" s="2">
        <v>27669</v>
      </c>
      <c r="E1169" s="17">
        <v>60779.519999999997</v>
      </c>
      <c r="F1169" s="11">
        <v>6.47</v>
      </c>
      <c r="G1169" s="9">
        <v>4319.8</v>
      </c>
      <c r="H1169" s="10">
        <v>0.42099999999999999</v>
      </c>
      <c r="I1169" s="11">
        <v>7.7</v>
      </c>
    </row>
    <row r="1170" spans="1:9" x14ac:dyDescent="0.35">
      <c r="A1170" s="2" t="s">
        <v>157</v>
      </c>
      <c r="B1170" s="3">
        <v>45047</v>
      </c>
      <c r="C1170" s="2">
        <v>22</v>
      </c>
      <c r="D1170" s="2">
        <v>32657</v>
      </c>
      <c r="E1170" s="17">
        <v>69565.119999999995</v>
      </c>
      <c r="F1170" s="11">
        <v>6.45</v>
      </c>
      <c r="G1170" s="9">
        <v>5077.5</v>
      </c>
      <c r="H1170" s="10">
        <v>0.318</v>
      </c>
      <c r="I1170" s="11">
        <v>6.1</v>
      </c>
    </row>
    <row r="1171" spans="1:9" x14ac:dyDescent="0.35">
      <c r="A1171" s="2" t="s">
        <v>157</v>
      </c>
      <c r="B1171" s="3">
        <v>45078</v>
      </c>
      <c r="C1171" s="2">
        <v>19</v>
      </c>
      <c r="D1171" s="2">
        <v>32849</v>
      </c>
      <c r="E1171" s="17">
        <v>69259.91</v>
      </c>
      <c r="F1171" s="11">
        <v>6.55</v>
      </c>
      <c r="G1171" s="9">
        <v>5096.3</v>
      </c>
      <c r="H1171" s="10">
        <v>0.26300000000000001</v>
      </c>
      <c r="I1171" s="11">
        <v>7.5</v>
      </c>
    </row>
    <row r="1172" spans="1:9" x14ac:dyDescent="0.35">
      <c r="A1172" s="2" t="s">
        <v>157</v>
      </c>
      <c r="B1172" s="3">
        <v>45108</v>
      </c>
      <c r="C1172" s="2">
        <v>15</v>
      </c>
      <c r="D1172" s="2">
        <v>22769</v>
      </c>
      <c r="E1172" s="17">
        <v>52076.800000000003</v>
      </c>
      <c r="F1172" s="11">
        <v>6.66</v>
      </c>
      <c r="G1172" s="9">
        <v>3450.3</v>
      </c>
      <c r="H1172" s="10">
        <v>0.26700000000000002</v>
      </c>
      <c r="I1172" s="11">
        <v>6.1</v>
      </c>
    </row>
    <row r="1173" spans="1:9" x14ac:dyDescent="0.35">
      <c r="A1173" s="2" t="s">
        <v>157</v>
      </c>
      <c r="B1173" s="3">
        <v>45139</v>
      </c>
      <c r="C1173" s="2">
        <v>18</v>
      </c>
      <c r="D1173" s="2">
        <v>29215</v>
      </c>
      <c r="E1173" s="17">
        <v>62770.87</v>
      </c>
      <c r="F1173" s="11">
        <v>6.39</v>
      </c>
      <c r="G1173" s="9">
        <v>4676.3999999999996</v>
      </c>
      <c r="H1173" s="10">
        <v>0.55600000000000005</v>
      </c>
      <c r="I1173" s="11">
        <v>7.8</v>
      </c>
    </row>
    <row r="1174" spans="1:9" x14ac:dyDescent="0.35">
      <c r="A1174" s="2" t="s">
        <v>157</v>
      </c>
      <c r="B1174" s="3">
        <v>45170</v>
      </c>
      <c r="C1174" s="2">
        <v>15</v>
      </c>
      <c r="D1174" s="2">
        <v>20331</v>
      </c>
      <c r="E1174" s="17">
        <v>45222.52</v>
      </c>
      <c r="F1174" s="11">
        <v>6.73</v>
      </c>
      <c r="G1174" s="9">
        <v>3038.9</v>
      </c>
      <c r="H1174" s="10">
        <v>0.53300000000000003</v>
      </c>
      <c r="I1174" s="11">
        <v>7.3</v>
      </c>
    </row>
    <row r="1175" spans="1:9" x14ac:dyDescent="0.35">
      <c r="A1175" s="2" t="s">
        <v>157</v>
      </c>
      <c r="B1175" s="3">
        <v>45200</v>
      </c>
      <c r="C1175" s="2">
        <v>20</v>
      </c>
      <c r="D1175" s="2">
        <v>31966</v>
      </c>
      <c r="E1175" s="17">
        <v>63733.71</v>
      </c>
      <c r="F1175" s="11">
        <v>6.62</v>
      </c>
      <c r="G1175" s="9">
        <v>4819.7</v>
      </c>
      <c r="H1175" s="10">
        <v>0.4</v>
      </c>
      <c r="I1175" s="11">
        <v>7.9</v>
      </c>
    </row>
    <row r="1176" spans="1:9" x14ac:dyDescent="0.35">
      <c r="A1176" s="2" t="s">
        <v>157</v>
      </c>
      <c r="B1176" s="3">
        <v>45231</v>
      </c>
      <c r="C1176" s="2">
        <v>19</v>
      </c>
      <c r="D1176" s="2">
        <v>24155</v>
      </c>
      <c r="E1176" s="17">
        <v>50417.279999999999</v>
      </c>
      <c r="F1176" s="11">
        <v>6.49</v>
      </c>
      <c r="G1176" s="9">
        <v>3682.6</v>
      </c>
      <c r="H1176" s="10">
        <v>0.42099999999999999</v>
      </c>
      <c r="I1176" s="11">
        <v>6.8</v>
      </c>
    </row>
    <row r="1177" spans="1:9" x14ac:dyDescent="0.35">
      <c r="A1177" s="2" t="s">
        <v>157</v>
      </c>
      <c r="B1177" s="3">
        <v>45261</v>
      </c>
      <c r="C1177" s="2">
        <v>22</v>
      </c>
      <c r="D1177" s="2">
        <v>30491</v>
      </c>
      <c r="E1177" s="17">
        <v>66076.960000000006</v>
      </c>
      <c r="F1177" s="11">
        <v>6.47</v>
      </c>
      <c r="G1177" s="9">
        <v>4696</v>
      </c>
      <c r="H1177" s="10">
        <v>0.27300000000000002</v>
      </c>
      <c r="I1177" s="11">
        <v>6.9</v>
      </c>
    </row>
    <row r="1178" spans="1:9" x14ac:dyDescent="0.35">
      <c r="A1178" s="2" t="s">
        <v>157</v>
      </c>
      <c r="B1178" s="3">
        <v>45292</v>
      </c>
      <c r="C1178" s="2">
        <v>22</v>
      </c>
      <c r="D1178" s="2">
        <v>35914</v>
      </c>
      <c r="E1178" s="17">
        <v>75137.279999999999</v>
      </c>
      <c r="F1178" s="11">
        <v>6.48</v>
      </c>
      <c r="G1178" s="9">
        <v>5570.1</v>
      </c>
      <c r="H1178" s="10">
        <v>0.45500000000000002</v>
      </c>
      <c r="I1178" s="11">
        <v>6.8</v>
      </c>
    </row>
    <row r="1179" spans="1:9" x14ac:dyDescent="0.35">
      <c r="A1179" s="2" t="s">
        <v>157</v>
      </c>
      <c r="B1179" s="3">
        <v>45323</v>
      </c>
      <c r="C1179" s="2">
        <v>22</v>
      </c>
      <c r="D1179" s="2">
        <v>37686</v>
      </c>
      <c r="E1179" s="17">
        <v>80085.37</v>
      </c>
      <c r="F1179" s="11">
        <v>6.52</v>
      </c>
      <c r="G1179" s="9">
        <v>5801.2</v>
      </c>
      <c r="H1179" s="10">
        <v>0.45500000000000002</v>
      </c>
      <c r="I1179" s="11">
        <v>7.5</v>
      </c>
    </row>
    <row r="1180" spans="1:9" x14ac:dyDescent="0.35">
      <c r="A1180" s="2" t="s">
        <v>157</v>
      </c>
      <c r="B1180" s="3">
        <v>45352</v>
      </c>
      <c r="C1180" s="2">
        <v>12</v>
      </c>
      <c r="D1180" s="2">
        <v>14835</v>
      </c>
      <c r="E1180" s="17">
        <v>31055.97</v>
      </c>
      <c r="F1180" s="11">
        <v>6.65</v>
      </c>
      <c r="G1180" s="9">
        <v>2202.1</v>
      </c>
      <c r="H1180" s="10">
        <v>0.41699999999999998</v>
      </c>
      <c r="I1180" s="11">
        <v>8.4</v>
      </c>
    </row>
    <row r="1181" spans="1:9" x14ac:dyDescent="0.35">
      <c r="A1181" s="2" t="s">
        <v>157</v>
      </c>
      <c r="B1181" s="3">
        <v>45383</v>
      </c>
      <c r="C1181" s="2">
        <v>24</v>
      </c>
      <c r="D1181" s="2">
        <v>26117</v>
      </c>
      <c r="E1181" s="17">
        <v>53090.05</v>
      </c>
      <c r="F1181" s="11">
        <v>6.42</v>
      </c>
      <c r="G1181" s="9">
        <v>4151.8</v>
      </c>
      <c r="H1181" s="10">
        <v>0.45800000000000002</v>
      </c>
      <c r="I1181" s="11">
        <v>7.5</v>
      </c>
    </row>
    <row r="1182" spans="1:9" x14ac:dyDescent="0.35">
      <c r="A1182" s="2" t="s">
        <v>157</v>
      </c>
      <c r="B1182" s="3">
        <v>45413</v>
      </c>
      <c r="C1182" s="2">
        <v>19</v>
      </c>
      <c r="D1182" s="2">
        <v>25620</v>
      </c>
      <c r="E1182" s="17">
        <v>54504.07</v>
      </c>
      <c r="F1182" s="11">
        <v>6.72</v>
      </c>
      <c r="G1182" s="9">
        <v>3909.4</v>
      </c>
      <c r="H1182" s="10">
        <v>0.47399999999999998</v>
      </c>
      <c r="I1182" s="11">
        <v>6.4</v>
      </c>
    </row>
    <row r="1183" spans="1:9" x14ac:dyDescent="0.35">
      <c r="A1183" s="2" t="s">
        <v>157</v>
      </c>
      <c r="B1183" s="3">
        <v>45444</v>
      </c>
      <c r="C1183" s="2">
        <v>19</v>
      </c>
      <c r="D1183" s="2">
        <v>30386</v>
      </c>
      <c r="E1183" s="17">
        <v>65881.960000000006</v>
      </c>
      <c r="F1183" s="11">
        <v>6.61</v>
      </c>
      <c r="G1183" s="9">
        <v>4582.2</v>
      </c>
      <c r="H1183" s="10">
        <v>0.52600000000000002</v>
      </c>
      <c r="I1183" s="11">
        <v>7.3</v>
      </c>
    </row>
    <row r="1184" spans="1:9" x14ac:dyDescent="0.35">
      <c r="A1184" s="2" t="s">
        <v>157</v>
      </c>
      <c r="B1184" s="3">
        <v>45474</v>
      </c>
      <c r="C1184" s="2">
        <v>27</v>
      </c>
      <c r="D1184" s="2">
        <v>34427</v>
      </c>
      <c r="E1184" s="17">
        <v>78173</v>
      </c>
      <c r="F1184" s="11">
        <v>6.53</v>
      </c>
      <c r="G1184" s="9">
        <v>5397.8</v>
      </c>
      <c r="H1184" s="10">
        <v>0.51900000000000002</v>
      </c>
      <c r="I1184" s="11">
        <v>7.5</v>
      </c>
    </row>
    <row r="1185" spans="1:9" x14ac:dyDescent="0.35">
      <c r="A1185" s="2" t="s">
        <v>157</v>
      </c>
      <c r="B1185" s="3">
        <v>45505</v>
      </c>
      <c r="C1185" s="2">
        <v>21</v>
      </c>
      <c r="D1185" s="2">
        <v>31049</v>
      </c>
      <c r="E1185" s="17">
        <v>65630.64</v>
      </c>
      <c r="F1185" s="11">
        <v>6.58</v>
      </c>
      <c r="G1185" s="9">
        <v>4768.1000000000004</v>
      </c>
      <c r="H1185" s="10">
        <v>0.38100000000000001</v>
      </c>
      <c r="I1185" s="11">
        <v>6.9</v>
      </c>
    </row>
    <row r="1186" spans="1:9" x14ac:dyDescent="0.35">
      <c r="A1186" s="2" t="s">
        <v>157</v>
      </c>
      <c r="B1186" s="3">
        <v>45536</v>
      </c>
      <c r="C1186" s="2">
        <v>20</v>
      </c>
      <c r="D1186" s="2">
        <v>25245</v>
      </c>
      <c r="E1186" s="17">
        <v>56352.99</v>
      </c>
      <c r="F1186" s="11">
        <v>6.52</v>
      </c>
      <c r="G1186" s="9">
        <v>3850.7</v>
      </c>
      <c r="H1186" s="10">
        <v>0.45</v>
      </c>
      <c r="I1186" s="11">
        <v>6.7</v>
      </c>
    </row>
    <row r="1187" spans="1:9" x14ac:dyDescent="0.35">
      <c r="A1187" s="2" t="s">
        <v>157</v>
      </c>
      <c r="B1187" s="3">
        <v>45566</v>
      </c>
      <c r="C1187" s="2">
        <v>23</v>
      </c>
      <c r="D1187" s="2">
        <v>27586</v>
      </c>
      <c r="E1187" s="17">
        <v>59048.47</v>
      </c>
      <c r="F1187" s="11">
        <v>6.62</v>
      </c>
      <c r="G1187" s="9">
        <v>4209.2</v>
      </c>
      <c r="H1187" s="10">
        <v>0.60899999999999999</v>
      </c>
      <c r="I1187" s="11">
        <v>7.4</v>
      </c>
    </row>
    <row r="1188" spans="1:9" x14ac:dyDescent="0.35">
      <c r="A1188" s="2" t="s">
        <v>157</v>
      </c>
      <c r="B1188" s="3">
        <v>45597</v>
      </c>
      <c r="C1188" s="2">
        <v>19</v>
      </c>
      <c r="D1188" s="2">
        <v>26479</v>
      </c>
      <c r="E1188" s="17">
        <v>52801.63</v>
      </c>
      <c r="F1188" s="11">
        <v>6.46</v>
      </c>
      <c r="G1188" s="9">
        <v>4120.8</v>
      </c>
      <c r="H1188" s="10">
        <v>0.42099999999999999</v>
      </c>
      <c r="I1188" s="11">
        <v>7.3</v>
      </c>
    </row>
    <row r="1189" spans="1:9" x14ac:dyDescent="0.35">
      <c r="A1189" s="2" t="s">
        <v>157</v>
      </c>
      <c r="B1189" s="3">
        <v>45627</v>
      </c>
      <c r="C1189" s="2">
        <v>15</v>
      </c>
      <c r="D1189" s="2">
        <v>25677</v>
      </c>
      <c r="E1189" s="17">
        <v>56254.87</v>
      </c>
      <c r="F1189" s="11">
        <v>6.62</v>
      </c>
      <c r="G1189" s="9">
        <v>3990.4</v>
      </c>
      <c r="H1189" s="10">
        <v>0.33300000000000002</v>
      </c>
      <c r="I1189" s="11">
        <v>6.5</v>
      </c>
    </row>
    <row r="1190" spans="1:9" x14ac:dyDescent="0.35">
      <c r="A1190" s="2" t="s">
        <v>160</v>
      </c>
      <c r="B1190" s="3">
        <v>44562</v>
      </c>
      <c r="C1190" s="2">
        <v>19</v>
      </c>
      <c r="D1190" s="2">
        <v>27306</v>
      </c>
      <c r="E1190" s="17">
        <v>61664.32</v>
      </c>
      <c r="F1190" s="11">
        <v>6.65</v>
      </c>
      <c r="G1190" s="9">
        <v>3994.2</v>
      </c>
      <c r="H1190" s="10">
        <v>0.42099999999999999</v>
      </c>
      <c r="I1190" s="11">
        <v>7.2</v>
      </c>
    </row>
    <row r="1191" spans="1:9" x14ac:dyDescent="0.35">
      <c r="A1191" s="2" t="s">
        <v>160</v>
      </c>
      <c r="B1191" s="3">
        <v>44593</v>
      </c>
      <c r="C1191" s="2">
        <v>13</v>
      </c>
      <c r="D1191" s="2">
        <v>19098</v>
      </c>
      <c r="E1191" s="17">
        <v>42745.67</v>
      </c>
      <c r="F1191" s="11">
        <v>6.59</v>
      </c>
      <c r="G1191" s="9">
        <v>2922.5</v>
      </c>
      <c r="H1191" s="10">
        <v>0.23100000000000001</v>
      </c>
      <c r="I1191" s="11">
        <v>6.8</v>
      </c>
    </row>
    <row r="1192" spans="1:9" x14ac:dyDescent="0.35">
      <c r="A1192" s="2" t="s">
        <v>160</v>
      </c>
      <c r="B1192" s="3">
        <v>44621</v>
      </c>
      <c r="C1192" s="2">
        <v>16</v>
      </c>
      <c r="D1192" s="2">
        <v>23001</v>
      </c>
      <c r="E1192" s="17">
        <v>54912.01</v>
      </c>
      <c r="F1192" s="11">
        <v>6.48</v>
      </c>
      <c r="G1192" s="9">
        <v>3516.1</v>
      </c>
      <c r="H1192" s="10">
        <v>0.625</v>
      </c>
      <c r="I1192" s="11">
        <v>7.3</v>
      </c>
    </row>
    <row r="1193" spans="1:9" x14ac:dyDescent="0.35">
      <c r="A1193" s="2" t="s">
        <v>160</v>
      </c>
      <c r="B1193" s="3">
        <v>44652</v>
      </c>
      <c r="C1193" s="2">
        <v>18</v>
      </c>
      <c r="D1193" s="2">
        <v>25996</v>
      </c>
      <c r="E1193" s="17">
        <v>60883.67</v>
      </c>
      <c r="F1193" s="11">
        <v>6.69</v>
      </c>
      <c r="G1193" s="9">
        <v>3889.4</v>
      </c>
      <c r="H1193" s="10">
        <v>0.38900000000000001</v>
      </c>
      <c r="I1193" s="11">
        <v>7</v>
      </c>
    </row>
    <row r="1194" spans="1:9" x14ac:dyDescent="0.35">
      <c r="A1194" s="2" t="s">
        <v>160</v>
      </c>
      <c r="B1194" s="3">
        <v>44682</v>
      </c>
      <c r="C1194" s="2">
        <v>13</v>
      </c>
      <c r="D1194" s="2">
        <v>22059</v>
      </c>
      <c r="E1194" s="17">
        <v>48016.02</v>
      </c>
      <c r="F1194" s="11">
        <v>6.35</v>
      </c>
      <c r="G1194" s="9">
        <v>3477.7</v>
      </c>
      <c r="H1194" s="10">
        <v>0.61499999999999999</v>
      </c>
      <c r="I1194" s="11">
        <v>6.4</v>
      </c>
    </row>
    <row r="1195" spans="1:9" x14ac:dyDescent="0.35">
      <c r="A1195" s="2" t="s">
        <v>160</v>
      </c>
      <c r="B1195" s="3">
        <v>44713</v>
      </c>
      <c r="C1195" s="2">
        <v>15</v>
      </c>
      <c r="D1195" s="2">
        <v>23465</v>
      </c>
      <c r="E1195" s="17">
        <v>47148.47</v>
      </c>
      <c r="F1195" s="11">
        <v>6.65</v>
      </c>
      <c r="G1195" s="9">
        <v>3583</v>
      </c>
      <c r="H1195" s="10">
        <v>0.4</v>
      </c>
      <c r="I1195" s="11">
        <v>6.3</v>
      </c>
    </row>
    <row r="1196" spans="1:9" x14ac:dyDescent="0.35">
      <c r="A1196" s="2" t="s">
        <v>160</v>
      </c>
      <c r="B1196" s="3">
        <v>44743</v>
      </c>
      <c r="C1196" s="2">
        <v>16</v>
      </c>
      <c r="D1196" s="2">
        <v>22289</v>
      </c>
      <c r="E1196" s="17">
        <v>48417.95</v>
      </c>
      <c r="F1196" s="11">
        <v>6.3</v>
      </c>
      <c r="G1196" s="9">
        <v>3533.8</v>
      </c>
      <c r="H1196" s="10">
        <v>0.438</v>
      </c>
      <c r="I1196" s="11">
        <v>8.6</v>
      </c>
    </row>
    <row r="1197" spans="1:9" x14ac:dyDescent="0.35">
      <c r="A1197" s="2" t="s">
        <v>160</v>
      </c>
      <c r="B1197" s="3">
        <v>44774</v>
      </c>
      <c r="C1197" s="2">
        <v>19</v>
      </c>
      <c r="D1197" s="2">
        <v>25538</v>
      </c>
      <c r="E1197" s="17">
        <v>51602.99</v>
      </c>
      <c r="F1197" s="11">
        <v>6.65</v>
      </c>
      <c r="G1197" s="9">
        <v>3885.5</v>
      </c>
      <c r="H1197" s="10">
        <v>0.47399999999999998</v>
      </c>
      <c r="I1197" s="11">
        <v>7.5</v>
      </c>
    </row>
    <row r="1198" spans="1:9" x14ac:dyDescent="0.35">
      <c r="A1198" s="2" t="s">
        <v>160</v>
      </c>
      <c r="B1198" s="3">
        <v>44805</v>
      </c>
      <c r="C1198" s="2">
        <v>26</v>
      </c>
      <c r="D1198" s="2">
        <v>38370</v>
      </c>
      <c r="E1198" s="17">
        <v>87664.320000000007</v>
      </c>
      <c r="F1198" s="11">
        <v>6.54</v>
      </c>
      <c r="G1198" s="9">
        <v>5941.9</v>
      </c>
      <c r="H1198" s="10">
        <v>0.5</v>
      </c>
      <c r="I1198" s="11">
        <v>7.3</v>
      </c>
    </row>
    <row r="1199" spans="1:9" x14ac:dyDescent="0.35">
      <c r="A1199" s="2" t="s">
        <v>160</v>
      </c>
      <c r="B1199" s="3">
        <v>44835</v>
      </c>
      <c r="C1199" s="2">
        <v>20</v>
      </c>
      <c r="D1199" s="2">
        <v>22140</v>
      </c>
      <c r="E1199" s="17">
        <v>44344.11</v>
      </c>
      <c r="F1199" s="11">
        <v>6.51</v>
      </c>
      <c r="G1199" s="9">
        <v>3434.3</v>
      </c>
      <c r="H1199" s="10">
        <v>0.6</v>
      </c>
      <c r="I1199" s="11">
        <v>6.8</v>
      </c>
    </row>
    <row r="1200" spans="1:9" x14ac:dyDescent="0.35">
      <c r="A1200" s="2" t="s">
        <v>160</v>
      </c>
      <c r="B1200" s="3">
        <v>44866</v>
      </c>
      <c r="C1200" s="2">
        <v>17</v>
      </c>
      <c r="D1200" s="2">
        <v>23197</v>
      </c>
      <c r="E1200" s="17">
        <v>46978.27</v>
      </c>
      <c r="F1200" s="11">
        <v>6.62</v>
      </c>
      <c r="G1200" s="9">
        <v>3521.8</v>
      </c>
      <c r="H1200" s="10">
        <v>0.47099999999999997</v>
      </c>
      <c r="I1200" s="11">
        <v>6.8</v>
      </c>
    </row>
    <row r="1201" spans="1:9" x14ac:dyDescent="0.35">
      <c r="A1201" s="2" t="s">
        <v>160</v>
      </c>
      <c r="B1201" s="3">
        <v>44896</v>
      </c>
      <c r="C1201" s="2">
        <v>23</v>
      </c>
      <c r="D1201" s="2">
        <v>23589</v>
      </c>
      <c r="E1201" s="17">
        <v>50804.44</v>
      </c>
      <c r="F1201" s="11">
        <v>6.43</v>
      </c>
      <c r="G1201" s="9">
        <v>3695.9</v>
      </c>
      <c r="H1201" s="10">
        <v>0.52200000000000002</v>
      </c>
      <c r="I1201" s="11">
        <v>6.9</v>
      </c>
    </row>
    <row r="1202" spans="1:9" x14ac:dyDescent="0.35">
      <c r="A1202" s="2" t="s">
        <v>160</v>
      </c>
      <c r="B1202" s="3">
        <v>44927</v>
      </c>
      <c r="C1202" s="2">
        <v>21</v>
      </c>
      <c r="D1202" s="2">
        <v>29205</v>
      </c>
      <c r="E1202" s="17">
        <v>61499.64</v>
      </c>
      <c r="F1202" s="11">
        <v>6.62</v>
      </c>
      <c r="G1202" s="9">
        <v>4416</v>
      </c>
      <c r="H1202" s="10">
        <v>0.52400000000000002</v>
      </c>
      <c r="I1202" s="11">
        <v>6.8</v>
      </c>
    </row>
    <row r="1203" spans="1:9" x14ac:dyDescent="0.35">
      <c r="A1203" s="2" t="s">
        <v>160</v>
      </c>
      <c r="B1203" s="3">
        <v>44958</v>
      </c>
      <c r="C1203" s="2">
        <v>11</v>
      </c>
      <c r="D1203" s="2">
        <v>10867</v>
      </c>
      <c r="E1203" s="17">
        <v>21260.49</v>
      </c>
      <c r="F1203" s="11">
        <v>6.47</v>
      </c>
      <c r="G1203" s="9">
        <v>1726.1</v>
      </c>
      <c r="H1203" s="10">
        <v>0.45500000000000002</v>
      </c>
      <c r="I1203" s="11">
        <v>8.3000000000000007</v>
      </c>
    </row>
    <row r="1204" spans="1:9" x14ac:dyDescent="0.35">
      <c r="A1204" s="2" t="s">
        <v>160</v>
      </c>
      <c r="B1204" s="3">
        <v>44986</v>
      </c>
      <c r="C1204" s="2">
        <v>16</v>
      </c>
      <c r="D1204" s="2">
        <v>21247</v>
      </c>
      <c r="E1204" s="17">
        <v>40472.019999999997</v>
      </c>
      <c r="F1204" s="11">
        <v>6.52</v>
      </c>
      <c r="G1204" s="9">
        <v>3254.1</v>
      </c>
      <c r="H1204" s="10">
        <v>0.56200000000000006</v>
      </c>
      <c r="I1204" s="11">
        <v>6.6</v>
      </c>
    </row>
    <row r="1205" spans="1:9" x14ac:dyDescent="0.35">
      <c r="A1205" s="2" t="s">
        <v>160</v>
      </c>
      <c r="B1205" s="3">
        <v>45017</v>
      </c>
      <c r="C1205" s="2">
        <v>15</v>
      </c>
      <c r="D1205" s="2">
        <v>22726</v>
      </c>
      <c r="E1205" s="17">
        <v>47010.11</v>
      </c>
      <c r="F1205" s="11">
        <v>6.69</v>
      </c>
      <c r="G1205" s="9">
        <v>3425.5</v>
      </c>
      <c r="H1205" s="10">
        <v>0.53300000000000003</v>
      </c>
      <c r="I1205" s="11">
        <v>6.4</v>
      </c>
    </row>
    <row r="1206" spans="1:9" x14ac:dyDescent="0.35">
      <c r="A1206" s="2" t="s">
        <v>160</v>
      </c>
      <c r="B1206" s="3">
        <v>45047</v>
      </c>
      <c r="C1206" s="2">
        <v>18</v>
      </c>
      <c r="D1206" s="2">
        <v>22067</v>
      </c>
      <c r="E1206" s="17">
        <v>47474.34</v>
      </c>
      <c r="F1206" s="11">
        <v>6.67</v>
      </c>
      <c r="G1206" s="9">
        <v>3305.6</v>
      </c>
      <c r="H1206" s="10">
        <v>0.61099999999999999</v>
      </c>
      <c r="I1206" s="11">
        <v>5.9</v>
      </c>
    </row>
    <row r="1207" spans="1:9" x14ac:dyDescent="0.35">
      <c r="A1207" s="2" t="s">
        <v>160</v>
      </c>
      <c r="B1207" s="3">
        <v>45078</v>
      </c>
      <c r="C1207" s="2">
        <v>15</v>
      </c>
      <c r="D1207" s="2">
        <v>22712</v>
      </c>
      <c r="E1207" s="17">
        <v>51892.93</v>
      </c>
      <c r="F1207" s="11">
        <v>6.93</v>
      </c>
      <c r="G1207" s="9">
        <v>3267.8</v>
      </c>
      <c r="H1207" s="10">
        <v>0.6</v>
      </c>
      <c r="I1207" s="11">
        <v>7.5</v>
      </c>
    </row>
    <row r="1208" spans="1:9" x14ac:dyDescent="0.35">
      <c r="A1208" s="2" t="s">
        <v>160</v>
      </c>
      <c r="B1208" s="3">
        <v>45108</v>
      </c>
      <c r="C1208" s="2">
        <v>24</v>
      </c>
      <c r="D1208" s="2">
        <v>39632</v>
      </c>
      <c r="E1208" s="17">
        <v>85474.89</v>
      </c>
      <c r="F1208" s="11">
        <v>6.56</v>
      </c>
      <c r="G1208" s="9">
        <v>6011.1</v>
      </c>
      <c r="H1208" s="10">
        <v>0.45800000000000002</v>
      </c>
      <c r="I1208" s="11">
        <v>8</v>
      </c>
    </row>
    <row r="1209" spans="1:9" x14ac:dyDescent="0.35">
      <c r="A1209" s="2" t="s">
        <v>160</v>
      </c>
      <c r="B1209" s="3">
        <v>45139</v>
      </c>
      <c r="C1209" s="2">
        <v>17</v>
      </c>
      <c r="D1209" s="2">
        <v>21584</v>
      </c>
      <c r="E1209" s="17">
        <v>47778.19</v>
      </c>
      <c r="F1209" s="11">
        <v>6.53</v>
      </c>
      <c r="G1209" s="9">
        <v>3308.5</v>
      </c>
      <c r="H1209" s="10">
        <v>0.35299999999999998</v>
      </c>
      <c r="I1209" s="11">
        <v>6.3</v>
      </c>
    </row>
    <row r="1210" spans="1:9" x14ac:dyDescent="0.35">
      <c r="A1210" s="2" t="s">
        <v>160</v>
      </c>
      <c r="B1210" s="3">
        <v>45170</v>
      </c>
      <c r="C1210" s="2">
        <v>22</v>
      </c>
      <c r="D1210" s="2">
        <v>31705</v>
      </c>
      <c r="E1210" s="17">
        <v>61133.99</v>
      </c>
      <c r="F1210" s="11">
        <v>6.71</v>
      </c>
      <c r="G1210" s="9">
        <v>4678.8999999999996</v>
      </c>
      <c r="H1210" s="10">
        <v>0.40899999999999997</v>
      </c>
      <c r="I1210" s="11">
        <v>6.6</v>
      </c>
    </row>
    <row r="1211" spans="1:9" x14ac:dyDescent="0.35">
      <c r="A1211" s="2" t="s">
        <v>160</v>
      </c>
      <c r="B1211" s="3">
        <v>45200</v>
      </c>
      <c r="C1211" s="2">
        <v>20</v>
      </c>
      <c r="D1211" s="2">
        <v>27025</v>
      </c>
      <c r="E1211" s="17">
        <v>59188.160000000003</v>
      </c>
      <c r="F1211" s="11">
        <v>6.41</v>
      </c>
      <c r="G1211" s="9">
        <v>4270.8999999999996</v>
      </c>
      <c r="H1211" s="10">
        <v>0.5</v>
      </c>
      <c r="I1211" s="11">
        <v>6.9</v>
      </c>
    </row>
    <row r="1212" spans="1:9" x14ac:dyDescent="0.35">
      <c r="A1212" s="2" t="s">
        <v>160</v>
      </c>
      <c r="B1212" s="3">
        <v>45231</v>
      </c>
      <c r="C1212" s="2">
        <v>24</v>
      </c>
      <c r="D1212" s="2">
        <v>28275</v>
      </c>
      <c r="E1212" s="17">
        <v>60673.4</v>
      </c>
      <c r="F1212" s="11">
        <v>6.44</v>
      </c>
      <c r="G1212" s="9">
        <v>4441.8</v>
      </c>
      <c r="H1212" s="10">
        <v>0.45800000000000002</v>
      </c>
      <c r="I1212" s="11">
        <v>7</v>
      </c>
    </row>
    <row r="1213" spans="1:9" x14ac:dyDescent="0.35">
      <c r="A1213" s="2" t="s">
        <v>160</v>
      </c>
      <c r="B1213" s="3">
        <v>45261</v>
      </c>
      <c r="C1213" s="2">
        <v>24</v>
      </c>
      <c r="D1213" s="2">
        <v>36682</v>
      </c>
      <c r="E1213" s="17">
        <v>80933.63</v>
      </c>
      <c r="F1213" s="11">
        <v>6.35</v>
      </c>
      <c r="G1213" s="9">
        <v>5863.2</v>
      </c>
      <c r="H1213" s="10">
        <v>0.16700000000000001</v>
      </c>
      <c r="I1213" s="11">
        <v>6.2</v>
      </c>
    </row>
    <row r="1214" spans="1:9" x14ac:dyDescent="0.35">
      <c r="A1214" s="2" t="s">
        <v>160</v>
      </c>
      <c r="B1214" s="3">
        <v>45292</v>
      </c>
      <c r="C1214" s="2">
        <v>23</v>
      </c>
      <c r="D1214" s="2">
        <v>34672</v>
      </c>
      <c r="E1214" s="17">
        <v>81977.38</v>
      </c>
      <c r="F1214" s="11">
        <v>6.55</v>
      </c>
      <c r="G1214" s="9">
        <v>5446.8</v>
      </c>
      <c r="H1214" s="10">
        <v>0.52200000000000002</v>
      </c>
      <c r="I1214" s="11">
        <v>6.1</v>
      </c>
    </row>
    <row r="1215" spans="1:9" x14ac:dyDescent="0.35">
      <c r="A1215" s="2" t="s">
        <v>160</v>
      </c>
      <c r="B1215" s="3">
        <v>45323</v>
      </c>
      <c r="C1215" s="2">
        <v>27</v>
      </c>
      <c r="D1215" s="2">
        <v>37928</v>
      </c>
      <c r="E1215" s="17">
        <v>81331.3</v>
      </c>
      <c r="F1215" s="11">
        <v>6.5</v>
      </c>
      <c r="G1215" s="9">
        <v>5843.5</v>
      </c>
      <c r="H1215" s="10">
        <v>0.59299999999999997</v>
      </c>
      <c r="I1215" s="11">
        <v>6</v>
      </c>
    </row>
    <row r="1216" spans="1:9" x14ac:dyDescent="0.35">
      <c r="A1216" s="2" t="s">
        <v>160</v>
      </c>
      <c r="B1216" s="3">
        <v>45352</v>
      </c>
      <c r="C1216" s="2">
        <v>19</v>
      </c>
      <c r="D1216" s="2">
        <v>29975</v>
      </c>
      <c r="E1216" s="17">
        <v>63313.35</v>
      </c>
      <c r="F1216" s="11">
        <v>6.3</v>
      </c>
      <c r="G1216" s="9">
        <v>4794.8</v>
      </c>
      <c r="H1216" s="10">
        <v>0.26300000000000001</v>
      </c>
      <c r="I1216" s="11">
        <v>7.6</v>
      </c>
    </row>
    <row r="1217" spans="1:9" x14ac:dyDescent="0.35">
      <c r="A1217" s="2" t="s">
        <v>160</v>
      </c>
      <c r="B1217" s="3">
        <v>45383</v>
      </c>
      <c r="C1217" s="2">
        <v>25</v>
      </c>
      <c r="D1217" s="2">
        <v>33614</v>
      </c>
      <c r="E1217" s="17">
        <v>71469.009999999995</v>
      </c>
      <c r="F1217" s="11">
        <v>6.51</v>
      </c>
      <c r="G1217" s="9">
        <v>5165.8</v>
      </c>
      <c r="H1217" s="10">
        <v>0.44</v>
      </c>
      <c r="I1217" s="11">
        <v>6.1</v>
      </c>
    </row>
    <row r="1218" spans="1:9" x14ac:dyDescent="0.35">
      <c r="A1218" s="2" t="s">
        <v>160</v>
      </c>
      <c r="B1218" s="3">
        <v>45413</v>
      </c>
      <c r="C1218" s="2">
        <v>19</v>
      </c>
      <c r="D1218" s="2">
        <v>18179</v>
      </c>
      <c r="E1218" s="17">
        <v>38896.559999999998</v>
      </c>
      <c r="F1218" s="11">
        <v>6.33</v>
      </c>
      <c r="G1218" s="9">
        <v>2971.3</v>
      </c>
      <c r="H1218" s="10">
        <v>0.57899999999999996</v>
      </c>
      <c r="I1218" s="11">
        <v>6.9</v>
      </c>
    </row>
    <row r="1219" spans="1:9" x14ac:dyDescent="0.35">
      <c r="A1219" s="2" t="s">
        <v>160</v>
      </c>
      <c r="B1219" s="3">
        <v>45444</v>
      </c>
      <c r="C1219" s="2">
        <v>17</v>
      </c>
      <c r="D1219" s="2">
        <v>25151</v>
      </c>
      <c r="E1219" s="17">
        <v>55329.68</v>
      </c>
      <c r="F1219" s="11">
        <v>6.33</v>
      </c>
      <c r="G1219" s="9">
        <v>3999.7</v>
      </c>
      <c r="H1219" s="10">
        <v>0.47099999999999997</v>
      </c>
      <c r="I1219" s="11">
        <v>7.8</v>
      </c>
    </row>
    <row r="1220" spans="1:9" x14ac:dyDescent="0.35">
      <c r="A1220" s="2" t="s">
        <v>160</v>
      </c>
      <c r="B1220" s="3">
        <v>45474</v>
      </c>
      <c r="C1220" s="2">
        <v>23</v>
      </c>
      <c r="D1220" s="2">
        <v>37227</v>
      </c>
      <c r="E1220" s="17">
        <v>81693.48</v>
      </c>
      <c r="F1220" s="11">
        <v>6.43</v>
      </c>
      <c r="G1220" s="9">
        <v>5842.5</v>
      </c>
      <c r="H1220" s="10">
        <v>0.435</v>
      </c>
      <c r="I1220" s="11">
        <v>7.1</v>
      </c>
    </row>
    <row r="1221" spans="1:9" x14ac:dyDescent="0.35">
      <c r="A1221" s="2" t="s">
        <v>160</v>
      </c>
      <c r="B1221" s="3">
        <v>45505</v>
      </c>
      <c r="C1221" s="2">
        <v>17</v>
      </c>
      <c r="D1221" s="2">
        <v>26331</v>
      </c>
      <c r="E1221" s="17">
        <v>57878.45</v>
      </c>
      <c r="F1221" s="11">
        <v>6.56</v>
      </c>
      <c r="G1221" s="9">
        <v>4060.2</v>
      </c>
      <c r="H1221" s="10">
        <v>0.41199999999999998</v>
      </c>
      <c r="I1221" s="11">
        <v>6.7</v>
      </c>
    </row>
    <row r="1222" spans="1:9" x14ac:dyDescent="0.35">
      <c r="A1222" s="2" t="s">
        <v>160</v>
      </c>
      <c r="B1222" s="3">
        <v>45536</v>
      </c>
      <c r="C1222" s="2">
        <v>10</v>
      </c>
      <c r="D1222" s="2">
        <v>19164</v>
      </c>
      <c r="E1222" s="17">
        <v>41182.33</v>
      </c>
      <c r="F1222" s="11">
        <v>6.52</v>
      </c>
      <c r="G1222" s="9">
        <v>2897.9</v>
      </c>
      <c r="H1222" s="10">
        <v>0.5</v>
      </c>
      <c r="I1222" s="11">
        <v>6.5</v>
      </c>
    </row>
    <row r="1223" spans="1:9" x14ac:dyDescent="0.35">
      <c r="A1223" s="2" t="s">
        <v>160</v>
      </c>
      <c r="B1223" s="3">
        <v>45566</v>
      </c>
      <c r="C1223" s="2">
        <v>23</v>
      </c>
      <c r="D1223" s="2">
        <v>37911</v>
      </c>
      <c r="E1223" s="17">
        <v>82462.42</v>
      </c>
      <c r="F1223" s="11">
        <v>6.72</v>
      </c>
      <c r="G1223" s="9">
        <v>5662.1</v>
      </c>
      <c r="H1223" s="10">
        <v>0.34799999999999998</v>
      </c>
      <c r="I1223" s="11">
        <v>6.8</v>
      </c>
    </row>
    <row r="1224" spans="1:9" x14ac:dyDescent="0.35">
      <c r="A1224" s="2" t="s">
        <v>160</v>
      </c>
      <c r="B1224" s="3">
        <v>45597</v>
      </c>
      <c r="C1224" s="2">
        <v>19</v>
      </c>
      <c r="D1224" s="2">
        <v>27704</v>
      </c>
      <c r="E1224" s="17">
        <v>56224.66</v>
      </c>
      <c r="F1224" s="11">
        <v>6.57</v>
      </c>
      <c r="G1224" s="9">
        <v>4240.3</v>
      </c>
      <c r="H1224" s="10">
        <v>0.26300000000000001</v>
      </c>
      <c r="I1224" s="11">
        <v>6.9</v>
      </c>
    </row>
    <row r="1225" spans="1:9" x14ac:dyDescent="0.35">
      <c r="A1225" s="2" t="s">
        <v>160</v>
      </c>
      <c r="B1225" s="3">
        <v>45627</v>
      </c>
      <c r="C1225" s="2">
        <v>18</v>
      </c>
      <c r="D1225" s="2">
        <v>28027</v>
      </c>
      <c r="E1225" s="17">
        <v>57809.77</v>
      </c>
      <c r="F1225" s="11">
        <v>6.63</v>
      </c>
      <c r="G1225" s="9">
        <v>4269.3999999999996</v>
      </c>
      <c r="H1225" s="10">
        <v>0.38900000000000001</v>
      </c>
      <c r="I1225" s="11">
        <v>8.6</v>
      </c>
    </row>
    <row r="1226" spans="1:9" x14ac:dyDescent="0.35">
      <c r="A1226" s="2" t="s">
        <v>164</v>
      </c>
      <c r="B1226" s="3">
        <v>44562</v>
      </c>
      <c r="C1226" s="2">
        <v>21</v>
      </c>
      <c r="D1226" s="2">
        <v>22668</v>
      </c>
      <c r="E1226" s="17">
        <v>50028.26</v>
      </c>
      <c r="F1226" s="11">
        <v>6.67</v>
      </c>
      <c r="G1226" s="9">
        <v>3445.2</v>
      </c>
      <c r="H1226" s="10">
        <v>0.38100000000000001</v>
      </c>
      <c r="I1226" s="11">
        <v>8.1</v>
      </c>
    </row>
    <row r="1227" spans="1:9" x14ac:dyDescent="0.35">
      <c r="A1227" s="2" t="s">
        <v>164</v>
      </c>
      <c r="B1227" s="3">
        <v>44593</v>
      </c>
      <c r="C1227" s="2">
        <v>16</v>
      </c>
      <c r="D1227" s="2">
        <v>25234</v>
      </c>
      <c r="E1227" s="17">
        <v>46380.09</v>
      </c>
      <c r="F1227" s="11">
        <v>6.43</v>
      </c>
      <c r="G1227" s="9">
        <v>4020.3</v>
      </c>
      <c r="H1227" s="10">
        <v>0.5</v>
      </c>
      <c r="I1227" s="11">
        <v>7.5</v>
      </c>
    </row>
    <row r="1228" spans="1:9" x14ac:dyDescent="0.35">
      <c r="A1228" s="2" t="s">
        <v>164</v>
      </c>
      <c r="B1228" s="3">
        <v>44621</v>
      </c>
      <c r="C1228" s="2">
        <v>21</v>
      </c>
      <c r="D1228" s="2">
        <v>40137</v>
      </c>
      <c r="E1228" s="17">
        <v>80176.69</v>
      </c>
      <c r="F1228" s="11">
        <v>6.63</v>
      </c>
      <c r="G1228" s="9">
        <v>6111.2</v>
      </c>
      <c r="H1228" s="10">
        <v>0.57099999999999995</v>
      </c>
      <c r="I1228" s="11">
        <v>6.7</v>
      </c>
    </row>
    <row r="1229" spans="1:9" x14ac:dyDescent="0.35">
      <c r="A1229" s="2" t="s">
        <v>164</v>
      </c>
      <c r="B1229" s="3">
        <v>44652</v>
      </c>
      <c r="C1229" s="2">
        <v>25</v>
      </c>
      <c r="D1229" s="2">
        <v>31879</v>
      </c>
      <c r="E1229" s="17">
        <v>70252.22</v>
      </c>
      <c r="F1229" s="11">
        <v>6.46</v>
      </c>
      <c r="G1229" s="9">
        <v>4956.8999999999996</v>
      </c>
      <c r="H1229" s="10">
        <v>0.6</v>
      </c>
      <c r="I1229" s="11">
        <v>6.3</v>
      </c>
    </row>
    <row r="1230" spans="1:9" x14ac:dyDescent="0.35">
      <c r="A1230" s="2" t="s">
        <v>164</v>
      </c>
      <c r="B1230" s="3">
        <v>44682</v>
      </c>
      <c r="C1230" s="2">
        <v>19</v>
      </c>
      <c r="D1230" s="2">
        <v>23981</v>
      </c>
      <c r="E1230" s="17">
        <v>45603.21</v>
      </c>
      <c r="F1230" s="11">
        <v>6.19</v>
      </c>
      <c r="G1230" s="9">
        <v>3949.5</v>
      </c>
      <c r="H1230" s="10">
        <v>0.316</v>
      </c>
      <c r="I1230" s="11">
        <v>7.6</v>
      </c>
    </row>
    <row r="1231" spans="1:9" x14ac:dyDescent="0.35">
      <c r="A1231" s="2" t="s">
        <v>164</v>
      </c>
      <c r="B1231" s="3">
        <v>44713</v>
      </c>
      <c r="C1231" s="2">
        <v>22</v>
      </c>
      <c r="D1231" s="2">
        <v>30125</v>
      </c>
      <c r="E1231" s="17">
        <v>61062.87</v>
      </c>
      <c r="F1231" s="11">
        <v>6.55</v>
      </c>
      <c r="G1231" s="9">
        <v>4670.6000000000004</v>
      </c>
      <c r="H1231" s="10">
        <v>0.318</v>
      </c>
      <c r="I1231" s="11">
        <v>6.4</v>
      </c>
    </row>
    <row r="1232" spans="1:9" x14ac:dyDescent="0.35">
      <c r="A1232" s="2" t="s">
        <v>164</v>
      </c>
      <c r="B1232" s="3">
        <v>44743</v>
      </c>
      <c r="C1232" s="2">
        <v>13</v>
      </c>
      <c r="D1232" s="2">
        <v>22165</v>
      </c>
      <c r="E1232" s="17">
        <v>45965.23</v>
      </c>
      <c r="F1232" s="11">
        <v>6.67</v>
      </c>
      <c r="G1232" s="9">
        <v>3338.6</v>
      </c>
      <c r="H1232" s="10">
        <v>0.53800000000000003</v>
      </c>
      <c r="I1232" s="11">
        <v>6.7</v>
      </c>
    </row>
    <row r="1233" spans="1:9" x14ac:dyDescent="0.35">
      <c r="A1233" s="2" t="s">
        <v>164</v>
      </c>
      <c r="B1233" s="3">
        <v>44774</v>
      </c>
      <c r="C1233" s="2">
        <v>20</v>
      </c>
      <c r="D1233" s="2">
        <v>27816</v>
      </c>
      <c r="E1233" s="17">
        <v>61984.11</v>
      </c>
      <c r="F1233" s="11">
        <v>6.6</v>
      </c>
      <c r="G1233" s="9">
        <v>4220.6000000000004</v>
      </c>
      <c r="H1233" s="10">
        <v>0.45</v>
      </c>
      <c r="I1233" s="11">
        <v>7.2</v>
      </c>
    </row>
    <row r="1234" spans="1:9" x14ac:dyDescent="0.35">
      <c r="A1234" s="2" t="s">
        <v>164</v>
      </c>
      <c r="B1234" s="3">
        <v>44805</v>
      </c>
      <c r="C1234" s="2">
        <v>22</v>
      </c>
      <c r="D1234" s="2">
        <v>36913</v>
      </c>
      <c r="E1234" s="17">
        <v>77257.27</v>
      </c>
      <c r="F1234" s="11">
        <v>6.39</v>
      </c>
      <c r="G1234" s="9">
        <v>5824.6</v>
      </c>
      <c r="H1234" s="10">
        <v>0.36399999999999999</v>
      </c>
      <c r="I1234" s="11">
        <v>7.5</v>
      </c>
    </row>
    <row r="1235" spans="1:9" x14ac:dyDescent="0.35">
      <c r="A1235" s="2" t="s">
        <v>164</v>
      </c>
      <c r="B1235" s="3">
        <v>44835</v>
      </c>
      <c r="C1235" s="2">
        <v>23</v>
      </c>
      <c r="D1235" s="2">
        <v>30447</v>
      </c>
      <c r="E1235" s="17">
        <v>65233.45</v>
      </c>
      <c r="F1235" s="11">
        <v>6.48</v>
      </c>
      <c r="G1235" s="9">
        <v>4824.2</v>
      </c>
      <c r="H1235" s="10">
        <v>0.435</v>
      </c>
      <c r="I1235" s="11">
        <v>7.1</v>
      </c>
    </row>
    <row r="1236" spans="1:9" x14ac:dyDescent="0.35">
      <c r="A1236" s="2" t="s">
        <v>164</v>
      </c>
      <c r="B1236" s="3">
        <v>44866</v>
      </c>
      <c r="C1236" s="2">
        <v>21</v>
      </c>
      <c r="D1236" s="2">
        <v>28448</v>
      </c>
      <c r="E1236" s="17">
        <v>54958.49</v>
      </c>
      <c r="F1236" s="11">
        <v>6.43</v>
      </c>
      <c r="G1236" s="9">
        <v>4506.2</v>
      </c>
      <c r="H1236" s="10">
        <v>0.42899999999999999</v>
      </c>
      <c r="I1236" s="11">
        <v>7.5</v>
      </c>
    </row>
    <row r="1237" spans="1:9" x14ac:dyDescent="0.35">
      <c r="A1237" s="2" t="s">
        <v>164</v>
      </c>
      <c r="B1237" s="3">
        <v>44896</v>
      </c>
      <c r="C1237" s="2">
        <v>22</v>
      </c>
      <c r="D1237" s="2">
        <v>31783</v>
      </c>
      <c r="E1237" s="17">
        <v>67737.259999999995</v>
      </c>
      <c r="F1237" s="11">
        <v>6.43</v>
      </c>
      <c r="G1237" s="9">
        <v>4954.5</v>
      </c>
      <c r="H1237" s="10">
        <v>0.40899999999999997</v>
      </c>
      <c r="I1237" s="11">
        <v>7.6</v>
      </c>
    </row>
    <row r="1238" spans="1:9" x14ac:dyDescent="0.35">
      <c r="A1238" s="2" t="s">
        <v>164</v>
      </c>
      <c r="B1238" s="3">
        <v>44927</v>
      </c>
      <c r="C1238" s="2">
        <v>10</v>
      </c>
      <c r="D1238" s="2">
        <v>13759</v>
      </c>
      <c r="E1238" s="17">
        <v>31023.07</v>
      </c>
      <c r="F1238" s="11">
        <v>6.18</v>
      </c>
      <c r="G1238" s="9">
        <v>2265.9</v>
      </c>
      <c r="H1238" s="10">
        <v>0.8</v>
      </c>
      <c r="I1238" s="11">
        <v>5.6</v>
      </c>
    </row>
    <row r="1239" spans="1:9" x14ac:dyDescent="0.35">
      <c r="A1239" s="2" t="s">
        <v>164</v>
      </c>
      <c r="B1239" s="3">
        <v>44958</v>
      </c>
      <c r="C1239" s="2">
        <v>16</v>
      </c>
      <c r="D1239" s="2">
        <v>23329</v>
      </c>
      <c r="E1239" s="17">
        <v>53063.56</v>
      </c>
      <c r="F1239" s="11">
        <v>6.86</v>
      </c>
      <c r="G1239" s="9">
        <v>3474.9</v>
      </c>
      <c r="H1239" s="10">
        <v>0.312</v>
      </c>
      <c r="I1239" s="11">
        <v>7.2</v>
      </c>
    </row>
    <row r="1240" spans="1:9" x14ac:dyDescent="0.35">
      <c r="A1240" s="2" t="s">
        <v>164</v>
      </c>
      <c r="B1240" s="3">
        <v>44986</v>
      </c>
      <c r="C1240" s="2">
        <v>24</v>
      </c>
      <c r="D1240" s="2">
        <v>26304</v>
      </c>
      <c r="E1240" s="17">
        <v>57249.919999999998</v>
      </c>
      <c r="F1240" s="11">
        <v>6.54</v>
      </c>
      <c r="G1240" s="9">
        <v>4070.9</v>
      </c>
      <c r="H1240" s="10">
        <v>0.375</v>
      </c>
      <c r="I1240" s="11">
        <v>6.4</v>
      </c>
    </row>
    <row r="1241" spans="1:9" x14ac:dyDescent="0.35">
      <c r="A1241" s="2" t="s">
        <v>164</v>
      </c>
      <c r="B1241" s="3">
        <v>45017</v>
      </c>
      <c r="C1241" s="2">
        <v>12</v>
      </c>
      <c r="D1241" s="2">
        <v>18599</v>
      </c>
      <c r="E1241" s="17">
        <v>42981.99</v>
      </c>
      <c r="F1241" s="11">
        <v>6.18</v>
      </c>
      <c r="G1241" s="9">
        <v>2990.8</v>
      </c>
      <c r="H1241" s="10">
        <v>0.33300000000000002</v>
      </c>
      <c r="I1241" s="11">
        <v>6.9</v>
      </c>
    </row>
    <row r="1242" spans="1:9" x14ac:dyDescent="0.35">
      <c r="A1242" s="2" t="s">
        <v>164</v>
      </c>
      <c r="B1242" s="3">
        <v>45047</v>
      </c>
      <c r="C1242" s="2">
        <v>19</v>
      </c>
      <c r="D1242" s="2">
        <v>30675</v>
      </c>
      <c r="E1242" s="17">
        <v>65864.22</v>
      </c>
      <c r="F1242" s="11">
        <v>6.44</v>
      </c>
      <c r="G1242" s="9">
        <v>4814.8</v>
      </c>
      <c r="H1242" s="10">
        <v>0.42099999999999999</v>
      </c>
      <c r="I1242" s="11">
        <v>6.6</v>
      </c>
    </row>
    <row r="1243" spans="1:9" x14ac:dyDescent="0.35">
      <c r="A1243" s="2" t="s">
        <v>164</v>
      </c>
      <c r="B1243" s="3">
        <v>45078</v>
      </c>
      <c r="C1243" s="2">
        <v>21</v>
      </c>
      <c r="D1243" s="2">
        <v>25745</v>
      </c>
      <c r="E1243" s="17">
        <v>56649.07</v>
      </c>
      <c r="F1243" s="11">
        <v>6.74</v>
      </c>
      <c r="G1243" s="9">
        <v>3790.6</v>
      </c>
      <c r="H1243" s="10">
        <v>0.47599999999999998</v>
      </c>
      <c r="I1243" s="11">
        <v>6.5</v>
      </c>
    </row>
    <row r="1244" spans="1:9" x14ac:dyDescent="0.35">
      <c r="A1244" s="2" t="s">
        <v>164</v>
      </c>
      <c r="B1244" s="3">
        <v>45108</v>
      </c>
      <c r="C1244" s="2">
        <v>16</v>
      </c>
      <c r="D1244" s="2">
        <v>21017</v>
      </c>
      <c r="E1244" s="17">
        <v>44605.27</v>
      </c>
      <c r="F1244" s="11">
        <v>6.53</v>
      </c>
      <c r="G1244" s="9">
        <v>3267.3</v>
      </c>
      <c r="H1244" s="10">
        <v>0.438</v>
      </c>
      <c r="I1244" s="11">
        <v>8.6999999999999993</v>
      </c>
    </row>
    <row r="1245" spans="1:9" x14ac:dyDescent="0.35">
      <c r="A1245" s="2" t="s">
        <v>164</v>
      </c>
      <c r="B1245" s="3">
        <v>45139</v>
      </c>
      <c r="C1245" s="2">
        <v>9</v>
      </c>
      <c r="D1245" s="2">
        <v>15992</v>
      </c>
      <c r="E1245" s="17">
        <v>32930.79</v>
      </c>
      <c r="F1245" s="11">
        <v>6.44</v>
      </c>
      <c r="G1245" s="9">
        <v>2512.6</v>
      </c>
      <c r="H1245" s="10">
        <v>0.222</v>
      </c>
      <c r="I1245" s="11">
        <v>6.4</v>
      </c>
    </row>
    <row r="1246" spans="1:9" x14ac:dyDescent="0.35">
      <c r="A1246" s="2" t="s">
        <v>164</v>
      </c>
      <c r="B1246" s="3">
        <v>45170</v>
      </c>
      <c r="C1246" s="2">
        <v>18</v>
      </c>
      <c r="D1246" s="2">
        <v>21877</v>
      </c>
      <c r="E1246" s="17">
        <v>46884.28</v>
      </c>
      <c r="F1246" s="11">
        <v>6.22</v>
      </c>
      <c r="G1246" s="9">
        <v>3543.3</v>
      </c>
      <c r="H1246" s="10">
        <v>0.5</v>
      </c>
      <c r="I1246" s="11">
        <v>7.2</v>
      </c>
    </row>
    <row r="1247" spans="1:9" x14ac:dyDescent="0.35">
      <c r="A1247" s="2" t="s">
        <v>164</v>
      </c>
      <c r="B1247" s="3">
        <v>45200</v>
      </c>
      <c r="C1247" s="2">
        <v>18</v>
      </c>
      <c r="D1247" s="2">
        <v>21881</v>
      </c>
      <c r="E1247" s="17">
        <v>43044.480000000003</v>
      </c>
      <c r="F1247" s="11">
        <v>6.47</v>
      </c>
      <c r="G1247" s="9">
        <v>3411.4</v>
      </c>
      <c r="H1247" s="10">
        <v>0.5</v>
      </c>
      <c r="I1247" s="11">
        <v>7.6</v>
      </c>
    </row>
    <row r="1248" spans="1:9" x14ac:dyDescent="0.35">
      <c r="A1248" s="2" t="s">
        <v>164</v>
      </c>
      <c r="B1248" s="3">
        <v>45231</v>
      </c>
      <c r="C1248" s="2">
        <v>15</v>
      </c>
      <c r="D1248" s="2">
        <v>20913</v>
      </c>
      <c r="E1248" s="17">
        <v>42635.92</v>
      </c>
      <c r="F1248" s="11">
        <v>6.32</v>
      </c>
      <c r="G1248" s="9">
        <v>3308.3</v>
      </c>
      <c r="H1248" s="10">
        <v>0.46700000000000003</v>
      </c>
      <c r="I1248" s="11">
        <v>5.8</v>
      </c>
    </row>
    <row r="1249" spans="1:9" x14ac:dyDescent="0.35">
      <c r="A1249" s="2" t="s">
        <v>164</v>
      </c>
      <c r="B1249" s="3">
        <v>45261</v>
      </c>
      <c r="C1249" s="2">
        <v>17</v>
      </c>
      <c r="D1249" s="2">
        <v>19497</v>
      </c>
      <c r="E1249" s="17">
        <v>41925.54</v>
      </c>
      <c r="F1249" s="11">
        <v>6.38</v>
      </c>
      <c r="G1249" s="9">
        <v>3138.8</v>
      </c>
      <c r="H1249" s="10">
        <v>0.47099999999999997</v>
      </c>
      <c r="I1249" s="11">
        <v>7.4</v>
      </c>
    </row>
    <row r="1250" spans="1:9" x14ac:dyDescent="0.35">
      <c r="A1250" s="2" t="s">
        <v>164</v>
      </c>
      <c r="B1250" s="3">
        <v>45292</v>
      </c>
      <c r="C1250" s="2">
        <v>13</v>
      </c>
      <c r="D1250" s="2">
        <v>19055</v>
      </c>
      <c r="E1250" s="17">
        <v>40539.050000000003</v>
      </c>
      <c r="F1250" s="11">
        <v>6.74</v>
      </c>
      <c r="G1250" s="9">
        <v>2817.6</v>
      </c>
      <c r="H1250" s="10">
        <v>0.46200000000000002</v>
      </c>
      <c r="I1250" s="11">
        <v>7.2</v>
      </c>
    </row>
    <row r="1251" spans="1:9" x14ac:dyDescent="0.35">
      <c r="A1251" s="2" t="s">
        <v>164</v>
      </c>
      <c r="B1251" s="3">
        <v>45323</v>
      </c>
      <c r="C1251" s="2">
        <v>17</v>
      </c>
      <c r="D1251" s="2">
        <v>24086</v>
      </c>
      <c r="E1251" s="17">
        <v>45792.28</v>
      </c>
      <c r="F1251" s="11">
        <v>6.41</v>
      </c>
      <c r="G1251" s="9">
        <v>3720.6</v>
      </c>
      <c r="H1251" s="10">
        <v>0.47099999999999997</v>
      </c>
      <c r="I1251" s="11">
        <v>7.6</v>
      </c>
    </row>
    <row r="1252" spans="1:9" x14ac:dyDescent="0.35">
      <c r="A1252" s="2" t="s">
        <v>164</v>
      </c>
      <c r="B1252" s="3">
        <v>45352</v>
      </c>
      <c r="C1252" s="2">
        <v>17</v>
      </c>
      <c r="D1252" s="2">
        <v>20387</v>
      </c>
      <c r="E1252" s="17">
        <v>44473.27</v>
      </c>
      <c r="F1252" s="11">
        <v>6.32</v>
      </c>
      <c r="G1252" s="9">
        <v>3270.3</v>
      </c>
      <c r="H1252" s="10">
        <v>0.35299999999999998</v>
      </c>
      <c r="I1252" s="11">
        <v>7.6</v>
      </c>
    </row>
    <row r="1253" spans="1:9" x14ac:dyDescent="0.35">
      <c r="A1253" s="2" t="s">
        <v>164</v>
      </c>
      <c r="B1253" s="3">
        <v>45383</v>
      </c>
      <c r="C1253" s="2">
        <v>21</v>
      </c>
      <c r="D1253" s="2">
        <v>32106</v>
      </c>
      <c r="E1253" s="17">
        <v>67494.06</v>
      </c>
      <c r="F1253" s="11">
        <v>6.42</v>
      </c>
      <c r="G1253" s="9">
        <v>5066.6000000000004</v>
      </c>
      <c r="H1253" s="10">
        <v>0.57099999999999995</v>
      </c>
      <c r="I1253" s="11">
        <v>6.6</v>
      </c>
    </row>
    <row r="1254" spans="1:9" x14ac:dyDescent="0.35">
      <c r="A1254" s="2" t="s">
        <v>164</v>
      </c>
      <c r="B1254" s="3">
        <v>45413</v>
      </c>
      <c r="C1254" s="2">
        <v>19</v>
      </c>
      <c r="D1254" s="2">
        <v>24841</v>
      </c>
      <c r="E1254" s="17">
        <v>53372.6</v>
      </c>
      <c r="F1254" s="11">
        <v>6.43</v>
      </c>
      <c r="G1254" s="9">
        <v>3957.5</v>
      </c>
      <c r="H1254" s="10">
        <v>0.26300000000000001</v>
      </c>
      <c r="I1254" s="11">
        <v>6.4</v>
      </c>
    </row>
    <row r="1255" spans="1:9" x14ac:dyDescent="0.35">
      <c r="A1255" s="2" t="s">
        <v>164</v>
      </c>
      <c r="B1255" s="3">
        <v>45444</v>
      </c>
      <c r="C1255" s="2">
        <v>19</v>
      </c>
      <c r="D1255" s="2">
        <v>29892</v>
      </c>
      <c r="E1255" s="17">
        <v>69376.09</v>
      </c>
      <c r="F1255" s="11">
        <v>6.45</v>
      </c>
      <c r="G1255" s="9">
        <v>4683.8</v>
      </c>
      <c r="H1255" s="10">
        <v>0.42099999999999999</v>
      </c>
      <c r="I1255" s="11">
        <v>6.6</v>
      </c>
    </row>
    <row r="1256" spans="1:9" x14ac:dyDescent="0.35">
      <c r="A1256" s="2" t="s">
        <v>164</v>
      </c>
      <c r="B1256" s="3">
        <v>45474</v>
      </c>
      <c r="C1256" s="2">
        <v>14</v>
      </c>
      <c r="D1256" s="2">
        <v>18383</v>
      </c>
      <c r="E1256" s="17">
        <v>40682.720000000001</v>
      </c>
      <c r="F1256" s="11">
        <v>6.4</v>
      </c>
      <c r="G1256" s="9">
        <v>2915</v>
      </c>
      <c r="H1256" s="10">
        <v>0.35699999999999998</v>
      </c>
      <c r="I1256" s="11">
        <v>6.5</v>
      </c>
    </row>
    <row r="1257" spans="1:9" x14ac:dyDescent="0.35">
      <c r="A1257" s="2" t="s">
        <v>164</v>
      </c>
      <c r="B1257" s="3">
        <v>45505</v>
      </c>
      <c r="C1257" s="2">
        <v>14</v>
      </c>
      <c r="D1257" s="2">
        <v>25172</v>
      </c>
      <c r="E1257" s="17">
        <v>51134.239999999998</v>
      </c>
      <c r="F1257" s="11">
        <v>6.63</v>
      </c>
      <c r="G1257" s="9">
        <v>3780.7</v>
      </c>
      <c r="H1257" s="10">
        <v>0.5</v>
      </c>
      <c r="I1257" s="11">
        <v>7.3</v>
      </c>
    </row>
    <row r="1258" spans="1:9" x14ac:dyDescent="0.35">
      <c r="A1258" s="2" t="s">
        <v>164</v>
      </c>
      <c r="B1258" s="3">
        <v>45536</v>
      </c>
      <c r="C1258" s="2">
        <v>21</v>
      </c>
      <c r="D1258" s="2">
        <v>25588</v>
      </c>
      <c r="E1258" s="17">
        <v>48557.77</v>
      </c>
      <c r="F1258" s="11">
        <v>6.56</v>
      </c>
      <c r="G1258" s="9">
        <v>3864</v>
      </c>
      <c r="H1258" s="10">
        <v>0.57099999999999995</v>
      </c>
      <c r="I1258" s="11">
        <v>5.9</v>
      </c>
    </row>
    <row r="1259" spans="1:9" x14ac:dyDescent="0.35">
      <c r="A1259" s="2" t="s">
        <v>164</v>
      </c>
      <c r="B1259" s="3">
        <v>45566</v>
      </c>
      <c r="C1259" s="2">
        <v>18</v>
      </c>
      <c r="D1259" s="2">
        <v>27834</v>
      </c>
      <c r="E1259" s="17">
        <v>65937.119999999995</v>
      </c>
      <c r="F1259" s="11">
        <v>6.35</v>
      </c>
      <c r="G1259" s="9">
        <v>4386.7</v>
      </c>
      <c r="H1259" s="10">
        <v>0.44400000000000001</v>
      </c>
      <c r="I1259" s="11">
        <v>7.8</v>
      </c>
    </row>
    <row r="1260" spans="1:9" x14ac:dyDescent="0.35">
      <c r="A1260" s="2" t="s">
        <v>164</v>
      </c>
      <c r="B1260" s="3">
        <v>45597</v>
      </c>
      <c r="C1260" s="2">
        <v>19</v>
      </c>
      <c r="D1260" s="2">
        <v>21699</v>
      </c>
      <c r="E1260" s="17">
        <v>47759.21</v>
      </c>
      <c r="F1260" s="11">
        <v>6.38</v>
      </c>
      <c r="G1260" s="9">
        <v>3467.3</v>
      </c>
      <c r="H1260" s="10">
        <v>0.47399999999999998</v>
      </c>
      <c r="I1260" s="11">
        <v>7.6</v>
      </c>
    </row>
    <row r="1261" spans="1:9" x14ac:dyDescent="0.35">
      <c r="A1261" s="2" t="s">
        <v>164</v>
      </c>
      <c r="B1261" s="3">
        <v>45627</v>
      </c>
      <c r="C1261" s="2">
        <v>25</v>
      </c>
      <c r="D1261" s="2">
        <v>38228</v>
      </c>
      <c r="E1261" s="17">
        <v>80409.2</v>
      </c>
      <c r="F1261" s="11">
        <v>6.36</v>
      </c>
      <c r="G1261" s="9">
        <v>6038</v>
      </c>
      <c r="H1261" s="10">
        <v>0.32</v>
      </c>
      <c r="I1261" s="11">
        <v>6.7</v>
      </c>
    </row>
    <row r="1262" spans="1:9" x14ac:dyDescent="0.35">
      <c r="A1262" s="2" t="s">
        <v>170</v>
      </c>
      <c r="B1262" s="3">
        <v>44562</v>
      </c>
      <c r="C1262" s="2">
        <v>23</v>
      </c>
      <c r="D1262" s="2">
        <v>30345</v>
      </c>
      <c r="E1262" s="17">
        <v>61688</v>
      </c>
      <c r="F1262" s="11">
        <v>6.67</v>
      </c>
      <c r="G1262" s="9">
        <v>4543.6000000000004</v>
      </c>
      <c r="H1262" s="10">
        <v>0.65200000000000002</v>
      </c>
      <c r="I1262" s="11">
        <v>6</v>
      </c>
    </row>
    <row r="1263" spans="1:9" x14ac:dyDescent="0.35">
      <c r="A1263" s="2" t="s">
        <v>170</v>
      </c>
      <c r="B1263" s="3">
        <v>44593</v>
      </c>
      <c r="C1263" s="2">
        <v>19</v>
      </c>
      <c r="D1263" s="2">
        <v>16701</v>
      </c>
      <c r="E1263" s="17">
        <v>36072.92</v>
      </c>
      <c r="F1263" s="11">
        <v>6.34</v>
      </c>
      <c r="G1263" s="9">
        <v>2720.1</v>
      </c>
      <c r="H1263" s="10">
        <v>0.47399999999999998</v>
      </c>
      <c r="I1263" s="11">
        <v>5.8</v>
      </c>
    </row>
    <row r="1264" spans="1:9" x14ac:dyDescent="0.35">
      <c r="A1264" s="2" t="s">
        <v>170</v>
      </c>
      <c r="B1264" s="3">
        <v>44621</v>
      </c>
      <c r="C1264" s="2">
        <v>21</v>
      </c>
      <c r="D1264" s="2">
        <v>35497</v>
      </c>
      <c r="E1264" s="17">
        <v>76866.31</v>
      </c>
      <c r="F1264" s="11">
        <v>6.44</v>
      </c>
      <c r="G1264" s="9">
        <v>5496</v>
      </c>
      <c r="H1264" s="10">
        <v>0.47599999999999998</v>
      </c>
      <c r="I1264" s="11">
        <v>6.7</v>
      </c>
    </row>
    <row r="1265" spans="1:9" x14ac:dyDescent="0.35">
      <c r="A1265" s="2" t="s">
        <v>170</v>
      </c>
      <c r="B1265" s="3">
        <v>44652</v>
      </c>
      <c r="C1265" s="2">
        <v>25</v>
      </c>
      <c r="D1265" s="2">
        <v>29599</v>
      </c>
      <c r="E1265" s="17">
        <v>65377.73</v>
      </c>
      <c r="F1265" s="11">
        <v>6.66</v>
      </c>
      <c r="G1265" s="9">
        <v>4518.8999999999996</v>
      </c>
      <c r="H1265" s="10">
        <v>0.44</v>
      </c>
      <c r="I1265" s="11">
        <v>6.7</v>
      </c>
    </row>
    <row r="1266" spans="1:9" x14ac:dyDescent="0.35">
      <c r="A1266" s="2" t="s">
        <v>170</v>
      </c>
      <c r="B1266" s="3">
        <v>44682</v>
      </c>
      <c r="C1266" s="2">
        <v>21</v>
      </c>
      <c r="D1266" s="2">
        <v>35440</v>
      </c>
      <c r="E1266" s="17">
        <v>74041.59</v>
      </c>
      <c r="F1266" s="11">
        <v>6.32</v>
      </c>
      <c r="G1266" s="9">
        <v>5612.9</v>
      </c>
      <c r="H1266" s="10">
        <v>0.47599999999999998</v>
      </c>
      <c r="I1266" s="11">
        <v>7.6</v>
      </c>
    </row>
    <row r="1267" spans="1:9" x14ac:dyDescent="0.35">
      <c r="A1267" s="2" t="s">
        <v>170</v>
      </c>
      <c r="B1267" s="3">
        <v>44713</v>
      </c>
      <c r="C1267" s="2">
        <v>25</v>
      </c>
      <c r="D1267" s="2">
        <v>37164</v>
      </c>
      <c r="E1267" s="17">
        <v>83844.77</v>
      </c>
      <c r="F1267" s="11">
        <v>6.52</v>
      </c>
      <c r="G1267" s="9">
        <v>5876.8</v>
      </c>
      <c r="H1267" s="10">
        <v>0.56000000000000005</v>
      </c>
      <c r="I1267" s="11">
        <v>6.7</v>
      </c>
    </row>
    <row r="1268" spans="1:9" x14ac:dyDescent="0.35">
      <c r="A1268" s="2" t="s">
        <v>170</v>
      </c>
      <c r="B1268" s="3">
        <v>44743</v>
      </c>
      <c r="C1268" s="2">
        <v>30</v>
      </c>
      <c r="D1268" s="2">
        <v>44874</v>
      </c>
      <c r="E1268" s="17">
        <v>96565.88</v>
      </c>
      <c r="F1268" s="11">
        <v>6.41</v>
      </c>
      <c r="G1268" s="9">
        <v>7078.8</v>
      </c>
      <c r="H1268" s="10">
        <v>0.433</v>
      </c>
      <c r="I1268" s="11">
        <v>7.7</v>
      </c>
    </row>
    <row r="1269" spans="1:9" x14ac:dyDescent="0.35">
      <c r="A1269" s="2" t="s">
        <v>170</v>
      </c>
      <c r="B1269" s="3">
        <v>44774</v>
      </c>
      <c r="C1269" s="2">
        <v>20</v>
      </c>
      <c r="D1269" s="2">
        <v>33530</v>
      </c>
      <c r="E1269" s="17">
        <v>67794.13</v>
      </c>
      <c r="F1269" s="11">
        <v>6.52</v>
      </c>
      <c r="G1269" s="9">
        <v>5111.2</v>
      </c>
      <c r="H1269" s="10">
        <v>0.5</v>
      </c>
      <c r="I1269" s="11">
        <v>6.6</v>
      </c>
    </row>
    <row r="1270" spans="1:9" x14ac:dyDescent="0.35">
      <c r="A1270" s="2" t="s">
        <v>170</v>
      </c>
      <c r="B1270" s="3">
        <v>44805</v>
      </c>
      <c r="C1270" s="2">
        <v>22</v>
      </c>
      <c r="D1270" s="2">
        <v>34728</v>
      </c>
      <c r="E1270" s="17">
        <v>68006.38</v>
      </c>
      <c r="F1270" s="11">
        <v>6.76</v>
      </c>
      <c r="G1270" s="9">
        <v>5229.3999999999996</v>
      </c>
      <c r="H1270" s="10">
        <v>0.45500000000000002</v>
      </c>
      <c r="I1270" s="11">
        <v>6.6</v>
      </c>
    </row>
    <row r="1271" spans="1:9" x14ac:dyDescent="0.35">
      <c r="A1271" s="2" t="s">
        <v>170</v>
      </c>
      <c r="B1271" s="3">
        <v>44835</v>
      </c>
      <c r="C1271" s="2">
        <v>11</v>
      </c>
      <c r="D1271" s="2">
        <v>14009</v>
      </c>
      <c r="E1271" s="17">
        <v>27821.77</v>
      </c>
      <c r="F1271" s="11">
        <v>6.54</v>
      </c>
      <c r="G1271" s="9">
        <v>2157.1999999999998</v>
      </c>
      <c r="H1271" s="10">
        <v>0.72699999999999998</v>
      </c>
      <c r="I1271" s="11">
        <v>8</v>
      </c>
    </row>
    <row r="1272" spans="1:9" x14ac:dyDescent="0.35">
      <c r="A1272" s="2" t="s">
        <v>170</v>
      </c>
      <c r="B1272" s="3">
        <v>44866</v>
      </c>
      <c r="C1272" s="2">
        <v>25</v>
      </c>
      <c r="D1272" s="2">
        <v>34521</v>
      </c>
      <c r="E1272" s="17">
        <v>74484.94</v>
      </c>
      <c r="F1272" s="11">
        <v>6.38</v>
      </c>
      <c r="G1272" s="9">
        <v>5481.6</v>
      </c>
      <c r="H1272" s="10">
        <v>0.4</v>
      </c>
      <c r="I1272" s="11">
        <v>6.4</v>
      </c>
    </row>
    <row r="1273" spans="1:9" x14ac:dyDescent="0.35">
      <c r="A1273" s="2" t="s">
        <v>170</v>
      </c>
      <c r="B1273" s="3">
        <v>44896</v>
      </c>
      <c r="C1273" s="2">
        <v>26</v>
      </c>
      <c r="D1273" s="2">
        <v>34536</v>
      </c>
      <c r="E1273" s="17">
        <v>73804.27</v>
      </c>
      <c r="F1273" s="11">
        <v>6.64</v>
      </c>
      <c r="G1273" s="9">
        <v>5260.6</v>
      </c>
      <c r="H1273" s="10">
        <v>0.5</v>
      </c>
      <c r="I1273" s="11">
        <v>7.3</v>
      </c>
    </row>
    <row r="1274" spans="1:9" x14ac:dyDescent="0.35">
      <c r="A1274" s="2" t="s">
        <v>170</v>
      </c>
      <c r="B1274" s="3">
        <v>44927</v>
      </c>
      <c r="C1274" s="2">
        <v>21</v>
      </c>
      <c r="D1274" s="2">
        <v>28190</v>
      </c>
      <c r="E1274" s="17">
        <v>63596.67</v>
      </c>
      <c r="F1274" s="11">
        <v>6.52</v>
      </c>
      <c r="G1274" s="9">
        <v>4310.6000000000004</v>
      </c>
      <c r="H1274" s="10">
        <v>0.28599999999999998</v>
      </c>
      <c r="I1274" s="11">
        <v>5.7</v>
      </c>
    </row>
    <row r="1275" spans="1:9" x14ac:dyDescent="0.35">
      <c r="A1275" s="2" t="s">
        <v>170</v>
      </c>
      <c r="B1275" s="3">
        <v>44958</v>
      </c>
      <c r="C1275" s="2">
        <v>15</v>
      </c>
      <c r="D1275" s="2">
        <v>22983</v>
      </c>
      <c r="E1275" s="17">
        <v>48661.75</v>
      </c>
      <c r="F1275" s="11">
        <v>6.35</v>
      </c>
      <c r="G1275" s="9">
        <v>3690.2</v>
      </c>
      <c r="H1275" s="10">
        <v>0.53300000000000003</v>
      </c>
      <c r="I1275" s="11">
        <v>6.9</v>
      </c>
    </row>
    <row r="1276" spans="1:9" x14ac:dyDescent="0.35">
      <c r="A1276" s="2" t="s">
        <v>170</v>
      </c>
      <c r="B1276" s="3">
        <v>44986</v>
      </c>
      <c r="C1276" s="2">
        <v>21</v>
      </c>
      <c r="D1276" s="2">
        <v>26559</v>
      </c>
      <c r="E1276" s="17">
        <v>53911.05</v>
      </c>
      <c r="F1276" s="11">
        <v>6.59</v>
      </c>
      <c r="G1276" s="9">
        <v>4005.6</v>
      </c>
      <c r="H1276" s="10">
        <v>0.28599999999999998</v>
      </c>
      <c r="I1276" s="11">
        <v>6.2</v>
      </c>
    </row>
    <row r="1277" spans="1:9" x14ac:dyDescent="0.35">
      <c r="A1277" s="2" t="s">
        <v>170</v>
      </c>
      <c r="B1277" s="3">
        <v>45017</v>
      </c>
      <c r="C1277" s="2">
        <v>16</v>
      </c>
      <c r="D1277" s="2">
        <v>23883</v>
      </c>
      <c r="E1277" s="17">
        <v>49958.86</v>
      </c>
      <c r="F1277" s="11">
        <v>6.58</v>
      </c>
      <c r="G1277" s="9">
        <v>3672</v>
      </c>
      <c r="H1277" s="10">
        <v>0.188</v>
      </c>
      <c r="I1277" s="11">
        <v>7.3</v>
      </c>
    </row>
    <row r="1278" spans="1:9" x14ac:dyDescent="0.35">
      <c r="A1278" s="2" t="s">
        <v>170</v>
      </c>
      <c r="B1278" s="3">
        <v>45047</v>
      </c>
      <c r="C1278" s="2">
        <v>19</v>
      </c>
      <c r="D1278" s="2">
        <v>30932</v>
      </c>
      <c r="E1278" s="17">
        <v>71904.84</v>
      </c>
      <c r="F1278" s="11">
        <v>6.43</v>
      </c>
      <c r="G1278" s="9">
        <v>4853.2</v>
      </c>
      <c r="H1278" s="10">
        <v>0.47399999999999998</v>
      </c>
      <c r="I1278" s="11">
        <v>7.2</v>
      </c>
    </row>
    <row r="1279" spans="1:9" x14ac:dyDescent="0.35">
      <c r="A1279" s="2" t="s">
        <v>170</v>
      </c>
      <c r="B1279" s="3">
        <v>45078</v>
      </c>
      <c r="C1279" s="2">
        <v>15</v>
      </c>
      <c r="D1279" s="2">
        <v>20890</v>
      </c>
      <c r="E1279" s="17">
        <v>42915.8</v>
      </c>
      <c r="F1279" s="11">
        <v>6.5</v>
      </c>
      <c r="G1279" s="9">
        <v>3241.5</v>
      </c>
      <c r="H1279" s="10">
        <v>0.46700000000000003</v>
      </c>
      <c r="I1279" s="11">
        <v>6.5</v>
      </c>
    </row>
    <row r="1280" spans="1:9" x14ac:dyDescent="0.35">
      <c r="A1280" s="2" t="s">
        <v>170</v>
      </c>
      <c r="B1280" s="3">
        <v>45108</v>
      </c>
      <c r="C1280" s="2">
        <v>16</v>
      </c>
      <c r="D1280" s="2">
        <v>20812</v>
      </c>
      <c r="E1280" s="17">
        <v>44029.32</v>
      </c>
      <c r="F1280" s="11">
        <v>6.73</v>
      </c>
      <c r="G1280" s="9">
        <v>3123.6</v>
      </c>
      <c r="H1280" s="10">
        <v>0.5</v>
      </c>
      <c r="I1280" s="11">
        <v>7.8</v>
      </c>
    </row>
    <row r="1281" spans="1:9" x14ac:dyDescent="0.35">
      <c r="A1281" s="2" t="s">
        <v>170</v>
      </c>
      <c r="B1281" s="3">
        <v>45139</v>
      </c>
      <c r="C1281" s="2">
        <v>21</v>
      </c>
      <c r="D1281" s="2">
        <v>29275</v>
      </c>
      <c r="E1281" s="17">
        <v>67406.77</v>
      </c>
      <c r="F1281" s="11">
        <v>6.45</v>
      </c>
      <c r="G1281" s="9">
        <v>4549</v>
      </c>
      <c r="H1281" s="10">
        <v>0.38100000000000001</v>
      </c>
      <c r="I1281" s="11">
        <v>7.1</v>
      </c>
    </row>
    <row r="1282" spans="1:9" x14ac:dyDescent="0.35">
      <c r="A1282" s="2" t="s">
        <v>170</v>
      </c>
      <c r="B1282" s="3">
        <v>45170</v>
      </c>
      <c r="C1282" s="2">
        <v>13</v>
      </c>
      <c r="D1282" s="2">
        <v>13950</v>
      </c>
      <c r="E1282" s="17">
        <v>30138.3</v>
      </c>
      <c r="F1282" s="11">
        <v>6.26</v>
      </c>
      <c r="G1282" s="9">
        <v>2281.3000000000002</v>
      </c>
      <c r="H1282" s="10">
        <v>0.46200000000000002</v>
      </c>
      <c r="I1282" s="11">
        <v>7.3</v>
      </c>
    </row>
    <row r="1283" spans="1:9" x14ac:dyDescent="0.35">
      <c r="A1283" s="2" t="s">
        <v>170</v>
      </c>
      <c r="B1283" s="3">
        <v>45200</v>
      </c>
      <c r="C1283" s="2">
        <v>16</v>
      </c>
      <c r="D1283" s="2">
        <v>20585</v>
      </c>
      <c r="E1283" s="17">
        <v>38769.56</v>
      </c>
      <c r="F1283" s="11">
        <v>6.67</v>
      </c>
      <c r="G1283" s="9">
        <v>3061.8</v>
      </c>
      <c r="H1283" s="10">
        <v>0.25</v>
      </c>
      <c r="I1283" s="11">
        <v>6.9</v>
      </c>
    </row>
    <row r="1284" spans="1:9" x14ac:dyDescent="0.35">
      <c r="A1284" s="2" t="s">
        <v>170</v>
      </c>
      <c r="B1284" s="3">
        <v>45231</v>
      </c>
      <c r="C1284" s="2">
        <v>25</v>
      </c>
      <c r="D1284" s="2">
        <v>40357</v>
      </c>
      <c r="E1284" s="17">
        <v>81424.12</v>
      </c>
      <c r="F1284" s="11">
        <v>6.44</v>
      </c>
      <c r="G1284" s="9">
        <v>6268.5</v>
      </c>
      <c r="H1284" s="10">
        <v>0.52</v>
      </c>
      <c r="I1284" s="11">
        <v>6.4</v>
      </c>
    </row>
    <row r="1285" spans="1:9" x14ac:dyDescent="0.35">
      <c r="A1285" s="2" t="s">
        <v>170</v>
      </c>
      <c r="B1285" s="3">
        <v>45261</v>
      </c>
      <c r="C1285" s="2">
        <v>24</v>
      </c>
      <c r="D1285" s="2">
        <v>34829</v>
      </c>
      <c r="E1285" s="17">
        <v>73822.429999999993</v>
      </c>
      <c r="F1285" s="11">
        <v>6.49</v>
      </c>
      <c r="G1285" s="9">
        <v>5470.7</v>
      </c>
      <c r="H1285" s="10">
        <v>0.45800000000000002</v>
      </c>
      <c r="I1285" s="11">
        <v>5.8</v>
      </c>
    </row>
    <row r="1286" spans="1:9" x14ac:dyDescent="0.35">
      <c r="A1286" s="2" t="s">
        <v>170</v>
      </c>
      <c r="B1286" s="3">
        <v>45292</v>
      </c>
      <c r="C1286" s="2">
        <v>9</v>
      </c>
      <c r="D1286" s="2">
        <v>14272</v>
      </c>
      <c r="E1286" s="17">
        <v>29679.439999999999</v>
      </c>
      <c r="F1286" s="11">
        <v>6.3</v>
      </c>
      <c r="G1286" s="9">
        <v>2239.6</v>
      </c>
      <c r="H1286" s="10">
        <v>0.33300000000000002</v>
      </c>
      <c r="I1286" s="11">
        <v>5.8</v>
      </c>
    </row>
    <row r="1287" spans="1:9" x14ac:dyDescent="0.35">
      <c r="A1287" s="2" t="s">
        <v>170</v>
      </c>
      <c r="B1287" s="3">
        <v>45323</v>
      </c>
      <c r="C1287" s="2">
        <v>19</v>
      </c>
      <c r="D1287" s="2">
        <v>33852</v>
      </c>
      <c r="E1287" s="17">
        <v>68961.179999999993</v>
      </c>
      <c r="F1287" s="11">
        <v>6.5</v>
      </c>
      <c r="G1287" s="9">
        <v>5390</v>
      </c>
      <c r="H1287" s="10">
        <v>0.47399999999999998</v>
      </c>
      <c r="I1287" s="11">
        <v>7.2</v>
      </c>
    </row>
    <row r="1288" spans="1:9" x14ac:dyDescent="0.35">
      <c r="A1288" s="2" t="s">
        <v>170</v>
      </c>
      <c r="B1288" s="3">
        <v>45352</v>
      </c>
      <c r="C1288" s="2">
        <v>14</v>
      </c>
      <c r="D1288" s="2">
        <v>23331</v>
      </c>
      <c r="E1288" s="17">
        <v>56419.03</v>
      </c>
      <c r="F1288" s="11">
        <v>6.68</v>
      </c>
      <c r="G1288" s="9">
        <v>3485.6</v>
      </c>
      <c r="H1288" s="10">
        <v>0.57099999999999995</v>
      </c>
      <c r="I1288" s="11">
        <v>6.5</v>
      </c>
    </row>
    <row r="1289" spans="1:9" x14ac:dyDescent="0.35">
      <c r="A1289" s="2" t="s">
        <v>170</v>
      </c>
      <c r="B1289" s="3">
        <v>45383</v>
      </c>
      <c r="C1289" s="2">
        <v>14</v>
      </c>
      <c r="D1289" s="2">
        <v>11566</v>
      </c>
      <c r="E1289" s="17">
        <v>23702.62</v>
      </c>
      <c r="F1289" s="11">
        <v>6.34</v>
      </c>
      <c r="G1289" s="9">
        <v>1822.7</v>
      </c>
      <c r="H1289" s="10">
        <v>0.5</v>
      </c>
      <c r="I1289" s="11">
        <v>7.3</v>
      </c>
    </row>
    <row r="1290" spans="1:9" x14ac:dyDescent="0.35">
      <c r="A1290" s="2" t="s">
        <v>170</v>
      </c>
      <c r="B1290" s="3">
        <v>45413</v>
      </c>
      <c r="C1290" s="2">
        <v>13</v>
      </c>
      <c r="D1290" s="2">
        <v>20162</v>
      </c>
      <c r="E1290" s="17">
        <v>42347.89</v>
      </c>
      <c r="F1290" s="11">
        <v>6.49</v>
      </c>
      <c r="G1290" s="9">
        <v>3144.1</v>
      </c>
      <c r="H1290" s="10">
        <v>0.38500000000000001</v>
      </c>
      <c r="I1290" s="11">
        <v>6.7</v>
      </c>
    </row>
    <row r="1291" spans="1:9" x14ac:dyDescent="0.35">
      <c r="A1291" s="2" t="s">
        <v>170</v>
      </c>
      <c r="B1291" s="3">
        <v>45444</v>
      </c>
      <c r="C1291" s="2">
        <v>15</v>
      </c>
      <c r="D1291" s="2">
        <v>20627</v>
      </c>
      <c r="E1291" s="17">
        <v>41724.79</v>
      </c>
      <c r="F1291" s="11">
        <v>6.35</v>
      </c>
      <c r="G1291" s="9">
        <v>3266.9</v>
      </c>
      <c r="H1291" s="10">
        <v>0.46700000000000003</v>
      </c>
      <c r="I1291" s="11">
        <v>7.5</v>
      </c>
    </row>
    <row r="1292" spans="1:9" x14ac:dyDescent="0.35">
      <c r="A1292" s="2" t="s">
        <v>170</v>
      </c>
      <c r="B1292" s="3">
        <v>45474</v>
      </c>
      <c r="C1292" s="2">
        <v>26</v>
      </c>
      <c r="D1292" s="2">
        <v>32146</v>
      </c>
      <c r="E1292" s="17">
        <v>72398.64</v>
      </c>
      <c r="F1292" s="11">
        <v>6.7</v>
      </c>
      <c r="G1292" s="9">
        <v>4735.2</v>
      </c>
      <c r="H1292" s="10">
        <v>0.5</v>
      </c>
      <c r="I1292" s="11">
        <v>6.7</v>
      </c>
    </row>
    <row r="1293" spans="1:9" x14ac:dyDescent="0.35">
      <c r="A1293" s="2" t="s">
        <v>170</v>
      </c>
      <c r="B1293" s="3">
        <v>45505</v>
      </c>
      <c r="C1293" s="2">
        <v>19</v>
      </c>
      <c r="D1293" s="2">
        <v>20563</v>
      </c>
      <c r="E1293" s="17">
        <v>45824.9</v>
      </c>
      <c r="F1293" s="11">
        <v>6.33</v>
      </c>
      <c r="G1293" s="9">
        <v>3259.2</v>
      </c>
      <c r="H1293" s="10">
        <v>0.36799999999999999</v>
      </c>
      <c r="I1293" s="11">
        <v>6.9</v>
      </c>
    </row>
    <row r="1294" spans="1:9" x14ac:dyDescent="0.35">
      <c r="A1294" s="2" t="s">
        <v>170</v>
      </c>
      <c r="B1294" s="3">
        <v>45536</v>
      </c>
      <c r="C1294" s="2">
        <v>17</v>
      </c>
      <c r="D1294" s="2">
        <v>18971</v>
      </c>
      <c r="E1294" s="17">
        <v>41814.730000000003</v>
      </c>
      <c r="F1294" s="11">
        <v>6.45</v>
      </c>
      <c r="G1294" s="9">
        <v>2969.1</v>
      </c>
      <c r="H1294" s="10">
        <v>0.41199999999999998</v>
      </c>
      <c r="I1294" s="11">
        <v>7.3</v>
      </c>
    </row>
    <row r="1295" spans="1:9" x14ac:dyDescent="0.35">
      <c r="A1295" s="2" t="s">
        <v>170</v>
      </c>
      <c r="B1295" s="3">
        <v>45566</v>
      </c>
      <c r="C1295" s="2">
        <v>13</v>
      </c>
      <c r="D1295" s="2">
        <v>17433</v>
      </c>
      <c r="E1295" s="17">
        <v>34189.65</v>
      </c>
      <c r="F1295" s="11">
        <v>6.62</v>
      </c>
      <c r="G1295" s="9">
        <v>2634.7</v>
      </c>
      <c r="H1295" s="10">
        <v>0.38500000000000001</v>
      </c>
      <c r="I1295" s="11">
        <v>6.8</v>
      </c>
    </row>
    <row r="1296" spans="1:9" x14ac:dyDescent="0.35">
      <c r="A1296" s="2" t="s">
        <v>170</v>
      </c>
      <c r="B1296" s="3">
        <v>45597</v>
      </c>
      <c r="C1296" s="2">
        <v>13</v>
      </c>
      <c r="D1296" s="2">
        <v>19929</v>
      </c>
      <c r="E1296" s="17">
        <v>35586.29</v>
      </c>
      <c r="F1296" s="11">
        <v>6.51</v>
      </c>
      <c r="G1296" s="9">
        <v>3064.5</v>
      </c>
      <c r="H1296" s="10">
        <v>7.6999999999999999E-2</v>
      </c>
      <c r="I1296" s="11">
        <v>6.6</v>
      </c>
    </row>
    <row r="1297" spans="1:9" x14ac:dyDescent="0.35">
      <c r="A1297" s="2" t="s">
        <v>170</v>
      </c>
      <c r="B1297" s="3">
        <v>45627</v>
      </c>
      <c r="C1297" s="2">
        <v>15</v>
      </c>
      <c r="D1297" s="2">
        <v>15252</v>
      </c>
      <c r="E1297" s="17">
        <v>28084.2</v>
      </c>
      <c r="F1297" s="11">
        <v>6.66</v>
      </c>
      <c r="G1297" s="9">
        <v>2282.3000000000002</v>
      </c>
      <c r="H1297" s="10">
        <v>0.6</v>
      </c>
      <c r="I1297" s="11">
        <v>7.6</v>
      </c>
    </row>
    <row r="1298" spans="1:9" x14ac:dyDescent="0.35">
      <c r="A1298" s="2" t="s">
        <v>172</v>
      </c>
      <c r="B1298" s="3">
        <v>44562</v>
      </c>
      <c r="C1298" s="2">
        <v>22</v>
      </c>
      <c r="D1298" s="2">
        <v>34887</v>
      </c>
      <c r="E1298" s="17">
        <v>68019.179999999993</v>
      </c>
      <c r="F1298" s="11">
        <v>6.6</v>
      </c>
      <c r="G1298" s="9">
        <v>5282.6</v>
      </c>
      <c r="H1298" s="10">
        <v>0.63600000000000001</v>
      </c>
      <c r="I1298" s="11">
        <v>7.8</v>
      </c>
    </row>
    <row r="1299" spans="1:9" x14ac:dyDescent="0.35">
      <c r="A1299" s="2" t="s">
        <v>172</v>
      </c>
      <c r="B1299" s="3">
        <v>44593</v>
      </c>
      <c r="C1299" s="2">
        <v>18</v>
      </c>
      <c r="D1299" s="2">
        <v>22417</v>
      </c>
      <c r="E1299" s="17">
        <v>46616.04</v>
      </c>
      <c r="F1299" s="11">
        <v>6.45</v>
      </c>
      <c r="G1299" s="9">
        <v>3474.8</v>
      </c>
      <c r="H1299" s="10">
        <v>0.61099999999999999</v>
      </c>
      <c r="I1299" s="11">
        <v>7.4</v>
      </c>
    </row>
    <row r="1300" spans="1:9" x14ac:dyDescent="0.35">
      <c r="A1300" s="2" t="s">
        <v>172</v>
      </c>
      <c r="B1300" s="3">
        <v>44621</v>
      </c>
      <c r="C1300" s="2">
        <v>18</v>
      </c>
      <c r="D1300" s="2">
        <v>29276</v>
      </c>
      <c r="E1300" s="17">
        <v>61089.760000000002</v>
      </c>
      <c r="F1300" s="11">
        <v>6.58</v>
      </c>
      <c r="G1300" s="9">
        <v>4537.8999999999996</v>
      </c>
      <c r="H1300" s="10">
        <v>0.5</v>
      </c>
      <c r="I1300" s="11">
        <v>6.6</v>
      </c>
    </row>
    <row r="1301" spans="1:9" x14ac:dyDescent="0.35">
      <c r="A1301" s="2" t="s">
        <v>172</v>
      </c>
      <c r="B1301" s="3">
        <v>44652</v>
      </c>
      <c r="C1301" s="2">
        <v>19</v>
      </c>
      <c r="D1301" s="2">
        <v>22310</v>
      </c>
      <c r="E1301" s="17">
        <v>44003.86</v>
      </c>
      <c r="F1301" s="11">
        <v>6.66</v>
      </c>
      <c r="G1301" s="9">
        <v>3472.2</v>
      </c>
      <c r="H1301" s="10">
        <v>0.36799999999999999</v>
      </c>
      <c r="I1301" s="11">
        <v>6.4</v>
      </c>
    </row>
    <row r="1302" spans="1:9" x14ac:dyDescent="0.35">
      <c r="A1302" s="2" t="s">
        <v>172</v>
      </c>
      <c r="B1302" s="3">
        <v>44682</v>
      </c>
      <c r="C1302" s="2">
        <v>20</v>
      </c>
      <c r="D1302" s="2">
        <v>29933</v>
      </c>
      <c r="E1302" s="17">
        <v>63781.14</v>
      </c>
      <c r="F1302" s="11">
        <v>6.32</v>
      </c>
      <c r="G1302" s="9">
        <v>4804</v>
      </c>
      <c r="H1302" s="10">
        <v>0.35</v>
      </c>
      <c r="I1302" s="11">
        <v>6</v>
      </c>
    </row>
    <row r="1303" spans="1:9" x14ac:dyDescent="0.35">
      <c r="A1303" s="2" t="s">
        <v>172</v>
      </c>
      <c r="B1303" s="3">
        <v>44713</v>
      </c>
      <c r="C1303" s="2">
        <v>20</v>
      </c>
      <c r="D1303" s="2">
        <v>23377</v>
      </c>
      <c r="E1303" s="17">
        <v>52902.9</v>
      </c>
      <c r="F1303" s="11">
        <v>6.55</v>
      </c>
      <c r="G1303" s="9">
        <v>3590.2</v>
      </c>
      <c r="H1303" s="10">
        <v>0.4</v>
      </c>
      <c r="I1303" s="11">
        <v>7.2</v>
      </c>
    </row>
    <row r="1304" spans="1:9" x14ac:dyDescent="0.35">
      <c r="A1304" s="2" t="s">
        <v>172</v>
      </c>
      <c r="B1304" s="3">
        <v>44743</v>
      </c>
      <c r="C1304" s="2">
        <v>27</v>
      </c>
      <c r="D1304" s="2">
        <v>43354</v>
      </c>
      <c r="E1304" s="17">
        <v>92001.04</v>
      </c>
      <c r="F1304" s="11">
        <v>6.5</v>
      </c>
      <c r="G1304" s="9">
        <v>6683.6</v>
      </c>
      <c r="H1304" s="10">
        <v>0.40699999999999997</v>
      </c>
      <c r="I1304" s="11">
        <v>7.8</v>
      </c>
    </row>
    <row r="1305" spans="1:9" x14ac:dyDescent="0.35">
      <c r="A1305" s="2" t="s">
        <v>172</v>
      </c>
      <c r="B1305" s="3">
        <v>44774</v>
      </c>
      <c r="C1305" s="2">
        <v>18</v>
      </c>
      <c r="D1305" s="2">
        <v>29308</v>
      </c>
      <c r="E1305" s="17">
        <v>62885.91</v>
      </c>
      <c r="F1305" s="11">
        <v>6.56</v>
      </c>
      <c r="G1305" s="9">
        <v>4463</v>
      </c>
      <c r="H1305" s="10">
        <v>0.27800000000000002</v>
      </c>
      <c r="I1305" s="11">
        <v>7.3</v>
      </c>
    </row>
    <row r="1306" spans="1:9" x14ac:dyDescent="0.35">
      <c r="A1306" s="2" t="s">
        <v>172</v>
      </c>
      <c r="B1306" s="3">
        <v>44805</v>
      </c>
      <c r="C1306" s="2">
        <v>18</v>
      </c>
      <c r="D1306" s="2">
        <v>24621</v>
      </c>
      <c r="E1306" s="17">
        <v>48554.44</v>
      </c>
      <c r="F1306" s="11">
        <v>6.49</v>
      </c>
      <c r="G1306" s="9">
        <v>3876.1</v>
      </c>
      <c r="H1306" s="10">
        <v>0.44400000000000001</v>
      </c>
      <c r="I1306" s="11">
        <v>7.1</v>
      </c>
    </row>
    <row r="1307" spans="1:9" x14ac:dyDescent="0.35">
      <c r="A1307" s="2" t="s">
        <v>172</v>
      </c>
      <c r="B1307" s="3">
        <v>44835</v>
      </c>
      <c r="C1307" s="2">
        <v>26</v>
      </c>
      <c r="D1307" s="2">
        <v>41015</v>
      </c>
      <c r="E1307" s="17">
        <v>88998.74</v>
      </c>
      <c r="F1307" s="11">
        <v>6.52</v>
      </c>
      <c r="G1307" s="9">
        <v>6333.8</v>
      </c>
      <c r="H1307" s="10">
        <v>0.61499999999999999</v>
      </c>
      <c r="I1307" s="11">
        <v>7.6</v>
      </c>
    </row>
    <row r="1308" spans="1:9" x14ac:dyDescent="0.35">
      <c r="A1308" s="2" t="s">
        <v>172</v>
      </c>
      <c r="B1308" s="3">
        <v>44866</v>
      </c>
      <c r="C1308" s="2">
        <v>14</v>
      </c>
      <c r="D1308" s="2">
        <v>15710</v>
      </c>
      <c r="E1308" s="17">
        <v>32128.26</v>
      </c>
      <c r="F1308" s="11">
        <v>6.46</v>
      </c>
      <c r="G1308" s="9">
        <v>2437.8000000000002</v>
      </c>
      <c r="H1308" s="10">
        <v>0.35699999999999998</v>
      </c>
      <c r="I1308" s="11">
        <v>7.5</v>
      </c>
    </row>
    <row r="1309" spans="1:9" x14ac:dyDescent="0.35">
      <c r="A1309" s="2" t="s">
        <v>172</v>
      </c>
      <c r="B1309" s="3">
        <v>44896</v>
      </c>
      <c r="C1309" s="2">
        <v>18</v>
      </c>
      <c r="D1309" s="2">
        <v>27027</v>
      </c>
      <c r="E1309" s="17">
        <v>57699.13</v>
      </c>
      <c r="F1309" s="11">
        <v>6.45</v>
      </c>
      <c r="G1309" s="9">
        <v>4284.8</v>
      </c>
      <c r="H1309" s="10">
        <v>0.33300000000000002</v>
      </c>
      <c r="I1309" s="11">
        <v>7.1</v>
      </c>
    </row>
    <row r="1310" spans="1:9" x14ac:dyDescent="0.35">
      <c r="A1310" s="2" t="s">
        <v>172</v>
      </c>
      <c r="B1310" s="3">
        <v>44927</v>
      </c>
      <c r="C1310" s="2">
        <v>23</v>
      </c>
      <c r="D1310" s="2">
        <v>31901</v>
      </c>
      <c r="E1310" s="17">
        <v>64346.22</v>
      </c>
      <c r="F1310" s="11">
        <v>6.32</v>
      </c>
      <c r="G1310" s="9">
        <v>5112</v>
      </c>
      <c r="H1310" s="10">
        <v>0.34799999999999998</v>
      </c>
      <c r="I1310" s="11">
        <v>6.4</v>
      </c>
    </row>
    <row r="1311" spans="1:9" x14ac:dyDescent="0.35">
      <c r="A1311" s="2" t="s">
        <v>172</v>
      </c>
      <c r="B1311" s="3">
        <v>44958</v>
      </c>
      <c r="C1311" s="2">
        <v>16</v>
      </c>
      <c r="D1311" s="2">
        <v>23361</v>
      </c>
      <c r="E1311" s="17">
        <v>54851.14</v>
      </c>
      <c r="F1311" s="11">
        <v>6.49</v>
      </c>
      <c r="G1311" s="9">
        <v>3593.1</v>
      </c>
      <c r="H1311" s="10">
        <v>0.56200000000000006</v>
      </c>
      <c r="I1311" s="11">
        <v>7</v>
      </c>
    </row>
    <row r="1312" spans="1:9" x14ac:dyDescent="0.35">
      <c r="A1312" s="2" t="s">
        <v>172</v>
      </c>
      <c r="B1312" s="3">
        <v>44986</v>
      </c>
      <c r="C1312" s="2">
        <v>18</v>
      </c>
      <c r="D1312" s="2">
        <v>26480</v>
      </c>
      <c r="E1312" s="17">
        <v>55017.85</v>
      </c>
      <c r="F1312" s="11">
        <v>6.33</v>
      </c>
      <c r="G1312" s="9">
        <v>4272.2</v>
      </c>
      <c r="H1312" s="10">
        <v>0.38900000000000001</v>
      </c>
      <c r="I1312" s="11">
        <v>7.4</v>
      </c>
    </row>
    <row r="1313" spans="1:9" x14ac:dyDescent="0.35">
      <c r="A1313" s="2" t="s">
        <v>172</v>
      </c>
      <c r="B1313" s="3">
        <v>45017</v>
      </c>
      <c r="C1313" s="2">
        <v>16</v>
      </c>
      <c r="D1313" s="2">
        <v>26113</v>
      </c>
      <c r="E1313" s="17">
        <v>60917.96</v>
      </c>
      <c r="F1313" s="11">
        <v>6.52</v>
      </c>
      <c r="G1313" s="9">
        <v>4078.5</v>
      </c>
      <c r="H1313" s="10">
        <v>0.25</v>
      </c>
      <c r="I1313" s="11">
        <v>7.6</v>
      </c>
    </row>
    <row r="1314" spans="1:9" x14ac:dyDescent="0.35">
      <c r="A1314" s="2" t="s">
        <v>172</v>
      </c>
      <c r="B1314" s="3">
        <v>45047</v>
      </c>
      <c r="C1314" s="2">
        <v>17</v>
      </c>
      <c r="D1314" s="2">
        <v>22625</v>
      </c>
      <c r="E1314" s="17">
        <v>48177.08</v>
      </c>
      <c r="F1314" s="11">
        <v>6.42</v>
      </c>
      <c r="G1314" s="9">
        <v>3574.1</v>
      </c>
      <c r="H1314" s="10">
        <v>0.17599999999999999</v>
      </c>
      <c r="I1314" s="11">
        <v>6.9</v>
      </c>
    </row>
    <row r="1315" spans="1:9" x14ac:dyDescent="0.35">
      <c r="A1315" s="2" t="s">
        <v>172</v>
      </c>
      <c r="B1315" s="3">
        <v>45078</v>
      </c>
      <c r="C1315" s="2">
        <v>22</v>
      </c>
      <c r="D1315" s="2">
        <v>28716</v>
      </c>
      <c r="E1315" s="17">
        <v>66442.509999999995</v>
      </c>
      <c r="F1315" s="11">
        <v>6.39</v>
      </c>
      <c r="G1315" s="9">
        <v>4519.8</v>
      </c>
      <c r="H1315" s="10">
        <v>0.68200000000000005</v>
      </c>
      <c r="I1315" s="11">
        <v>7.4</v>
      </c>
    </row>
    <row r="1316" spans="1:9" x14ac:dyDescent="0.35">
      <c r="A1316" s="2" t="s">
        <v>172</v>
      </c>
      <c r="B1316" s="3">
        <v>45108</v>
      </c>
      <c r="C1316" s="2">
        <v>21</v>
      </c>
      <c r="D1316" s="2">
        <v>31499</v>
      </c>
      <c r="E1316" s="17">
        <v>64323.31</v>
      </c>
      <c r="F1316" s="11">
        <v>6.74</v>
      </c>
      <c r="G1316" s="9">
        <v>4631.7</v>
      </c>
      <c r="H1316" s="10">
        <v>0.33300000000000002</v>
      </c>
      <c r="I1316" s="11">
        <v>6.4</v>
      </c>
    </row>
    <row r="1317" spans="1:9" x14ac:dyDescent="0.35">
      <c r="A1317" s="2" t="s">
        <v>172</v>
      </c>
      <c r="B1317" s="3">
        <v>45139</v>
      </c>
      <c r="C1317" s="2">
        <v>20</v>
      </c>
      <c r="D1317" s="2">
        <v>27847</v>
      </c>
      <c r="E1317" s="17">
        <v>62072.87</v>
      </c>
      <c r="F1317" s="11">
        <v>6.4</v>
      </c>
      <c r="G1317" s="9">
        <v>4444</v>
      </c>
      <c r="H1317" s="10">
        <v>0.3</v>
      </c>
      <c r="I1317" s="11">
        <v>6.8</v>
      </c>
    </row>
    <row r="1318" spans="1:9" x14ac:dyDescent="0.35">
      <c r="A1318" s="2" t="s">
        <v>172</v>
      </c>
      <c r="B1318" s="3">
        <v>45170</v>
      </c>
      <c r="C1318" s="2">
        <v>23</v>
      </c>
      <c r="D1318" s="2">
        <v>29701</v>
      </c>
      <c r="E1318" s="17">
        <v>60053.43</v>
      </c>
      <c r="F1318" s="11">
        <v>6.36</v>
      </c>
      <c r="G1318" s="9">
        <v>4683.1000000000004</v>
      </c>
      <c r="H1318" s="10">
        <v>0.34799999999999998</v>
      </c>
      <c r="I1318" s="11">
        <v>7.7</v>
      </c>
    </row>
    <row r="1319" spans="1:9" x14ac:dyDescent="0.35">
      <c r="A1319" s="2" t="s">
        <v>172</v>
      </c>
      <c r="B1319" s="3">
        <v>45200</v>
      </c>
      <c r="C1319" s="2">
        <v>11</v>
      </c>
      <c r="D1319" s="2">
        <v>17786</v>
      </c>
      <c r="E1319" s="17">
        <v>38094.300000000003</v>
      </c>
      <c r="F1319" s="11">
        <v>6.28</v>
      </c>
      <c r="G1319" s="9">
        <v>2878.7</v>
      </c>
      <c r="H1319" s="10">
        <v>0.45500000000000002</v>
      </c>
      <c r="I1319" s="11">
        <v>7.1</v>
      </c>
    </row>
    <row r="1320" spans="1:9" x14ac:dyDescent="0.35">
      <c r="A1320" s="2" t="s">
        <v>172</v>
      </c>
      <c r="B1320" s="3">
        <v>45231</v>
      </c>
      <c r="C1320" s="2">
        <v>21</v>
      </c>
      <c r="D1320" s="2">
        <v>29020</v>
      </c>
      <c r="E1320" s="17">
        <v>55773.75</v>
      </c>
      <c r="F1320" s="11">
        <v>6.72</v>
      </c>
      <c r="G1320" s="9">
        <v>4337.5</v>
      </c>
      <c r="H1320" s="10">
        <v>0.52400000000000002</v>
      </c>
      <c r="I1320" s="11">
        <v>6.6</v>
      </c>
    </row>
    <row r="1321" spans="1:9" x14ac:dyDescent="0.35">
      <c r="A1321" s="2" t="s">
        <v>172</v>
      </c>
      <c r="B1321" s="3">
        <v>45261</v>
      </c>
      <c r="C1321" s="2">
        <v>28</v>
      </c>
      <c r="D1321" s="2">
        <v>41499</v>
      </c>
      <c r="E1321" s="17">
        <v>88463.54</v>
      </c>
      <c r="F1321" s="11">
        <v>6.5</v>
      </c>
      <c r="G1321" s="9">
        <v>6395.8</v>
      </c>
      <c r="H1321" s="10">
        <v>0.39300000000000002</v>
      </c>
      <c r="I1321" s="11">
        <v>5.9</v>
      </c>
    </row>
    <row r="1322" spans="1:9" x14ac:dyDescent="0.35">
      <c r="A1322" s="2" t="s">
        <v>172</v>
      </c>
      <c r="B1322" s="3">
        <v>45292</v>
      </c>
      <c r="C1322" s="2">
        <v>18</v>
      </c>
      <c r="D1322" s="2">
        <v>19321</v>
      </c>
      <c r="E1322" s="17">
        <v>43833.59</v>
      </c>
      <c r="F1322" s="11">
        <v>6.62</v>
      </c>
      <c r="G1322" s="9">
        <v>2962.9</v>
      </c>
      <c r="H1322" s="10">
        <v>0.44400000000000001</v>
      </c>
      <c r="I1322" s="11">
        <v>6.4</v>
      </c>
    </row>
    <row r="1323" spans="1:9" x14ac:dyDescent="0.35">
      <c r="A1323" s="2" t="s">
        <v>172</v>
      </c>
      <c r="B1323" s="3">
        <v>45323</v>
      </c>
      <c r="C1323" s="2">
        <v>14</v>
      </c>
      <c r="D1323" s="2">
        <v>19150</v>
      </c>
      <c r="E1323" s="17">
        <v>38012.69</v>
      </c>
      <c r="F1323" s="11">
        <v>6.3</v>
      </c>
      <c r="G1323" s="9">
        <v>3062.9</v>
      </c>
      <c r="H1323" s="10">
        <v>0.42899999999999999</v>
      </c>
      <c r="I1323" s="11">
        <v>7.2</v>
      </c>
    </row>
    <row r="1324" spans="1:9" x14ac:dyDescent="0.35">
      <c r="A1324" s="2" t="s">
        <v>172</v>
      </c>
      <c r="B1324" s="3">
        <v>45352</v>
      </c>
      <c r="C1324" s="2">
        <v>20</v>
      </c>
      <c r="D1324" s="2">
        <v>34832</v>
      </c>
      <c r="E1324" s="17">
        <v>77938.820000000007</v>
      </c>
      <c r="F1324" s="11">
        <v>6.43</v>
      </c>
      <c r="G1324" s="9">
        <v>5551.9</v>
      </c>
      <c r="H1324" s="10">
        <v>0.6</v>
      </c>
      <c r="I1324" s="11">
        <v>7.6</v>
      </c>
    </row>
    <row r="1325" spans="1:9" x14ac:dyDescent="0.35">
      <c r="A1325" s="2" t="s">
        <v>172</v>
      </c>
      <c r="B1325" s="3">
        <v>45383</v>
      </c>
      <c r="C1325" s="2">
        <v>20</v>
      </c>
      <c r="D1325" s="2">
        <v>26154</v>
      </c>
      <c r="E1325" s="17">
        <v>54438.6</v>
      </c>
      <c r="F1325" s="11">
        <v>6.57</v>
      </c>
      <c r="G1325" s="9">
        <v>4041</v>
      </c>
      <c r="H1325" s="10">
        <v>0.5</v>
      </c>
      <c r="I1325" s="11">
        <v>6.6</v>
      </c>
    </row>
    <row r="1326" spans="1:9" x14ac:dyDescent="0.35">
      <c r="A1326" s="2" t="s">
        <v>172</v>
      </c>
      <c r="B1326" s="3">
        <v>45413</v>
      </c>
      <c r="C1326" s="2">
        <v>12</v>
      </c>
      <c r="D1326" s="2">
        <v>14357</v>
      </c>
      <c r="E1326" s="17">
        <v>29586.43</v>
      </c>
      <c r="F1326" s="11">
        <v>6.87</v>
      </c>
      <c r="G1326" s="9">
        <v>2066.9</v>
      </c>
      <c r="H1326" s="10">
        <v>0.58299999999999996</v>
      </c>
      <c r="I1326" s="11">
        <v>6.7</v>
      </c>
    </row>
    <row r="1327" spans="1:9" x14ac:dyDescent="0.35">
      <c r="A1327" s="2" t="s">
        <v>172</v>
      </c>
      <c r="B1327" s="3">
        <v>45444</v>
      </c>
      <c r="C1327" s="2">
        <v>21</v>
      </c>
      <c r="D1327" s="2">
        <v>29920</v>
      </c>
      <c r="E1327" s="17">
        <v>59460.69</v>
      </c>
      <c r="F1327" s="11">
        <v>6.36</v>
      </c>
      <c r="G1327" s="9">
        <v>4767</v>
      </c>
      <c r="H1327" s="10">
        <v>0.42899999999999999</v>
      </c>
      <c r="I1327" s="11">
        <v>6.4</v>
      </c>
    </row>
    <row r="1328" spans="1:9" x14ac:dyDescent="0.35">
      <c r="A1328" s="2" t="s">
        <v>172</v>
      </c>
      <c r="B1328" s="3">
        <v>45474</v>
      </c>
      <c r="C1328" s="2">
        <v>23</v>
      </c>
      <c r="D1328" s="2">
        <v>33211</v>
      </c>
      <c r="E1328" s="17">
        <v>70971.34</v>
      </c>
      <c r="F1328" s="11">
        <v>6.67</v>
      </c>
      <c r="G1328" s="9">
        <v>5072.8</v>
      </c>
      <c r="H1328" s="10">
        <v>0.39100000000000001</v>
      </c>
      <c r="I1328" s="11">
        <v>6.9</v>
      </c>
    </row>
    <row r="1329" spans="1:9" x14ac:dyDescent="0.35">
      <c r="A1329" s="2" t="s">
        <v>172</v>
      </c>
      <c r="B1329" s="3">
        <v>45505</v>
      </c>
      <c r="C1329" s="2">
        <v>19</v>
      </c>
      <c r="D1329" s="2">
        <v>31974</v>
      </c>
      <c r="E1329" s="17">
        <v>72768.149999999994</v>
      </c>
      <c r="F1329" s="11">
        <v>6.48</v>
      </c>
      <c r="G1329" s="9">
        <v>5016.7</v>
      </c>
      <c r="H1329" s="10">
        <v>0.52600000000000002</v>
      </c>
      <c r="I1329" s="11">
        <v>7.5</v>
      </c>
    </row>
    <row r="1330" spans="1:9" x14ac:dyDescent="0.35">
      <c r="A1330" s="2" t="s">
        <v>172</v>
      </c>
      <c r="B1330" s="3">
        <v>45536</v>
      </c>
      <c r="C1330" s="2">
        <v>21</v>
      </c>
      <c r="D1330" s="2">
        <v>24069</v>
      </c>
      <c r="E1330" s="17">
        <v>49472.74</v>
      </c>
      <c r="F1330" s="11">
        <v>6.62</v>
      </c>
      <c r="G1330" s="9">
        <v>3731.3</v>
      </c>
      <c r="H1330" s="10">
        <v>0.66700000000000004</v>
      </c>
      <c r="I1330" s="11">
        <v>7</v>
      </c>
    </row>
    <row r="1331" spans="1:9" x14ac:dyDescent="0.35">
      <c r="A1331" s="2" t="s">
        <v>172</v>
      </c>
      <c r="B1331" s="3">
        <v>45566</v>
      </c>
      <c r="C1331" s="2">
        <v>19</v>
      </c>
      <c r="D1331" s="2">
        <v>23278</v>
      </c>
      <c r="E1331" s="17">
        <v>49047.06</v>
      </c>
      <c r="F1331" s="11">
        <v>6.52</v>
      </c>
      <c r="G1331" s="9">
        <v>3600.2</v>
      </c>
      <c r="H1331" s="10">
        <v>0.42099999999999999</v>
      </c>
      <c r="I1331" s="11">
        <v>6.2</v>
      </c>
    </row>
    <row r="1332" spans="1:9" x14ac:dyDescent="0.35">
      <c r="A1332" s="2" t="s">
        <v>172</v>
      </c>
      <c r="B1332" s="3">
        <v>45597</v>
      </c>
      <c r="C1332" s="2">
        <v>13</v>
      </c>
      <c r="D1332" s="2">
        <v>17743</v>
      </c>
      <c r="E1332" s="17">
        <v>37002.160000000003</v>
      </c>
      <c r="F1332" s="11">
        <v>6.44</v>
      </c>
      <c r="G1332" s="9">
        <v>2846.5</v>
      </c>
      <c r="H1332" s="10">
        <v>0.38500000000000001</v>
      </c>
      <c r="I1332" s="11">
        <v>6.7</v>
      </c>
    </row>
    <row r="1333" spans="1:9" x14ac:dyDescent="0.35">
      <c r="A1333" s="2" t="s">
        <v>172</v>
      </c>
      <c r="B1333" s="3">
        <v>45627</v>
      </c>
      <c r="C1333" s="2">
        <v>20</v>
      </c>
      <c r="D1333" s="2">
        <v>26417</v>
      </c>
      <c r="E1333" s="17">
        <v>52190.2</v>
      </c>
      <c r="F1333" s="11">
        <v>6.61</v>
      </c>
      <c r="G1333" s="9">
        <v>4018.5</v>
      </c>
      <c r="H1333" s="10">
        <v>0.3</v>
      </c>
      <c r="I1333" s="11">
        <v>6.7</v>
      </c>
    </row>
    <row r="1334" spans="1:9" x14ac:dyDescent="0.35">
      <c r="A1334" s="2" t="s">
        <v>175</v>
      </c>
      <c r="B1334" s="3">
        <v>44562</v>
      </c>
      <c r="C1334" s="2">
        <v>15</v>
      </c>
      <c r="D1334" s="2">
        <v>20754</v>
      </c>
      <c r="E1334" s="17">
        <v>43364.87</v>
      </c>
      <c r="F1334" s="11">
        <v>6.41</v>
      </c>
      <c r="G1334" s="9">
        <v>3269.8</v>
      </c>
      <c r="H1334" s="10">
        <v>0.33300000000000002</v>
      </c>
      <c r="I1334" s="11">
        <v>7.3</v>
      </c>
    </row>
    <row r="1335" spans="1:9" x14ac:dyDescent="0.35">
      <c r="A1335" s="2" t="s">
        <v>175</v>
      </c>
      <c r="B1335" s="3">
        <v>44593</v>
      </c>
      <c r="C1335" s="2">
        <v>18</v>
      </c>
      <c r="D1335" s="2">
        <v>25247</v>
      </c>
      <c r="E1335" s="17">
        <v>55265.34</v>
      </c>
      <c r="F1335" s="11">
        <v>6.44</v>
      </c>
      <c r="G1335" s="9">
        <v>3851.3</v>
      </c>
      <c r="H1335" s="10">
        <v>0.55600000000000005</v>
      </c>
      <c r="I1335" s="11">
        <v>6.9</v>
      </c>
    </row>
    <row r="1336" spans="1:9" x14ac:dyDescent="0.35">
      <c r="A1336" s="2" t="s">
        <v>175</v>
      </c>
      <c r="B1336" s="3">
        <v>44621</v>
      </c>
      <c r="C1336" s="2">
        <v>15</v>
      </c>
      <c r="D1336" s="2">
        <v>20738</v>
      </c>
      <c r="E1336" s="17">
        <v>44146.41</v>
      </c>
      <c r="F1336" s="11">
        <v>6.65</v>
      </c>
      <c r="G1336" s="9">
        <v>3091.4</v>
      </c>
      <c r="H1336" s="10">
        <v>0.6</v>
      </c>
      <c r="I1336" s="11">
        <v>5.7</v>
      </c>
    </row>
    <row r="1337" spans="1:9" x14ac:dyDescent="0.35">
      <c r="A1337" s="2" t="s">
        <v>175</v>
      </c>
      <c r="B1337" s="3">
        <v>44652</v>
      </c>
      <c r="C1337" s="2">
        <v>18</v>
      </c>
      <c r="D1337" s="2">
        <v>26922</v>
      </c>
      <c r="E1337" s="17">
        <v>55607.38</v>
      </c>
      <c r="F1337" s="11">
        <v>6.51</v>
      </c>
      <c r="G1337" s="9">
        <v>4211.7</v>
      </c>
      <c r="H1337" s="10">
        <v>0.61099999999999999</v>
      </c>
      <c r="I1337" s="11">
        <v>7.7</v>
      </c>
    </row>
    <row r="1338" spans="1:9" x14ac:dyDescent="0.35">
      <c r="A1338" s="2" t="s">
        <v>175</v>
      </c>
      <c r="B1338" s="3">
        <v>44682</v>
      </c>
      <c r="C1338" s="2">
        <v>19</v>
      </c>
      <c r="D1338" s="2">
        <v>24214</v>
      </c>
      <c r="E1338" s="17">
        <v>53098.58</v>
      </c>
      <c r="F1338" s="11">
        <v>6.62</v>
      </c>
      <c r="G1338" s="9">
        <v>3667.4</v>
      </c>
      <c r="H1338" s="10">
        <v>0.36799999999999999</v>
      </c>
      <c r="I1338" s="11">
        <v>6.6</v>
      </c>
    </row>
    <row r="1339" spans="1:9" x14ac:dyDescent="0.35">
      <c r="A1339" s="2" t="s">
        <v>175</v>
      </c>
      <c r="B1339" s="3">
        <v>44713</v>
      </c>
      <c r="C1339" s="2">
        <v>19</v>
      </c>
      <c r="D1339" s="2">
        <v>23700</v>
      </c>
      <c r="E1339" s="17">
        <v>49990.2</v>
      </c>
      <c r="F1339" s="11">
        <v>6.5</v>
      </c>
      <c r="G1339" s="9">
        <v>3733.9</v>
      </c>
      <c r="H1339" s="10">
        <v>0.47399999999999998</v>
      </c>
      <c r="I1339" s="11">
        <v>6.8</v>
      </c>
    </row>
    <row r="1340" spans="1:9" x14ac:dyDescent="0.35">
      <c r="A1340" s="2" t="s">
        <v>175</v>
      </c>
      <c r="B1340" s="3">
        <v>44743</v>
      </c>
      <c r="C1340" s="2">
        <v>19</v>
      </c>
      <c r="D1340" s="2">
        <v>26237</v>
      </c>
      <c r="E1340" s="17">
        <v>54573.45</v>
      </c>
      <c r="F1340" s="11">
        <v>6.53</v>
      </c>
      <c r="G1340" s="9">
        <v>4049.2</v>
      </c>
      <c r="H1340" s="10">
        <v>0.47399999999999998</v>
      </c>
      <c r="I1340" s="11">
        <v>6.6</v>
      </c>
    </row>
    <row r="1341" spans="1:9" x14ac:dyDescent="0.35">
      <c r="A1341" s="2" t="s">
        <v>175</v>
      </c>
      <c r="B1341" s="3">
        <v>44774</v>
      </c>
      <c r="C1341" s="2">
        <v>17</v>
      </c>
      <c r="D1341" s="2">
        <v>24344</v>
      </c>
      <c r="E1341" s="17">
        <v>52097.09</v>
      </c>
      <c r="F1341" s="11">
        <v>6.39</v>
      </c>
      <c r="G1341" s="9">
        <v>3824.3</v>
      </c>
      <c r="H1341" s="10">
        <v>0.47099999999999997</v>
      </c>
      <c r="I1341" s="11">
        <v>6.1</v>
      </c>
    </row>
    <row r="1342" spans="1:9" x14ac:dyDescent="0.35">
      <c r="A1342" s="2" t="s">
        <v>175</v>
      </c>
      <c r="B1342" s="3">
        <v>44805</v>
      </c>
      <c r="C1342" s="2">
        <v>17</v>
      </c>
      <c r="D1342" s="2">
        <v>20418</v>
      </c>
      <c r="E1342" s="17">
        <v>43942.23</v>
      </c>
      <c r="F1342" s="11">
        <v>6.5</v>
      </c>
      <c r="G1342" s="9">
        <v>3116.8</v>
      </c>
      <c r="H1342" s="10">
        <v>0.23499999999999999</v>
      </c>
      <c r="I1342" s="11">
        <v>7.5</v>
      </c>
    </row>
    <row r="1343" spans="1:9" x14ac:dyDescent="0.35">
      <c r="A1343" s="2" t="s">
        <v>175</v>
      </c>
      <c r="B1343" s="3">
        <v>44835</v>
      </c>
      <c r="C1343" s="2">
        <v>19</v>
      </c>
      <c r="D1343" s="2">
        <v>24548</v>
      </c>
      <c r="E1343" s="17">
        <v>56305.75</v>
      </c>
      <c r="F1343" s="11">
        <v>6.49</v>
      </c>
      <c r="G1343" s="9">
        <v>3858.4</v>
      </c>
      <c r="H1343" s="10">
        <v>0.52600000000000002</v>
      </c>
      <c r="I1343" s="11">
        <v>6.5</v>
      </c>
    </row>
    <row r="1344" spans="1:9" x14ac:dyDescent="0.35">
      <c r="A1344" s="2" t="s">
        <v>175</v>
      </c>
      <c r="B1344" s="3">
        <v>44866</v>
      </c>
      <c r="C1344" s="2">
        <v>12</v>
      </c>
      <c r="D1344" s="2">
        <v>12943</v>
      </c>
      <c r="E1344" s="17">
        <v>28077.74</v>
      </c>
      <c r="F1344" s="11">
        <v>6.59</v>
      </c>
      <c r="G1344" s="9">
        <v>1944.7</v>
      </c>
      <c r="H1344" s="10">
        <v>0.41699999999999998</v>
      </c>
      <c r="I1344" s="11">
        <v>8</v>
      </c>
    </row>
    <row r="1345" spans="1:9" x14ac:dyDescent="0.35">
      <c r="A1345" s="2" t="s">
        <v>175</v>
      </c>
      <c r="B1345" s="3">
        <v>44896</v>
      </c>
      <c r="C1345" s="2">
        <v>14</v>
      </c>
      <c r="D1345" s="2">
        <v>21541</v>
      </c>
      <c r="E1345" s="17">
        <v>43593.120000000003</v>
      </c>
      <c r="F1345" s="11">
        <v>6.6</v>
      </c>
      <c r="G1345" s="9">
        <v>3432.2</v>
      </c>
      <c r="H1345" s="10">
        <v>0.28599999999999998</v>
      </c>
      <c r="I1345" s="11">
        <v>6.8</v>
      </c>
    </row>
    <row r="1346" spans="1:9" x14ac:dyDescent="0.35">
      <c r="A1346" s="2" t="s">
        <v>175</v>
      </c>
      <c r="B1346" s="3">
        <v>44927</v>
      </c>
      <c r="C1346" s="2">
        <v>21</v>
      </c>
      <c r="D1346" s="2">
        <v>30477</v>
      </c>
      <c r="E1346" s="17">
        <v>68675.81</v>
      </c>
      <c r="F1346" s="11">
        <v>6.37</v>
      </c>
      <c r="G1346" s="9">
        <v>4787.7</v>
      </c>
      <c r="H1346" s="10">
        <v>0.52400000000000002</v>
      </c>
      <c r="I1346" s="11">
        <v>7.1</v>
      </c>
    </row>
    <row r="1347" spans="1:9" x14ac:dyDescent="0.35">
      <c r="A1347" s="2" t="s">
        <v>175</v>
      </c>
      <c r="B1347" s="3">
        <v>44958</v>
      </c>
      <c r="C1347" s="2">
        <v>21</v>
      </c>
      <c r="D1347" s="2">
        <v>28358</v>
      </c>
      <c r="E1347" s="17">
        <v>55040.3</v>
      </c>
      <c r="F1347" s="11">
        <v>6.48</v>
      </c>
      <c r="G1347" s="9">
        <v>4423.3999999999996</v>
      </c>
      <c r="H1347" s="10">
        <v>0.52400000000000002</v>
      </c>
      <c r="I1347" s="11">
        <v>6.8</v>
      </c>
    </row>
    <row r="1348" spans="1:9" x14ac:dyDescent="0.35">
      <c r="A1348" s="2" t="s">
        <v>175</v>
      </c>
      <c r="B1348" s="3">
        <v>44986</v>
      </c>
      <c r="C1348" s="2">
        <v>20</v>
      </c>
      <c r="D1348" s="2">
        <v>34549</v>
      </c>
      <c r="E1348" s="17">
        <v>66769.06</v>
      </c>
      <c r="F1348" s="11">
        <v>6.45</v>
      </c>
      <c r="G1348" s="9">
        <v>5439</v>
      </c>
      <c r="H1348" s="10">
        <v>0.4</v>
      </c>
      <c r="I1348" s="11">
        <v>6.5</v>
      </c>
    </row>
    <row r="1349" spans="1:9" x14ac:dyDescent="0.35">
      <c r="A1349" s="2" t="s">
        <v>175</v>
      </c>
      <c r="B1349" s="3">
        <v>45017</v>
      </c>
      <c r="C1349" s="2">
        <v>18</v>
      </c>
      <c r="D1349" s="2">
        <v>26922</v>
      </c>
      <c r="E1349" s="17">
        <v>57414.31</v>
      </c>
      <c r="F1349" s="11">
        <v>6.65</v>
      </c>
      <c r="G1349" s="9">
        <v>4043.5</v>
      </c>
      <c r="H1349" s="10">
        <v>0.55600000000000005</v>
      </c>
      <c r="I1349" s="11">
        <v>7.1</v>
      </c>
    </row>
    <row r="1350" spans="1:9" x14ac:dyDescent="0.35">
      <c r="A1350" s="2" t="s">
        <v>175</v>
      </c>
      <c r="B1350" s="3">
        <v>45047</v>
      </c>
      <c r="C1350" s="2">
        <v>16</v>
      </c>
      <c r="D1350" s="2">
        <v>16916</v>
      </c>
      <c r="E1350" s="17">
        <v>34423.72</v>
      </c>
      <c r="F1350" s="11">
        <v>6.37</v>
      </c>
      <c r="G1350" s="9">
        <v>2690.6</v>
      </c>
      <c r="H1350" s="10">
        <v>0.438</v>
      </c>
      <c r="I1350" s="11">
        <v>6.6</v>
      </c>
    </row>
    <row r="1351" spans="1:9" x14ac:dyDescent="0.35">
      <c r="A1351" s="2" t="s">
        <v>175</v>
      </c>
      <c r="B1351" s="3">
        <v>45078</v>
      </c>
      <c r="C1351" s="2">
        <v>20</v>
      </c>
      <c r="D1351" s="2">
        <v>30057</v>
      </c>
      <c r="E1351" s="17">
        <v>62666.79</v>
      </c>
      <c r="F1351" s="11">
        <v>6.64</v>
      </c>
      <c r="G1351" s="9">
        <v>4678.8</v>
      </c>
      <c r="H1351" s="10">
        <v>0.3</v>
      </c>
      <c r="I1351" s="11">
        <v>5.6</v>
      </c>
    </row>
    <row r="1352" spans="1:9" x14ac:dyDescent="0.35">
      <c r="A1352" s="2" t="s">
        <v>175</v>
      </c>
      <c r="B1352" s="3">
        <v>45108</v>
      </c>
      <c r="C1352" s="2">
        <v>21</v>
      </c>
      <c r="D1352" s="2">
        <v>25278</v>
      </c>
      <c r="E1352" s="17">
        <v>58010.37</v>
      </c>
      <c r="F1352" s="11">
        <v>6.52</v>
      </c>
      <c r="G1352" s="9">
        <v>3891.1</v>
      </c>
      <c r="H1352" s="10">
        <v>0.33300000000000002</v>
      </c>
      <c r="I1352" s="11">
        <v>6.7</v>
      </c>
    </row>
    <row r="1353" spans="1:9" x14ac:dyDescent="0.35">
      <c r="A1353" s="2" t="s">
        <v>175</v>
      </c>
      <c r="B1353" s="3">
        <v>45139</v>
      </c>
      <c r="C1353" s="2">
        <v>17</v>
      </c>
      <c r="D1353" s="2">
        <v>28070</v>
      </c>
      <c r="E1353" s="17">
        <v>54403.31</v>
      </c>
      <c r="F1353" s="11">
        <v>6.49</v>
      </c>
      <c r="G1353" s="9">
        <v>4400.1000000000004</v>
      </c>
      <c r="H1353" s="10">
        <v>0.41199999999999998</v>
      </c>
      <c r="I1353" s="11">
        <v>7</v>
      </c>
    </row>
    <row r="1354" spans="1:9" x14ac:dyDescent="0.35">
      <c r="A1354" s="2" t="s">
        <v>175</v>
      </c>
      <c r="B1354" s="3">
        <v>45170</v>
      </c>
      <c r="C1354" s="2">
        <v>22</v>
      </c>
      <c r="D1354" s="2">
        <v>25795</v>
      </c>
      <c r="E1354" s="17">
        <v>56541.99</v>
      </c>
      <c r="F1354" s="11">
        <v>6.61</v>
      </c>
      <c r="G1354" s="9">
        <v>4009.9</v>
      </c>
      <c r="H1354" s="10">
        <v>0.45500000000000002</v>
      </c>
      <c r="I1354" s="11">
        <v>6.7</v>
      </c>
    </row>
    <row r="1355" spans="1:9" x14ac:dyDescent="0.35">
      <c r="A1355" s="2" t="s">
        <v>175</v>
      </c>
      <c r="B1355" s="3">
        <v>45200</v>
      </c>
      <c r="C1355" s="2">
        <v>21</v>
      </c>
      <c r="D1355" s="2">
        <v>34354</v>
      </c>
      <c r="E1355" s="17">
        <v>70868.070000000007</v>
      </c>
      <c r="F1355" s="11">
        <v>6.44</v>
      </c>
      <c r="G1355" s="9">
        <v>5304.5</v>
      </c>
      <c r="H1355" s="10">
        <v>0.57099999999999995</v>
      </c>
      <c r="I1355" s="11">
        <v>6.2</v>
      </c>
    </row>
    <row r="1356" spans="1:9" x14ac:dyDescent="0.35">
      <c r="A1356" s="2" t="s">
        <v>175</v>
      </c>
      <c r="B1356" s="3">
        <v>45231</v>
      </c>
      <c r="C1356" s="2">
        <v>24</v>
      </c>
      <c r="D1356" s="2">
        <v>33456</v>
      </c>
      <c r="E1356" s="17">
        <v>68403.88</v>
      </c>
      <c r="F1356" s="11">
        <v>6.58</v>
      </c>
      <c r="G1356" s="9">
        <v>5155.8</v>
      </c>
      <c r="H1356" s="10">
        <v>0.54200000000000004</v>
      </c>
      <c r="I1356" s="11">
        <v>6.9</v>
      </c>
    </row>
    <row r="1357" spans="1:9" x14ac:dyDescent="0.35">
      <c r="A1357" s="2" t="s">
        <v>175</v>
      </c>
      <c r="B1357" s="3">
        <v>45261</v>
      </c>
      <c r="C1357" s="2">
        <v>21</v>
      </c>
      <c r="D1357" s="2">
        <v>28182</v>
      </c>
      <c r="E1357" s="17">
        <v>66237.91</v>
      </c>
      <c r="F1357" s="11">
        <v>6.54</v>
      </c>
      <c r="G1357" s="9">
        <v>4361.7</v>
      </c>
      <c r="H1357" s="10">
        <v>0.47599999999999998</v>
      </c>
      <c r="I1357" s="11">
        <v>7</v>
      </c>
    </row>
    <row r="1358" spans="1:9" x14ac:dyDescent="0.35">
      <c r="A1358" s="2" t="s">
        <v>175</v>
      </c>
      <c r="B1358" s="3">
        <v>45292</v>
      </c>
      <c r="C1358" s="2">
        <v>23</v>
      </c>
      <c r="D1358" s="2">
        <v>27902</v>
      </c>
      <c r="E1358" s="17">
        <v>58943.69</v>
      </c>
      <c r="F1358" s="11">
        <v>6.39</v>
      </c>
      <c r="G1358" s="9">
        <v>4381.8</v>
      </c>
      <c r="H1358" s="10">
        <v>0.30399999999999999</v>
      </c>
      <c r="I1358" s="11">
        <v>6.8</v>
      </c>
    </row>
    <row r="1359" spans="1:9" x14ac:dyDescent="0.35">
      <c r="A1359" s="2" t="s">
        <v>175</v>
      </c>
      <c r="B1359" s="3">
        <v>45323</v>
      </c>
      <c r="C1359" s="2">
        <v>11</v>
      </c>
      <c r="D1359" s="2">
        <v>17692</v>
      </c>
      <c r="E1359" s="17">
        <v>36707.78</v>
      </c>
      <c r="F1359" s="11">
        <v>6.4</v>
      </c>
      <c r="G1359" s="9">
        <v>2743.7</v>
      </c>
      <c r="H1359" s="10">
        <v>0.54500000000000004</v>
      </c>
      <c r="I1359" s="11">
        <v>7.6</v>
      </c>
    </row>
    <row r="1360" spans="1:9" x14ac:dyDescent="0.35">
      <c r="A1360" s="2" t="s">
        <v>175</v>
      </c>
      <c r="B1360" s="3">
        <v>45352</v>
      </c>
      <c r="C1360" s="2">
        <v>18</v>
      </c>
      <c r="D1360" s="2">
        <v>25633</v>
      </c>
      <c r="E1360" s="17">
        <v>51230.23</v>
      </c>
      <c r="F1360" s="11">
        <v>6.44</v>
      </c>
      <c r="G1360" s="9">
        <v>4134.3999999999996</v>
      </c>
      <c r="H1360" s="10">
        <v>0.72199999999999998</v>
      </c>
      <c r="I1360" s="11">
        <v>6.7</v>
      </c>
    </row>
    <row r="1361" spans="1:9" x14ac:dyDescent="0.35">
      <c r="A1361" s="2" t="s">
        <v>175</v>
      </c>
      <c r="B1361" s="3">
        <v>45383</v>
      </c>
      <c r="C1361" s="2">
        <v>21</v>
      </c>
      <c r="D1361" s="2">
        <v>29280</v>
      </c>
      <c r="E1361" s="17">
        <v>59764.65</v>
      </c>
      <c r="F1361" s="11">
        <v>6.32</v>
      </c>
      <c r="G1361" s="9">
        <v>4639.5</v>
      </c>
      <c r="H1361" s="10">
        <v>0.38100000000000001</v>
      </c>
      <c r="I1361" s="11">
        <v>5.9</v>
      </c>
    </row>
    <row r="1362" spans="1:9" x14ac:dyDescent="0.35">
      <c r="A1362" s="2" t="s">
        <v>175</v>
      </c>
      <c r="B1362" s="3">
        <v>45413</v>
      </c>
      <c r="C1362" s="2">
        <v>12</v>
      </c>
      <c r="D1362" s="2">
        <v>22425</v>
      </c>
      <c r="E1362" s="17">
        <v>46118.9</v>
      </c>
      <c r="F1362" s="11">
        <v>6.61</v>
      </c>
      <c r="G1362" s="9">
        <v>3377.6</v>
      </c>
      <c r="H1362" s="10">
        <v>0.5</v>
      </c>
      <c r="I1362" s="11">
        <v>6.8</v>
      </c>
    </row>
    <row r="1363" spans="1:9" x14ac:dyDescent="0.35">
      <c r="A1363" s="2" t="s">
        <v>175</v>
      </c>
      <c r="B1363" s="3">
        <v>45444</v>
      </c>
      <c r="C1363" s="2">
        <v>13</v>
      </c>
      <c r="D1363" s="2">
        <v>16072</v>
      </c>
      <c r="E1363" s="17">
        <v>34277.47</v>
      </c>
      <c r="F1363" s="11">
        <v>6.62</v>
      </c>
      <c r="G1363" s="9">
        <v>2451.3000000000002</v>
      </c>
      <c r="H1363" s="10">
        <v>0.38500000000000001</v>
      </c>
      <c r="I1363" s="11">
        <v>6.6</v>
      </c>
    </row>
    <row r="1364" spans="1:9" x14ac:dyDescent="0.35">
      <c r="A1364" s="2" t="s">
        <v>175</v>
      </c>
      <c r="B1364" s="3">
        <v>45474</v>
      </c>
      <c r="C1364" s="2">
        <v>22</v>
      </c>
      <c r="D1364" s="2">
        <v>35250</v>
      </c>
      <c r="E1364" s="17">
        <v>67170.05</v>
      </c>
      <c r="F1364" s="11">
        <v>6.48</v>
      </c>
      <c r="G1364" s="9">
        <v>5506.8</v>
      </c>
      <c r="H1364" s="10">
        <v>0.318</v>
      </c>
      <c r="I1364" s="11">
        <v>6.8</v>
      </c>
    </row>
    <row r="1365" spans="1:9" x14ac:dyDescent="0.35">
      <c r="A1365" s="2" t="s">
        <v>175</v>
      </c>
      <c r="B1365" s="3">
        <v>45505</v>
      </c>
      <c r="C1365" s="2">
        <v>15</v>
      </c>
      <c r="D1365" s="2">
        <v>22949</v>
      </c>
      <c r="E1365" s="17">
        <v>49706.9</v>
      </c>
      <c r="F1365" s="11">
        <v>6.46</v>
      </c>
      <c r="G1365" s="9">
        <v>3522.9</v>
      </c>
      <c r="H1365" s="10">
        <v>0.4</v>
      </c>
      <c r="I1365" s="11">
        <v>6.4</v>
      </c>
    </row>
    <row r="1366" spans="1:9" x14ac:dyDescent="0.35">
      <c r="A1366" s="2" t="s">
        <v>175</v>
      </c>
      <c r="B1366" s="3">
        <v>45536</v>
      </c>
      <c r="C1366" s="2">
        <v>15</v>
      </c>
      <c r="D1366" s="2">
        <v>22636</v>
      </c>
      <c r="E1366" s="17">
        <v>48387.9</v>
      </c>
      <c r="F1366" s="11">
        <v>6.49</v>
      </c>
      <c r="G1366" s="9">
        <v>3501.5</v>
      </c>
      <c r="H1366" s="10">
        <v>0.6</v>
      </c>
      <c r="I1366" s="11">
        <v>6.1</v>
      </c>
    </row>
    <row r="1367" spans="1:9" x14ac:dyDescent="0.35">
      <c r="A1367" s="2" t="s">
        <v>175</v>
      </c>
      <c r="B1367" s="3">
        <v>45566</v>
      </c>
      <c r="C1367" s="2">
        <v>18</v>
      </c>
      <c r="D1367" s="2">
        <v>21913</v>
      </c>
      <c r="E1367" s="17">
        <v>45238.720000000001</v>
      </c>
      <c r="F1367" s="11">
        <v>6.62</v>
      </c>
      <c r="G1367" s="9">
        <v>3338</v>
      </c>
      <c r="H1367" s="10">
        <v>0.222</v>
      </c>
      <c r="I1367" s="11">
        <v>8.8000000000000007</v>
      </c>
    </row>
    <row r="1368" spans="1:9" x14ac:dyDescent="0.35">
      <c r="A1368" s="2" t="s">
        <v>175</v>
      </c>
      <c r="B1368" s="3">
        <v>45597</v>
      </c>
      <c r="C1368" s="2">
        <v>18</v>
      </c>
      <c r="D1368" s="2">
        <v>26618</v>
      </c>
      <c r="E1368" s="17">
        <v>61245.87</v>
      </c>
      <c r="F1368" s="11">
        <v>6.46</v>
      </c>
      <c r="G1368" s="9">
        <v>4178.8</v>
      </c>
      <c r="H1368" s="10">
        <v>0.55600000000000005</v>
      </c>
      <c r="I1368" s="11">
        <v>6</v>
      </c>
    </row>
    <row r="1369" spans="1:9" x14ac:dyDescent="0.35">
      <c r="A1369" s="2" t="s">
        <v>175</v>
      </c>
      <c r="B1369" s="3">
        <v>45627</v>
      </c>
      <c r="C1369" s="2">
        <v>20</v>
      </c>
      <c r="D1369" s="2">
        <v>25696</v>
      </c>
      <c r="E1369" s="17">
        <v>52997.4</v>
      </c>
      <c r="F1369" s="11">
        <v>6.44</v>
      </c>
      <c r="G1369" s="9">
        <v>3967.4</v>
      </c>
      <c r="H1369" s="10">
        <v>0.45</v>
      </c>
      <c r="I1369" s="11">
        <v>6.8</v>
      </c>
    </row>
    <row r="1370" spans="1:9" x14ac:dyDescent="0.35">
      <c r="A1370" s="2" t="s">
        <v>179</v>
      </c>
      <c r="B1370" s="3">
        <v>44562</v>
      </c>
      <c r="C1370" s="2">
        <v>17</v>
      </c>
      <c r="D1370" s="2">
        <v>26279</v>
      </c>
      <c r="E1370" s="17">
        <v>52286.75</v>
      </c>
      <c r="F1370" s="11">
        <v>6.39</v>
      </c>
      <c r="G1370" s="9">
        <v>4204.2</v>
      </c>
      <c r="H1370" s="10">
        <v>0.47099999999999997</v>
      </c>
      <c r="I1370" s="11">
        <v>6.1</v>
      </c>
    </row>
    <row r="1371" spans="1:9" x14ac:dyDescent="0.35">
      <c r="A1371" s="2" t="s">
        <v>179</v>
      </c>
      <c r="B1371" s="3">
        <v>44593</v>
      </c>
      <c r="C1371" s="2">
        <v>24</v>
      </c>
      <c r="D1371" s="2">
        <v>34875</v>
      </c>
      <c r="E1371" s="17">
        <v>78759</v>
      </c>
      <c r="F1371" s="11">
        <v>6.64</v>
      </c>
      <c r="G1371" s="9">
        <v>5241.5</v>
      </c>
      <c r="H1371" s="10">
        <v>0.45800000000000002</v>
      </c>
      <c r="I1371" s="11">
        <v>7</v>
      </c>
    </row>
    <row r="1372" spans="1:9" x14ac:dyDescent="0.35">
      <c r="A1372" s="2" t="s">
        <v>179</v>
      </c>
      <c r="B1372" s="3">
        <v>44621</v>
      </c>
      <c r="C1372" s="2">
        <v>22</v>
      </c>
      <c r="D1372" s="2">
        <v>34730</v>
      </c>
      <c r="E1372" s="17">
        <v>76465.91</v>
      </c>
      <c r="F1372" s="11">
        <v>6.56</v>
      </c>
      <c r="G1372" s="9">
        <v>5328</v>
      </c>
      <c r="H1372" s="10">
        <v>0.54500000000000004</v>
      </c>
      <c r="I1372" s="11">
        <v>7.4</v>
      </c>
    </row>
    <row r="1373" spans="1:9" x14ac:dyDescent="0.35">
      <c r="A1373" s="2" t="s">
        <v>179</v>
      </c>
      <c r="B1373" s="3">
        <v>44652</v>
      </c>
      <c r="C1373" s="2">
        <v>24</v>
      </c>
      <c r="D1373" s="2">
        <v>32054</v>
      </c>
      <c r="E1373" s="17">
        <v>68934.47</v>
      </c>
      <c r="F1373" s="11">
        <v>6.47</v>
      </c>
      <c r="G1373" s="9">
        <v>4999.8999999999996</v>
      </c>
      <c r="H1373" s="10">
        <v>0.45800000000000002</v>
      </c>
      <c r="I1373" s="11">
        <v>6.6</v>
      </c>
    </row>
    <row r="1374" spans="1:9" x14ac:dyDescent="0.35">
      <c r="A1374" s="2" t="s">
        <v>179</v>
      </c>
      <c r="B1374" s="3">
        <v>44682</v>
      </c>
      <c r="C1374" s="2">
        <v>14</v>
      </c>
      <c r="D1374" s="2">
        <v>24642</v>
      </c>
      <c r="E1374" s="17">
        <v>57696.39</v>
      </c>
      <c r="F1374" s="11">
        <v>6.44</v>
      </c>
      <c r="G1374" s="9">
        <v>3850.6</v>
      </c>
      <c r="H1374" s="10">
        <v>0.71399999999999997</v>
      </c>
      <c r="I1374" s="11">
        <v>7.4</v>
      </c>
    </row>
    <row r="1375" spans="1:9" x14ac:dyDescent="0.35">
      <c r="A1375" s="2" t="s">
        <v>179</v>
      </c>
      <c r="B1375" s="3">
        <v>44713</v>
      </c>
      <c r="C1375" s="2">
        <v>25</v>
      </c>
      <c r="D1375" s="2">
        <v>29135</v>
      </c>
      <c r="E1375" s="17">
        <v>61267.86</v>
      </c>
      <c r="F1375" s="11">
        <v>6.5</v>
      </c>
      <c r="G1375" s="9">
        <v>4450.5</v>
      </c>
      <c r="H1375" s="10">
        <v>0.48</v>
      </c>
      <c r="I1375" s="11">
        <v>6.6</v>
      </c>
    </row>
    <row r="1376" spans="1:9" x14ac:dyDescent="0.35">
      <c r="A1376" s="2" t="s">
        <v>179</v>
      </c>
      <c r="B1376" s="3">
        <v>44743</v>
      </c>
      <c r="C1376" s="2">
        <v>15</v>
      </c>
      <c r="D1376" s="2">
        <v>16088</v>
      </c>
      <c r="E1376" s="17">
        <v>34494.99</v>
      </c>
      <c r="F1376" s="11">
        <v>6.37</v>
      </c>
      <c r="G1376" s="9">
        <v>2525.4</v>
      </c>
      <c r="H1376" s="10">
        <v>0.6</v>
      </c>
      <c r="I1376" s="11">
        <v>7</v>
      </c>
    </row>
    <row r="1377" spans="1:9" x14ac:dyDescent="0.35">
      <c r="A1377" s="2" t="s">
        <v>179</v>
      </c>
      <c r="B1377" s="3">
        <v>44774</v>
      </c>
      <c r="C1377" s="2">
        <v>16</v>
      </c>
      <c r="D1377" s="2">
        <v>20483</v>
      </c>
      <c r="E1377" s="17">
        <v>42324.91</v>
      </c>
      <c r="F1377" s="11">
        <v>6.65</v>
      </c>
      <c r="G1377" s="9">
        <v>3093.1</v>
      </c>
      <c r="H1377" s="10">
        <v>0.438</v>
      </c>
      <c r="I1377" s="11">
        <v>5.0999999999999996</v>
      </c>
    </row>
    <row r="1378" spans="1:9" x14ac:dyDescent="0.35">
      <c r="A1378" s="2" t="s">
        <v>179</v>
      </c>
      <c r="B1378" s="3">
        <v>44805</v>
      </c>
      <c r="C1378" s="2">
        <v>22</v>
      </c>
      <c r="D1378" s="2">
        <v>34888</v>
      </c>
      <c r="E1378" s="17">
        <v>70525.710000000006</v>
      </c>
      <c r="F1378" s="11">
        <v>6.35</v>
      </c>
      <c r="G1378" s="9">
        <v>5452.4</v>
      </c>
      <c r="H1378" s="10">
        <v>0.45500000000000002</v>
      </c>
      <c r="I1378" s="11">
        <v>7.3</v>
      </c>
    </row>
    <row r="1379" spans="1:9" x14ac:dyDescent="0.35">
      <c r="A1379" s="2" t="s">
        <v>179</v>
      </c>
      <c r="B1379" s="3">
        <v>44835</v>
      </c>
      <c r="C1379" s="2">
        <v>20</v>
      </c>
      <c r="D1379" s="2">
        <v>24725</v>
      </c>
      <c r="E1379" s="17">
        <v>52292.4</v>
      </c>
      <c r="F1379" s="11">
        <v>6.35</v>
      </c>
      <c r="G1379" s="9">
        <v>3900.2</v>
      </c>
      <c r="H1379" s="10">
        <v>0.55000000000000004</v>
      </c>
      <c r="I1379" s="11">
        <v>6.7</v>
      </c>
    </row>
    <row r="1380" spans="1:9" x14ac:dyDescent="0.35">
      <c r="A1380" s="2" t="s">
        <v>179</v>
      </c>
      <c r="B1380" s="3">
        <v>44866</v>
      </c>
      <c r="C1380" s="2">
        <v>22</v>
      </c>
      <c r="D1380" s="2">
        <v>29949</v>
      </c>
      <c r="E1380" s="17">
        <v>63702.64</v>
      </c>
      <c r="F1380" s="11">
        <v>6.59</v>
      </c>
      <c r="G1380" s="9">
        <v>4539.1000000000004</v>
      </c>
      <c r="H1380" s="10">
        <v>0.318</v>
      </c>
      <c r="I1380" s="11">
        <v>7.6</v>
      </c>
    </row>
    <row r="1381" spans="1:9" x14ac:dyDescent="0.35">
      <c r="A1381" s="2" t="s">
        <v>179</v>
      </c>
      <c r="B1381" s="3">
        <v>44896</v>
      </c>
      <c r="C1381" s="2">
        <v>27</v>
      </c>
      <c r="D1381" s="2">
        <v>37591</v>
      </c>
      <c r="E1381" s="17">
        <v>77792.05</v>
      </c>
      <c r="F1381" s="11">
        <v>6.39</v>
      </c>
      <c r="G1381" s="9">
        <v>5897.2</v>
      </c>
      <c r="H1381" s="10">
        <v>0.51900000000000002</v>
      </c>
      <c r="I1381" s="11">
        <v>7.2</v>
      </c>
    </row>
    <row r="1382" spans="1:9" x14ac:dyDescent="0.35">
      <c r="A1382" s="2" t="s">
        <v>179</v>
      </c>
      <c r="B1382" s="3">
        <v>44927</v>
      </c>
      <c r="C1382" s="2">
        <v>14</v>
      </c>
      <c r="D1382" s="2">
        <v>19397</v>
      </c>
      <c r="E1382" s="17">
        <v>40967.269999999997</v>
      </c>
      <c r="F1382" s="11">
        <v>6.45</v>
      </c>
      <c r="G1382" s="9">
        <v>3003.2</v>
      </c>
      <c r="H1382" s="10">
        <v>0.42899999999999999</v>
      </c>
      <c r="I1382" s="11">
        <v>6.5</v>
      </c>
    </row>
    <row r="1383" spans="1:9" x14ac:dyDescent="0.35">
      <c r="A1383" s="2" t="s">
        <v>179</v>
      </c>
      <c r="B1383" s="3">
        <v>44958</v>
      </c>
      <c r="C1383" s="2">
        <v>19</v>
      </c>
      <c r="D1383" s="2">
        <v>23695</v>
      </c>
      <c r="E1383" s="17">
        <v>52536.88</v>
      </c>
      <c r="F1383" s="11">
        <v>6.41</v>
      </c>
      <c r="G1383" s="9">
        <v>3807.2</v>
      </c>
      <c r="H1383" s="10">
        <v>0.47399999999999998</v>
      </c>
      <c r="I1383" s="11">
        <v>6.4</v>
      </c>
    </row>
    <row r="1384" spans="1:9" x14ac:dyDescent="0.35">
      <c r="A1384" s="2" t="s">
        <v>179</v>
      </c>
      <c r="B1384" s="3">
        <v>44986</v>
      </c>
      <c r="C1384" s="2">
        <v>25</v>
      </c>
      <c r="D1384" s="2">
        <v>46700</v>
      </c>
      <c r="E1384" s="17">
        <v>102757.11</v>
      </c>
      <c r="F1384" s="11">
        <v>6.46</v>
      </c>
      <c r="G1384" s="9">
        <v>7262.1</v>
      </c>
      <c r="H1384" s="10">
        <v>0.56000000000000005</v>
      </c>
      <c r="I1384" s="11">
        <v>7.2</v>
      </c>
    </row>
    <row r="1385" spans="1:9" x14ac:dyDescent="0.35">
      <c r="A1385" s="2" t="s">
        <v>179</v>
      </c>
      <c r="B1385" s="3">
        <v>45017</v>
      </c>
      <c r="C1385" s="2">
        <v>25</v>
      </c>
      <c r="D1385" s="2">
        <v>46273</v>
      </c>
      <c r="E1385" s="17">
        <v>106122.15</v>
      </c>
      <c r="F1385" s="11">
        <v>6.64</v>
      </c>
      <c r="G1385" s="9">
        <v>7031.8</v>
      </c>
      <c r="H1385" s="10">
        <v>0.56000000000000005</v>
      </c>
      <c r="I1385" s="11">
        <v>7.5</v>
      </c>
    </row>
    <row r="1386" spans="1:9" x14ac:dyDescent="0.35">
      <c r="A1386" s="2" t="s">
        <v>179</v>
      </c>
      <c r="B1386" s="3">
        <v>45047</v>
      </c>
      <c r="C1386" s="2">
        <v>15</v>
      </c>
      <c r="D1386" s="2">
        <v>21817</v>
      </c>
      <c r="E1386" s="17">
        <v>44798.7</v>
      </c>
      <c r="F1386" s="11">
        <v>6.37</v>
      </c>
      <c r="G1386" s="9">
        <v>3424.9</v>
      </c>
      <c r="H1386" s="10">
        <v>0.53300000000000003</v>
      </c>
      <c r="I1386" s="11">
        <v>7.4</v>
      </c>
    </row>
    <row r="1387" spans="1:9" x14ac:dyDescent="0.35">
      <c r="A1387" s="2" t="s">
        <v>179</v>
      </c>
      <c r="B1387" s="3">
        <v>45078</v>
      </c>
      <c r="C1387" s="2">
        <v>17</v>
      </c>
      <c r="D1387" s="2">
        <v>22723</v>
      </c>
      <c r="E1387" s="17">
        <v>48813.74</v>
      </c>
      <c r="F1387" s="11">
        <v>6.5</v>
      </c>
      <c r="G1387" s="9">
        <v>3538.1</v>
      </c>
      <c r="H1387" s="10">
        <v>0.64700000000000002</v>
      </c>
      <c r="I1387" s="11">
        <v>5.7</v>
      </c>
    </row>
    <row r="1388" spans="1:9" x14ac:dyDescent="0.35">
      <c r="A1388" s="2" t="s">
        <v>179</v>
      </c>
      <c r="B1388" s="3">
        <v>45108</v>
      </c>
      <c r="C1388" s="2">
        <v>16</v>
      </c>
      <c r="D1388" s="2">
        <v>22963</v>
      </c>
      <c r="E1388" s="17">
        <v>49750.89</v>
      </c>
      <c r="F1388" s="11">
        <v>6.44</v>
      </c>
      <c r="G1388" s="9">
        <v>3594.5</v>
      </c>
      <c r="H1388" s="10">
        <v>0.375</v>
      </c>
      <c r="I1388" s="11">
        <v>8.1999999999999993</v>
      </c>
    </row>
    <row r="1389" spans="1:9" x14ac:dyDescent="0.35">
      <c r="A1389" s="2" t="s">
        <v>179</v>
      </c>
      <c r="B1389" s="3">
        <v>45139</v>
      </c>
      <c r="C1389" s="2">
        <v>19</v>
      </c>
      <c r="D1389" s="2">
        <v>24655</v>
      </c>
      <c r="E1389" s="17">
        <v>54886.65</v>
      </c>
      <c r="F1389" s="11">
        <v>6.47</v>
      </c>
      <c r="G1389" s="9">
        <v>3798.8</v>
      </c>
      <c r="H1389" s="10">
        <v>0.57899999999999996</v>
      </c>
      <c r="I1389" s="11">
        <v>6.4</v>
      </c>
    </row>
    <row r="1390" spans="1:9" x14ac:dyDescent="0.35">
      <c r="A1390" s="2" t="s">
        <v>179</v>
      </c>
      <c r="B1390" s="3">
        <v>45170</v>
      </c>
      <c r="C1390" s="2">
        <v>21</v>
      </c>
      <c r="D1390" s="2">
        <v>27233</v>
      </c>
      <c r="E1390" s="17">
        <v>61051.96</v>
      </c>
      <c r="F1390" s="11">
        <v>6.59</v>
      </c>
      <c r="G1390" s="9">
        <v>4150.3</v>
      </c>
      <c r="H1390" s="10">
        <v>0.38100000000000001</v>
      </c>
      <c r="I1390" s="11">
        <v>6.6</v>
      </c>
    </row>
    <row r="1391" spans="1:9" x14ac:dyDescent="0.35">
      <c r="A1391" s="2" t="s">
        <v>179</v>
      </c>
      <c r="B1391" s="3">
        <v>45200</v>
      </c>
      <c r="C1391" s="2">
        <v>21</v>
      </c>
      <c r="D1391" s="2">
        <v>27642</v>
      </c>
      <c r="E1391" s="17">
        <v>58342.09</v>
      </c>
      <c r="F1391" s="11">
        <v>6.46</v>
      </c>
      <c r="G1391" s="9">
        <v>4201.3999999999996</v>
      </c>
      <c r="H1391" s="10">
        <v>0.42899999999999999</v>
      </c>
      <c r="I1391" s="11">
        <v>6.9</v>
      </c>
    </row>
    <row r="1392" spans="1:9" x14ac:dyDescent="0.35">
      <c r="A1392" s="2" t="s">
        <v>179</v>
      </c>
      <c r="B1392" s="3">
        <v>45231</v>
      </c>
      <c r="C1392" s="2">
        <v>21</v>
      </c>
      <c r="D1392" s="2">
        <v>31555</v>
      </c>
      <c r="E1392" s="17">
        <v>71602.720000000001</v>
      </c>
      <c r="F1392" s="11">
        <v>6.67</v>
      </c>
      <c r="G1392" s="9">
        <v>4768.3</v>
      </c>
      <c r="H1392" s="10">
        <v>0.52400000000000002</v>
      </c>
      <c r="I1392" s="11">
        <v>6.5</v>
      </c>
    </row>
    <row r="1393" spans="1:9" x14ac:dyDescent="0.35">
      <c r="A1393" s="2" t="s">
        <v>179</v>
      </c>
      <c r="B1393" s="3">
        <v>45261</v>
      </c>
      <c r="C1393" s="2">
        <v>19</v>
      </c>
      <c r="D1393" s="2">
        <v>29530</v>
      </c>
      <c r="E1393" s="17">
        <v>59638.48</v>
      </c>
      <c r="F1393" s="11">
        <v>6.6</v>
      </c>
      <c r="G1393" s="9">
        <v>4571.8</v>
      </c>
      <c r="H1393" s="10">
        <v>0.21099999999999999</v>
      </c>
      <c r="I1393" s="11">
        <v>5.9</v>
      </c>
    </row>
    <row r="1394" spans="1:9" x14ac:dyDescent="0.35">
      <c r="A1394" s="2" t="s">
        <v>179</v>
      </c>
      <c r="B1394" s="3">
        <v>45292</v>
      </c>
      <c r="C1394" s="2">
        <v>10</v>
      </c>
      <c r="D1394" s="2">
        <v>10552</v>
      </c>
      <c r="E1394" s="17">
        <v>20638.25</v>
      </c>
      <c r="F1394" s="11">
        <v>6.48</v>
      </c>
      <c r="G1394" s="9">
        <v>1681.2</v>
      </c>
      <c r="H1394" s="10">
        <v>0.6</v>
      </c>
      <c r="I1394" s="11">
        <v>7.2</v>
      </c>
    </row>
    <row r="1395" spans="1:9" x14ac:dyDescent="0.35">
      <c r="A1395" s="2" t="s">
        <v>179</v>
      </c>
      <c r="B1395" s="3">
        <v>45323</v>
      </c>
      <c r="C1395" s="2">
        <v>21</v>
      </c>
      <c r="D1395" s="2">
        <v>31959</v>
      </c>
      <c r="E1395" s="17">
        <v>64926.28</v>
      </c>
      <c r="F1395" s="11">
        <v>6.55</v>
      </c>
      <c r="G1395" s="9">
        <v>4883.6000000000004</v>
      </c>
      <c r="H1395" s="10">
        <v>0.28599999999999998</v>
      </c>
      <c r="I1395" s="11">
        <v>6.1</v>
      </c>
    </row>
    <row r="1396" spans="1:9" x14ac:dyDescent="0.35">
      <c r="A1396" s="2" t="s">
        <v>179</v>
      </c>
      <c r="B1396" s="3">
        <v>45352</v>
      </c>
      <c r="C1396" s="2">
        <v>14</v>
      </c>
      <c r="D1396" s="2">
        <v>22487</v>
      </c>
      <c r="E1396" s="17">
        <v>44113.16</v>
      </c>
      <c r="F1396" s="11">
        <v>6.67</v>
      </c>
      <c r="G1396" s="9">
        <v>3335.8</v>
      </c>
      <c r="H1396" s="10">
        <v>0.35699999999999998</v>
      </c>
      <c r="I1396" s="11">
        <v>6.8</v>
      </c>
    </row>
    <row r="1397" spans="1:9" x14ac:dyDescent="0.35">
      <c r="A1397" s="2" t="s">
        <v>179</v>
      </c>
      <c r="B1397" s="3">
        <v>45383</v>
      </c>
      <c r="C1397" s="2">
        <v>20</v>
      </c>
      <c r="D1397" s="2">
        <v>28684</v>
      </c>
      <c r="E1397" s="17">
        <v>63901.1</v>
      </c>
      <c r="F1397" s="11">
        <v>6.32</v>
      </c>
      <c r="G1397" s="9">
        <v>4464.3</v>
      </c>
      <c r="H1397" s="10">
        <v>0.35</v>
      </c>
      <c r="I1397" s="11">
        <v>6.4</v>
      </c>
    </row>
    <row r="1398" spans="1:9" x14ac:dyDescent="0.35">
      <c r="A1398" s="2" t="s">
        <v>179</v>
      </c>
      <c r="B1398" s="3">
        <v>45413</v>
      </c>
      <c r="C1398" s="2">
        <v>21</v>
      </c>
      <c r="D1398" s="2">
        <v>30510</v>
      </c>
      <c r="E1398" s="17">
        <v>66175.929999999993</v>
      </c>
      <c r="F1398" s="11">
        <v>6.68</v>
      </c>
      <c r="G1398" s="9">
        <v>4586.3</v>
      </c>
      <c r="H1398" s="10">
        <v>0.38100000000000001</v>
      </c>
      <c r="I1398" s="11">
        <v>6.7</v>
      </c>
    </row>
    <row r="1399" spans="1:9" x14ac:dyDescent="0.35">
      <c r="A1399" s="2" t="s">
        <v>179</v>
      </c>
      <c r="B1399" s="3">
        <v>45444</v>
      </c>
      <c r="C1399" s="2">
        <v>21</v>
      </c>
      <c r="D1399" s="2">
        <v>30262</v>
      </c>
      <c r="E1399" s="17">
        <v>69703.350000000006</v>
      </c>
      <c r="F1399" s="11">
        <v>6.58</v>
      </c>
      <c r="G1399" s="9">
        <v>4650.8999999999996</v>
      </c>
      <c r="H1399" s="10">
        <v>0.28599999999999998</v>
      </c>
      <c r="I1399" s="11">
        <v>6.7</v>
      </c>
    </row>
    <row r="1400" spans="1:9" x14ac:dyDescent="0.35">
      <c r="A1400" s="2" t="s">
        <v>179</v>
      </c>
      <c r="B1400" s="3">
        <v>45474</v>
      </c>
      <c r="C1400" s="2">
        <v>20</v>
      </c>
      <c r="D1400" s="2">
        <v>30028</v>
      </c>
      <c r="E1400" s="17">
        <v>65489.3</v>
      </c>
      <c r="F1400" s="11">
        <v>6.36</v>
      </c>
      <c r="G1400" s="9">
        <v>4626.8</v>
      </c>
      <c r="H1400" s="10">
        <v>0.3</v>
      </c>
      <c r="I1400" s="11">
        <v>8.3000000000000007</v>
      </c>
    </row>
    <row r="1401" spans="1:9" x14ac:dyDescent="0.35">
      <c r="A1401" s="2" t="s">
        <v>179</v>
      </c>
      <c r="B1401" s="3">
        <v>45505</v>
      </c>
      <c r="C1401" s="2">
        <v>17</v>
      </c>
      <c r="D1401" s="2">
        <v>28838</v>
      </c>
      <c r="E1401" s="17">
        <v>62698.5</v>
      </c>
      <c r="F1401" s="11">
        <v>6.56</v>
      </c>
      <c r="G1401" s="9">
        <v>4463.7</v>
      </c>
      <c r="H1401" s="10">
        <v>0.35299999999999998</v>
      </c>
      <c r="I1401" s="11">
        <v>8.4</v>
      </c>
    </row>
    <row r="1402" spans="1:9" x14ac:dyDescent="0.35">
      <c r="A1402" s="2" t="s">
        <v>179</v>
      </c>
      <c r="B1402" s="3">
        <v>45536</v>
      </c>
      <c r="C1402" s="2">
        <v>14</v>
      </c>
      <c r="D1402" s="2">
        <v>22534</v>
      </c>
      <c r="E1402" s="17">
        <v>49768.37</v>
      </c>
      <c r="F1402" s="11">
        <v>6.55</v>
      </c>
      <c r="G1402" s="9">
        <v>3449</v>
      </c>
      <c r="H1402" s="10">
        <v>0.5</v>
      </c>
      <c r="I1402" s="11">
        <v>7.3</v>
      </c>
    </row>
    <row r="1403" spans="1:9" x14ac:dyDescent="0.35">
      <c r="A1403" s="2" t="s">
        <v>179</v>
      </c>
      <c r="B1403" s="3">
        <v>45566</v>
      </c>
      <c r="C1403" s="2">
        <v>21</v>
      </c>
      <c r="D1403" s="2">
        <v>31034</v>
      </c>
      <c r="E1403" s="17">
        <v>61515.24</v>
      </c>
      <c r="F1403" s="11">
        <v>6.53</v>
      </c>
      <c r="G1403" s="9">
        <v>4752.5</v>
      </c>
      <c r="H1403" s="10">
        <v>0.52400000000000002</v>
      </c>
      <c r="I1403" s="11">
        <v>6.4</v>
      </c>
    </row>
    <row r="1404" spans="1:9" x14ac:dyDescent="0.35">
      <c r="A1404" s="2" t="s">
        <v>179</v>
      </c>
      <c r="B1404" s="3">
        <v>45597</v>
      </c>
      <c r="C1404" s="2">
        <v>27</v>
      </c>
      <c r="D1404" s="2">
        <v>41114</v>
      </c>
      <c r="E1404" s="17">
        <v>82290.320000000007</v>
      </c>
      <c r="F1404" s="11">
        <v>6.67</v>
      </c>
      <c r="G1404" s="9">
        <v>6251.4</v>
      </c>
      <c r="H1404" s="10">
        <v>0.40699999999999997</v>
      </c>
      <c r="I1404" s="11">
        <v>6.4</v>
      </c>
    </row>
    <row r="1405" spans="1:9" x14ac:dyDescent="0.35">
      <c r="A1405" s="2" t="s">
        <v>179</v>
      </c>
      <c r="B1405" s="3">
        <v>45627</v>
      </c>
      <c r="C1405" s="2">
        <v>13</v>
      </c>
      <c r="D1405" s="2">
        <v>19547</v>
      </c>
      <c r="E1405" s="17">
        <v>41156.379999999997</v>
      </c>
      <c r="F1405" s="11">
        <v>6.72</v>
      </c>
      <c r="G1405" s="9">
        <v>2962.5</v>
      </c>
      <c r="H1405" s="10">
        <v>0.23100000000000001</v>
      </c>
      <c r="I1405" s="11">
        <v>6.9</v>
      </c>
    </row>
    <row r="1406" spans="1:9" x14ac:dyDescent="0.35">
      <c r="A1406" s="2" t="s">
        <v>184</v>
      </c>
      <c r="B1406" s="3">
        <v>44562</v>
      </c>
      <c r="C1406" s="2">
        <v>15</v>
      </c>
      <c r="D1406" s="2">
        <v>19982</v>
      </c>
      <c r="E1406" s="17">
        <v>41820.01</v>
      </c>
      <c r="F1406" s="11">
        <v>6.5</v>
      </c>
      <c r="G1406" s="9">
        <v>3151.5</v>
      </c>
      <c r="H1406" s="10">
        <v>0.33300000000000002</v>
      </c>
      <c r="I1406" s="11">
        <v>8.3000000000000007</v>
      </c>
    </row>
    <row r="1407" spans="1:9" x14ac:dyDescent="0.35">
      <c r="A1407" s="2" t="s">
        <v>184</v>
      </c>
      <c r="B1407" s="3">
        <v>44593</v>
      </c>
      <c r="C1407" s="2">
        <v>16</v>
      </c>
      <c r="D1407" s="2">
        <v>32230</v>
      </c>
      <c r="E1407" s="17">
        <v>68148.62</v>
      </c>
      <c r="F1407" s="11">
        <v>6.63</v>
      </c>
      <c r="G1407" s="9">
        <v>4950.6000000000004</v>
      </c>
      <c r="H1407" s="10">
        <v>0.56200000000000006</v>
      </c>
      <c r="I1407" s="11">
        <v>6.9</v>
      </c>
    </row>
    <row r="1408" spans="1:9" x14ac:dyDescent="0.35">
      <c r="A1408" s="2" t="s">
        <v>184</v>
      </c>
      <c r="B1408" s="3">
        <v>44621</v>
      </c>
      <c r="C1408" s="2">
        <v>20</v>
      </c>
      <c r="D1408" s="2">
        <v>26471</v>
      </c>
      <c r="E1408" s="17">
        <v>59985.83</v>
      </c>
      <c r="F1408" s="11">
        <v>6.56</v>
      </c>
      <c r="G1408" s="9">
        <v>4087.4</v>
      </c>
      <c r="H1408" s="10">
        <v>0.45</v>
      </c>
      <c r="I1408" s="11">
        <v>6.6</v>
      </c>
    </row>
    <row r="1409" spans="1:9" x14ac:dyDescent="0.35">
      <c r="A1409" s="2" t="s">
        <v>184</v>
      </c>
      <c r="B1409" s="3">
        <v>44652</v>
      </c>
      <c r="C1409" s="2">
        <v>15</v>
      </c>
      <c r="D1409" s="2">
        <v>25650</v>
      </c>
      <c r="E1409" s="17">
        <v>55193.99</v>
      </c>
      <c r="F1409" s="11">
        <v>6.54</v>
      </c>
      <c r="G1409" s="9">
        <v>3952.8</v>
      </c>
      <c r="H1409" s="10">
        <v>0.4</v>
      </c>
      <c r="I1409" s="11">
        <v>6</v>
      </c>
    </row>
    <row r="1410" spans="1:9" x14ac:dyDescent="0.35">
      <c r="A1410" s="2" t="s">
        <v>184</v>
      </c>
      <c r="B1410" s="3">
        <v>44682</v>
      </c>
      <c r="C1410" s="2">
        <v>22</v>
      </c>
      <c r="D1410" s="2">
        <v>27462</v>
      </c>
      <c r="E1410" s="17">
        <v>58210.29</v>
      </c>
      <c r="F1410" s="11">
        <v>6.55</v>
      </c>
      <c r="G1410" s="9">
        <v>4286.1000000000004</v>
      </c>
      <c r="H1410" s="10">
        <v>0.45500000000000002</v>
      </c>
      <c r="I1410" s="11">
        <v>8</v>
      </c>
    </row>
    <row r="1411" spans="1:9" x14ac:dyDescent="0.35">
      <c r="A1411" s="2" t="s">
        <v>184</v>
      </c>
      <c r="B1411" s="3">
        <v>44713</v>
      </c>
      <c r="C1411" s="2">
        <v>18</v>
      </c>
      <c r="D1411" s="2">
        <v>26292</v>
      </c>
      <c r="E1411" s="17">
        <v>56814.239999999998</v>
      </c>
      <c r="F1411" s="11">
        <v>6.58</v>
      </c>
      <c r="G1411" s="9">
        <v>4089.2</v>
      </c>
      <c r="H1411" s="10">
        <v>0.33300000000000002</v>
      </c>
      <c r="I1411" s="11">
        <v>5.6</v>
      </c>
    </row>
    <row r="1412" spans="1:9" x14ac:dyDescent="0.35">
      <c r="A1412" s="2" t="s">
        <v>184</v>
      </c>
      <c r="B1412" s="3">
        <v>44743</v>
      </c>
      <c r="C1412" s="2">
        <v>20</v>
      </c>
      <c r="D1412" s="2">
        <v>26679</v>
      </c>
      <c r="E1412" s="17">
        <v>52276.41</v>
      </c>
      <c r="F1412" s="11">
        <v>6.76</v>
      </c>
      <c r="G1412" s="9">
        <v>3963.6</v>
      </c>
      <c r="H1412" s="10">
        <v>0.6</v>
      </c>
      <c r="I1412" s="11">
        <v>7.1</v>
      </c>
    </row>
    <row r="1413" spans="1:9" x14ac:dyDescent="0.35">
      <c r="A1413" s="2" t="s">
        <v>184</v>
      </c>
      <c r="B1413" s="3">
        <v>44774</v>
      </c>
      <c r="C1413" s="2">
        <v>18</v>
      </c>
      <c r="D1413" s="2">
        <v>25778</v>
      </c>
      <c r="E1413" s="17">
        <v>49398.92</v>
      </c>
      <c r="F1413" s="11">
        <v>6.57</v>
      </c>
      <c r="G1413" s="9">
        <v>4043.9</v>
      </c>
      <c r="H1413" s="10">
        <v>0.5</v>
      </c>
      <c r="I1413" s="11">
        <v>6.4</v>
      </c>
    </row>
    <row r="1414" spans="1:9" x14ac:dyDescent="0.35">
      <c r="A1414" s="2" t="s">
        <v>184</v>
      </c>
      <c r="B1414" s="3">
        <v>44805</v>
      </c>
      <c r="C1414" s="2">
        <v>23</v>
      </c>
      <c r="D1414" s="2">
        <v>31702</v>
      </c>
      <c r="E1414" s="17">
        <v>63303.14</v>
      </c>
      <c r="F1414" s="11">
        <v>6.67</v>
      </c>
      <c r="G1414" s="9">
        <v>4742.1000000000004</v>
      </c>
      <c r="H1414" s="10">
        <v>0.56499999999999995</v>
      </c>
      <c r="I1414" s="11">
        <v>7.7</v>
      </c>
    </row>
    <row r="1415" spans="1:9" x14ac:dyDescent="0.35">
      <c r="A1415" s="2" t="s">
        <v>184</v>
      </c>
      <c r="B1415" s="3">
        <v>44835</v>
      </c>
      <c r="C1415" s="2">
        <v>22</v>
      </c>
      <c r="D1415" s="2">
        <v>29019</v>
      </c>
      <c r="E1415" s="17">
        <v>58429.29</v>
      </c>
      <c r="F1415" s="11">
        <v>6.48</v>
      </c>
      <c r="G1415" s="9">
        <v>4579.8</v>
      </c>
      <c r="H1415" s="10">
        <v>0.5</v>
      </c>
      <c r="I1415" s="11">
        <v>7</v>
      </c>
    </row>
    <row r="1416" spans="1:9" x14ac:dyDescent="0.35">
      <c r="A1416" s="2" t="s">
        <v>184</v>
      </c>
      <c r="B1416" s="3">
        <v>44866</v>
      </c>
      <c r="C1416" s="2">
        <v>19</v>
      </c>
      <c r="D1416" s="2">
        <v>25886</v>
      </c>
      <c r="E1416" s="17">
        <v>52577.21</v>
      </c>
      <c r="F1416" s="11">
        <v>6.82</v>
      </c>
      <c r="G1416" s="9">
        <v>3812.2</v>
      </c>
      <c r="H1416" s="10">
        <v>0.42099999999999999</v>
      </c>
      <c r="I1416" s="11">
        <v>7.1</v>
      </c>
    </row>
    <row r="1417" spans="1:9" x14ac:dyDescent="0.35">
      <c r="A1417" s="2" t="s">
        <v>184</v>
      </c>
      <c r="B1417" s="3">
        <v>44896</v>
      </c>
      <c r="C1417" s="2">
        <v>18</v>
      </c>
      <c r="D1417" s="2">
        <v>25150</v>
      </c>
      <c r="E1417" s="17">
        <v>55850.879999999997</v>
      </c>
      <c r="F1417" s="11">
        <v>6.34</v>
      </c>
      <c r="G1417" s="9">
        <v>3985.2</v>
      </c>
      <c r="H1417" s="10">
        <v>0.5</v>
      </c>
      <c r="I1417" s="11">
        <v>8</v>
      </c>
    </row>
    <row r="1418" spans="1:9" x14ac:dyDescent="0.35">
      <c r="A1418" s="2" t="s">
        <v>184</v>
      </c>
      <c r="B1418" s="3">
        <v>44927</v>
      </c>
      <c r="C1418" s="2">
        <v>18</v>
      </c>
      <c r="D1418" s="2">
        <v>20312</v>
      </c>
      <c r="E1418" s="17">
        <v>40742.199999999997</v>
      </c>
      <c r="F1418" s="11">
        <v>6.61</v>
      </c>
      <c r="G1418" s="9">
        <v>3150.5</v>
      </c>
      <c r="H1418" s="10">
        <v>0.38900000000000001</v>
      </c>
      <c r="I1418" s="11">
        <v>7.6</v>
      </c>
    </row>
    <row r="1419" spans="1:9" x14ac:dyDescent="0.35">
      <c r="A1419" s="2" t="s">
        <v>184</v>
      </c>
      <c r="B1419" s="3">
        <v>44958</v>
      </c>
      <c r="C1419" s="2">
        <v>14</v>
      </c>
      <c r="D1419" s="2">
        <v>20131</v>
      </c>
      <c r="E1419" s="17">
        <v>44500.52</v>
      </c>
      <c r="F1419" s="11">
        <v>6.36</v>
      </c>
      <c r="G1419" s="9">
        <v>3169.4</v>
      </c>
      <c r="H1419" s="10">
        <v>0.5</v>
      </c>
      <c r="I1419" s="11">
        <v>6.1</v>
      </c>
    </row>
    <row r="1420" spans="1:9" x14ac:dyDescent="0.35">
      <c r="A1420" s="2" t="s">
        <v>184</v>
      </c>
      <c r="B1420" s="3">
        <v>44986</v>
      </c>
      <c r="C1420" s="2">
        <v>13</v>
      </c>
      <c r="D1420" s="2">
        <v>21366</v>
      </c>
      <c r="E1420" s="17">
        <v>48143.13</v>
      </c>
      <c r="F1420" s="11">
        <v>6.66</v>
      </c>
      <c r="G1420" s="9">
        <v>3261.6</v>
      </c>
      <c r="H1420" s="10">
        <v>0.308</v>
      </c>
      <c r="I1420" s="11">
        <v>6.4</v>
      </c>
    </row>
    <row r="1421" spans="1:9" x14ac:dyDescent="0.35">
      <c r="A1421" s="2" t="s">
        <v>184</v>
      </c>
      <c r="B1421" s="3">
        <v>45017</v>
      </c>
      <c r="C1421" s="2">
        <v>12</v>
      </c>
      <c r="D1421" s="2">
        <v>14597</v>
      </c>
      <c r="E1421" s="17">
        <v>27935.599999999999</v>
      </c>
      <c r="F1421" s="11">
        <v>6.53</v>
      </c>
      <c r="G1421" s="9">
        <v>2240.6999999999998</v>
      </c>
      <c r="H1421" s="10">
        <v>0.41699999999999998</v>
      </c>
      <c r="I1421" s="11">
        <v>6.1</v>
      </c>
    </row>
    <row r="1422" spans="1:9" x14ac:dyDescent="0.35">
      <c r="A1422" s="2" t="s">
        <v>184</v>
      </c>
      <c r="B1422" s="3">
        <v>45047</v>
      </c>
      <c r="C1422" s="2">
        <v>19</v>
      </c>
      <c r="D1422" s="2">
        <v>30340</v>
      </c>
      <c r="E1422" s="17">
        <v>70314.8</v>
      </c>
      <c r="F1422" s="11">
        <v>6.7</v>
      </c>
      <c r="G1422" s="9">
        <v>4495.2</v>
      </c>
      <c r="H1422" s="10">
        <v>0.36799999999999999</v>
      </c>
      <c r="I1422" s="11">
        <v>7.3</v>
      </c>
    </row>
    <row r="1423" spans="1:9" x14ac:dyDescent="0.35">
      <c r="A1423" s="2" t="s">
        <v>184</v>
      </c>
      <c r="B1423" s="3">
        <v>45078</v>
      </c>
      <c r="C1423" s="2">
        <v>14</v>
      </c>
      <c r="D1423" s="2">
        <v>15490</v>
      </c>
      <c r="E1423" s="17">
        <v>34398.620000000003</v>
      </c>
      <c r="F1423" s="11">
        <v>6.57</v>
      </c>
      <c r="G1423" s="9">
        <v>2353.1999999999998</v>
      </c>
      <c r="H1423" s="10">
        <v>0.42899999999999999</v>
      </c>
      <c r="I1423" s="11">
        <v>6.8</v>
      </c>
    </row>
    <row r="1424" spans="1:9" x14ac:dyDescent="0.35">
      <c r="A1424" s="2" t="s">
        <v>184</v>
      </c>
      <c r="B1424" s="3">
        <v>45108</v>
      </c>
      <c r="C1424" s="2">
        <v>15</v>
      </c>
      <c r="D1424" s="2">
        <v>15640</v>
      </c>
      <c r="E1424" s="17">
        <v>31518.71</v>
      </c>
      <c r="F1424" s="11">
        <v>6.46</v>
      </c>
      <c r="G1424" s="9">
        <v>2461.6</v>
      </c>
      <c r="H1424" s="10">
        <v>0.4</v>
      </c>
      <c r="I1424" s="11">
        <v>5.6</v>
      </c>
    </row>
    <row r="1425" spans="1:9" x14ac:dyDescent="0.35">
      <c r="A1425" s="2" t="s">
        <v>184</v>
      </c>
      <c r="B1425" s="3">
        <v>45139</v>
      </c>
      <c r="C1425" s="2">
        <v>13</v>
      </c>
      <c r="D1425" s="2">
        <v>20574</v>
      </c>
      <c r="E1425" s="17">
        <v>46126.97</v>
      </c>
      <c r="F1425" s="11">
        <v>6.58</v>
      </c>
      <c r="G1425" s="9">
        <v>3222.6</v>
      </c>
      <c r="H1425" s="10">
        <v>0.69199999999999995</v>
      </c>
      <c r="I1425" s="11">
        <v>6.5</v>
      </c>
    </row>
    <row r="1426" spans="1:9" x14ac:dyDescent="0.35">
      <c r="A1426" s="2" t="s">
        <v>184</v>
      </c>
      <c r="B1426" s="3">
        <v>45170</v>
      </c>
      <c r="C1426" s="2">
        <v>21</v>
      </c>
      <c r="D1426" s="2">
        <v>36145</v>
      </c>
      <c r="E1426" s="17">
        <v>79390.27</v>
      </c>
      <c r="F1426" s="11">
        <v>6.42</v>
      </c>
      <c r="G1426" s="9">
        <v>5730.8</v>
      </c>
      <c r="H1426" s="10">
        <v>0.38100000000000001</v>
      </c>
      <c r="I1426" s="11">
        <v>6.3</v>
      </c>
    </row>
    <row r="1427" spans="1:9" x14ac:dyDescent="0.35">
      <c r="A1427" s="2" t="s">
        <v>184</v>
      </c>
      <c r="B1427" s="3">
        <v>45200</v>
      </c>
      <c r="C1427" s="2">
        <v>18</v>
      </c>
      <c r="D1427" s="2">
        <v>32850</v>
      </c>
      <c r="E1427" s="17">
        <v>68749.08</v>
      </c>
      <c r="F1427" s="11">
        <v>6.46</v>
      </c>
      <c r="G1427" s="9">
        <v>5162.8</v>
      </c>
      <c r="H1427" s="10">
        <v>0.33300000000000002</v>
      </c>
      <c r="I1427" s="11">
        <v>7.4</v>
      </c>
    </row>
    <row r="1428" spans="1:9" x14ac:dyDescent="0.35">
      <c r="A1428" s="2" t="s">
        <v>184</v>
      </c>
      <c r="B1428" s="3">
        <v>45231</v>
      </c>
      <c r="C1428" s="2">
        <v>16</v>
      </c>
      <c r="D1428" s="2">
        <v>23686</v>
      </c>
      <c r="E1428" s="17">
        <v>49562.61</v>
      </c>
      <c r="F1428" s="11">
        <v>6.53</v>
      </c>
      <c r="G1428" s="9">
        <v>3670.7</v>
      </c>
      <c r="H1428" s="10">
        <v>0.25</v>
      </c>
      <c r="I1428" s="11">
        <v>8.1</v>
      </c>
    </row>
    <row r="1429" spans="1:9" x14ac:dyDescent="0.35">
      <c r="A1429" s="2" t="s">
        <v>184</v>
      </c>
      <c r="B1429" s="3">
        <v>45261</v>
      </c>
      <c r="C1429" s="2">
        <v>12</v>
      </c>
      <c r="D1429" s="2">
        <v>17495</v>
      </c>
      <c r="E1429" s="17">
        <v>39189.440000000002</v>
      </c>
      <c r="F1429" s="11">
        <v>6.77</v>
      </c>
      <c r="G1429" s="9">
        <v>2631.9</v>
      </c>
      <c r="H1429" s="10">
        <v>0.66700000000000004</v>
      </c>
      <c r="I1429" s="11">
        <v>6.1</v>
      </c>
    </row>
    <row r="1430" spans="1:9" x14ac:dyDescent="0.35">
      <c r="A1430" s="2" t="s">
        <v>184</v>
      </c>
      <c r="B1430" s="3">
        <v>45292</v>
      </c>
      <c r="C1430" s="2">
        <v>14</v>
      </c>
      <c r="D1430" s="2">
        <v>17279</v>
      </c>
      <c r="E1430" s="17">
        <v>39147.9</v>
      </c>
      <c r="F1430" s="11">
        <v>6.63</v>
      </c>
      <c r="G1430" s="9">
        <v>2629</v>
      </c>
      <c r="H1430" s="10">
        <v>0.35699999999999998</v>
      </c>
      <c r="I1430" s="11">
        <v>6.7</v>
      </c>
    </row>
    <row r="1431" spans="1:9" x14ac:dyDescent="0.35">
      <c r="A1431" s="2" t="s">
        <v>184</v>
      </c>
      <c r="B1431" s="3">
        <v>45323</v>
      </c>
      <c r="C1431" s="2">
        <v>19</v>
      </c>
      <c r="D1431" s="2">
        <v>20131</v>
      </c>
      <c r="E1431" s="17">
        <v>42883.81</v>
      </c>
      <c r="F1431" s="11">
        <v>6.6</v>
      </c>
      <c r="G1431" s="9">
        <v>3012.5</v>
      </c>
      <c r="H1431" s="10">
        <v>0.42099999999999999</v>
      </c>
      <c r="I1431" s="11">
        <v>7</v>
      </c>
    </row>
    <row r="1432" spans="1:9" x14ac:dyDescent="0.35">
      <c r="A1432" s="2" t="s">
        <v>184</v>
      </c>
      <c r="B1432" s="3">
        <v>45352</v>
      </c>
      <c r="C1432" s="2">
        <v>12</v>
      </c>
      <c r="D1432" s="2">
        <v>17254</v>
      </c>
      <c r="E1432" s="17">
        <v>35823.97</v>
      </c>
      <c r="F1432" s="11">
        <v>6.48</v>
      </c>
      <c r="G1432" s="9">
        <v>2699.7</v>
      </c>
      <c r="H1432" s="10">
        <v>0.25</v>
      </c>
      <c r="I1432" s="11">
        <v>5.9</v>
      </c>
    </row>
    <row r="1433" spans="1:9" x14ac:dyDescent="0.35">
      <c r="A1433" s="2" t="s">
        <v>184</v>
      </c>
      <c r="B1433" s="3">
        <v>45383</v>
      </c>
      <c r="C1433" s="2">
        <v>24</v>
      </c>
      <c r="D1433" s="2">
        <v>32815</v>
      </c>
      <c r="E1433" s="17">
        <v>67554.12</v>
      </c>
      <c r="F1433" s="11">
        <v>6.46</v>
      </c>
      <c r="G1433" s="9">
        <v>5175.8</v>
      </c>
      <c r="H1433" s="10">
        <v>0.5</v>
      </c>
      <c r="I1433" s="11">
        <v>7</v>
      </c>
    </row>
    <row r="1434" spans="1:9" x14ac:dyDescent="0.35">
      <c r="A1434" s="2" t="s">
        <v>184</v>
      </c>
      <c r="B1434" s="3">
        <v>45413</v>
      </c>
      <c r="C1434" s="2">
        <v>15</v>
      </c>
      <c r="D1434" s="2">
        <v>19798</v>
      </c>
      <c r="E1434" s="17">
        <v>41051.21</v>
      </c>
      <c r="F1434" s="11">
        <v>6.66</v>
      </c>
      <c r="G1434" s="9">
        <v>2936.9</v>
      </c>
      <c r="H1434" s="10">
        <v>0.26700000000000002</v>
      </c>
      <c r="I1434" s="11">
        <v>7.8</v>
      </c>
    </row>
    <row r="1435" spans="1:9" x14ac:dyDescent="0.35">
      <c r="A1435" s="2" t="s">
        <v>184</v>
      </c>
      <c r="B1435" s="3">
        <v>45444</v>
      </c>
      <c r="C1435" s="2">
        <v>20</v>
      </c>
      <c r="D1435" s="2">
        <v>25089</v>
      </c>
      <c r="E1435" s="17">
        <v>59455.07</v>
      </c>
      <c r="F1435" s="11">
        <v>6.65</v>
      </c>
      <c r="G1435" s="9">
        <v>3804.1</v>
      </c>
      <c r="H1435" s="10">
        <v>0.6</v>
      </c>
      <c r="I1435" s="11">
        <v>6.9</v>
      </c>
    </row>
    <row r="1436" spans="1:9" x14ac:dyDescent="0.35">
      <c r="A1436" s="2" t="s">
        <v>184</v>
      </c>
      <c r="B1436" s="3">
        <v>45474</v>
      </c>
      <c r="C1436" s="2">
        <v>16</v>
      </c>
      <c r="D1436" s="2">
        <v>22827</v>
      </c>
      <c r="E1436" s="17">
        <v>55725.66</v>
      </c>
      <c r="F1436" s="11">
        <v>6.58</v>
      </c>
      <c r="G1436" s="9">
        <v>3485.8</v>
      </c>
      <c r="H1436" s="10">
        <v>0.75</v>
      </c>
      <c r="I1436" s="11">
        <v>7.9</v>
      </c>
    </row>
    <row r="1437" spans="1:9" x14ac:dyDescent="0.35">
      <c r="A1437" s="2" t="s">
        <v>184</v>
      </c>
      <c r="B1437" s="3">
        <v>45505</v>
      </c>
      <c r="C1437" s="2">
        <v>19</v>
      </c>
      <c r="D1437" s="2">
        <v>23675</v>
      </c>
      <c r="E1437" s="17">
        <v>53638.42</v>
      </c>
      <c r="F1437" s="11">
        <v>6.5</v>
      </c>
      <c r="G1437" s="9">
        <v>3792.3</v>
      </c>
      <c r="H1437" s="10">
        <v>0.52600000000000002</v>
      </c>
      <c r="I1437" s="11">
        <v>7.6</v>
      </c>
    </row>
    <row r="1438" spans="1:9" x14ac:dyDescent="0.35">
      <c r="A1438" s="2" t="s">
        <v>184</v>
      </c>
      <c r="B1438" s="3">
        <v>45536</v>
      </c>
      <c r="C1438" s="2">
        <v>16</v>
      </c>
      <c r="D1438" s="2">
        <v>27655</v>
      </c>
      <c r="E1438" s="17">
        <v>62689.43</v>
      </c>
      <c r="F1438" s="11">
        <v>6.45</v>
      </c>
      <c r="G1438" s="9">
        <v>4404.6000000000004</v>
      </c>
      <c r="H1438" s="10">
        <v>0.438</v>
      </c>
      <c r="I1438" s="11">
        <v>6.7</v>
      </c>
    </row>
    <row r="1439" spans="1:9" x14ac:dyDescent="0.35">
      <c r="A1439" s="2" t="s">
        <v>184</v>
      </c>
      <c r="B1439" s="3">
        <v>45566</v>
      </c>
      <c r="C1439" s="2">
        <v>16</v>
      </c>
      <c r="D1439" s="2">
        <v>22864</v>
      </c>
      <c r="E1439" s="17">
        <v>48807.97</v>
      </c>
      <c r="F1439" s="11">
        <v>6.29</v>
      </c>
      <c r="G1439" s="9">
        <v>3701.4</v>
      </c>
      <c r="H1439" s="10">
        <v>0.56200000000000006</v>
      </c>
      <c r="I1439" s="11">
        <v>5.6</v>
      </c>
    </row>
    <row r="1440" spans="1:9" x14ac:dyDescent="0.35">
      <c r="A1440" s="2" t="s">
        <v>184</v>
      </c>
      <c r="B1440" s="3">
        <v>45597</v>
      </c>
      <c r="C1440" s="2">
        <v>19</v>
      </c>
      <c r="D1440" s="2">
        <v>34153</v>
      </c>
      <c r="E1440" s="17">
        <v>75611.55</v>
      </c>
      <c r="F1440" s="11">
        <v>6.37</v>
      </c>
      <c r="G1440" s="9">
        <v>5459.8</v>
      </c>
      <c r="H1440" s="10">
        <v>0.47399999999999998</v>
      </c>
      <c r="I1440" s="11">
        <v>8.1999999999999993</v>
      </c>
    </row>
    <row r="1441" spans="1:9" x14ac:dyDescent="0.35">
      <c r="A1441" s="2" t="s">
        <v>184</v>
      </c>
      <c r="B1441" s="3">
        <v>45627</v>
      </c>
      <c r="C1441" s="2">
        <v>22</v>
      </c>
      <c r="D1441" s="2">
        <v>34399</v>
      </c>
      <c r="E1441" s="17">
        <v>76459.27</v>
      </c>
      <c r="F1441" s="11">
        <v>6.58</v>
      </c>
      <c r="G1441" s="9">
        <v>5218</v>
      </c>
      <c r="H1441" s="10">
        <v>0.318</v>
      </c>
      <c r="I1441" s="11">
        <v>6.4</v>
      </c>
    </row>
    <row r="1442" spans="1:9" x14ac:dyDescent="0.35">
      <c r="A1442" s="2" t="s">
        <v>187</v>
      </c>
      <c r="B1442" s="3">
        <v>44562</v>
      </c>
      <c r="C1442" s="2">
        <v>23</v>
      </c>
      <c r="D1442" s="2">
        <v>34500</v>
      </c>
      <c r="E1442" s="17">
        <v>74816.94</v>
      </c>
      <c r="F1442" s="11">
        <v>6.52</v>
      </c>
      <c r="G1442" s="9">
        <v>5259.2</v>
      </c>
      <c r="H1442" s="10">
        <v>0.39100000000000001</v>
      </c>
      <c r="I1442" s="11">
        <v>6.8</v>
      </c>
    </row>
    <row r="1443" spans="1:9" x14ac:dyDescent="0.35">
      <c r="A1443" s="2" t="s">
        <v>187</v>
      </c>
      <c r="B1443" s="3">
        <v>44593</v>
      </c>
      <c r="C1443" s="2">
        <v>17</v>
      </c>
      <c r="D1443" s="2">
        <v>20163</v>
      </c>
      <c r="E1443" s="17">
        <v>42751.42</v>
      </c>
      <c r="F1443" s="11">
        <v>6.52</v>
      </c>
      <c r="G1443" s="9">
        <v>3144.8</v>
      </c>
      <c r="H1443" s="10">
        <v>0.29399999999999998</v>
      </c>
      <c r="I1443" s="11">
        <v>7</v>
      </c>
    </row>
    <row r="1444" spans="1:9" x14ac:dyDescent="0.35">
      <c r="A1444" s="2" t="s">
        <v>187</v>
      </c>
      <c r="B1444" s="3">
        <v>44621</v>
      </c>
      <c r="C1444" s="2">
        <v>14</v>
      </c>
      <c r="D1444" s="2">
        <v>18182</v>
      </c>
      <c r="E1444" s="17">
        <v>42027.89</v>
      </c>
      <c r="F1444" s="11">
        <v>6.47</v>
      </c>
      <c r="G1444" s="9">
        <v>2804.9</v>
      </c>
      <c r="H1444" s="10">
        <v>0.42899999999999999</v>
      </c>
      <c r="I1444" s="11">
        <v>7.1</v>
      </c>
    </row>
    <row r="1445" spans="1:9" x14ac:dyDescent="0.35">
      <c r="A1445" s="2" t="s">
        <v>187</v>
      </c>
      <c r="B1445" s="3">
        <v>44652</v>
      </c>
      <c r="C1445" s="2">
        <v>11</v>
      </c>
      <c r="D1445" s="2">
        <v>20092</v>
      </c>
      <c r="E1445" s="17">
        <v>48810.77</v>
      </c>
      <c r="F1445" s="11">
        <v>6.5</v>
      </c>
      <c r="G1445" s="9">
        <v>3141.4</v>
      </c>
      <c r="H1445" s="10">
        <v>0.27300000000000002</v>
      </c>
      <c r="I1445" s="11">
        <v>7</v>
      </c>
    </row>
    <row r="1446" spans="1:9" x14ac:dyDescent="0.35">
      <c r="A1446" s="2" t="s">
        <v>187</v>
      </c>
      <c r="B1446" s="3">
        <v>44682</v>
      </c>
      <c r="C1446" s="2">
        <v>11</v>
      </c>
      <c r="D1446" s="2">
        <v>15688</v>
      </c>
      <c r="E1446" s="17">
        <v>33504.83</v>
      </c>
      <c r="F1446" s="11">
        <v>6.12</v>
      </c>
      <c r="G1446" s="9">
        <v>2572.4</v>
      </c>
      <c r="H1446" s="10">
        <v>0.27300000000000002</v>
      </c>
      <c r="I1446" s="11">
        <v>8.1999999999999993</v>
      </c>
    </row>
    <row r="1447" spans="1:9" x14ac:dyDescent="0.35">
      <c r="A1447" s="2" t="s">
        <v>187</v>
      </c>
      <c r="B1447" s="3">
        <v>44713</v>
      </c>
      <c r="C1447" s="2">
        <v>17</v>
      </c>
      <c r="D1447" s="2">
        <v>22413</v>
      </c>
      <c r="E1447" s="17">
        <v>47286.62</v>
      </c>
      <c r="F1447" s="11">
        <v>6.5</v>
      </c>
      <c r="G1447" s="9">
        <v>3508</v>
      </c>
      <c r="H1447" s="10">
        <v>0.23499999999999999</v>
      </c>
      <c r="I1447" s="11">
        <v>7.9</v>
      </c>
    </row>
    <row r="1448" spans="1:9" x14ac:dyDescent="0.35">
      <c r="A1448" s="2" t="s">
        <v>187</v>
      </c>
      <c r="B1448" s="3">
        <v>44743</v>
      </c>
      <c r="C1448" s="2">
        <v>16</v>
      </c>
      <c r="D1448" s="2">
        <v>22837</v>
      </c>
      <c r="E1448" s="17">
        <v>50977.59</v>
      </c>
      <c r="F1448" s="11">
        <v>6.4</v>
      </c>
      <c r="G1448" s="9">
        <v>3681.4</v>
      </c>
      <c r="H1448" s="10">
        <v>0.5</v>
      </c>
      <c r="I1448" s="11">
        <v>6.6</v>
      </c>
    </row>
    <row r="1449" spans="1:9" x14ac:dyDescent="0.35">
      <c r="A1449" s="2" t="s">
        <v>187</v>
      </c>
      <c r="B1449" s="3">
        <v>44774</v>
      </c>
      <c r="C1449" s="2">
        <v>21</v>
      </c>
      <c r="D1449" s="2">
        <v>31865</v>
      </c>
      <c r="E1449" s="17">
        <v>68411.460000000006</v>
      </c>
      <c r="F1449" s="11">
        <v>6.38</v>
      </c>
      <c r="G1449" s="9">
        <v>5081.3</v>
      </c>
      <c r="H1449" s="10">
        <v>0.38100000000000001</v>
      </c>
      <c r="I1449" s="11">
        <v>7.4</v>
      </c>
    </row>
    <row r="1450" spans="1:9" x14ac:dyDescent="0.35">
      <c r="A1450" s="2" t="s">
        <v>187</v>
      </c>
      <c r="B1450" s="3">
        <v>44805</v>
      </c>
      <c r="C1450" s="2">
        <v>23</v>
      </c>
      <c r="D1450" s="2">
        <v>27685</v>
      </c>
      <c r="E1450" s="17">
        <v>53366.35</v>
      </c>
      <c r="F1450" s="11">
        <v>6.48</v>
      </c>
      <c r="G1450" s="9">
        <v>4295.2</v>
      </c>
      <c r="H1450" s="10">
        <v>0.39100000000000001</v>
      </c>
      <c r="I1450" s="11">
        <v>6.7</v>
      </c>
    </row>
    <row r="1451" spans="1:9" x14ac:dyDescent="0.35">
      <c r="A1451" s="2" t="s">
        <v>187</v>
      </c>
      <c r="B1451" s="3">
        <v>44835</v>
      </c>
      <c r="C1451" s="2">
        <v>17</v>
      </c>
      <c r="D1451" s="2">
        <v>18766</v>
      </c>
      <c r="E1451" s="17">
        <v>39553.49</v>
      </c>
      <c r="F1451" s="11">
        <v>6.51</v>
      </c>
      <c r="G1451" s="9">
        <v>2879.6</v>
      </c>
      <c r="H1451" s="10">
        <v>0.52900000000000003</v>
      </c>
      <c r="I1451" s="11">
        <v>7.3</v>
      </c>
    </row>
    <row r="1452" spans="1:9" x14ac:dyDescent="0.35">
      <c r="A1452" s="2" t="s">
        <v>187</v>
      </c>
      <c r="B1452" s="3">
        <v>44866</v>
      </c>
      <c r="C1452" s="2">
        <v>19</v>
      </c>
      <c r="D1452" s="2">
        <v>24752</v>
      </c>
      <c r="E1452" s="17">
        <v>53495.99</v>
      </c>
      <c r="F1452" s="11">
        <v>6.63</v>
      </c>
      <c r="G1452" s="9">
        <v>3680.5</v>
      </c>
      <c r="H1452" s="10">
        <v>0.42099999999999999</v>
      </c>
      <c r="I1452" s="11">
        <v>6.4</v>
      </c>
    </row>
    <row r="1453" spans="1:9" x14ac:dyDescent="0.35">
      <c r="A1453" s="2" t="s">
        <v>187</v>
      </c>
      <c r="B1453" s="3">
        <v>44896</v>
      </c>
      <c r="C1453" s="2">
        <v>15</v>
      </c>
      <c r="D1453" s="2">
        <v>17510</v>
      </c>
      <c r="E1453" s="17">
        <v>34230.730000000003</v>
      </c>
      <c r="F1453" s="11">
        <v>6.26</v>
      </c>
      <c r="G1453" s="9">
        <v>2880.5</v>
      </c>
      <c r="H1453" s="10">
        <v>0.6</v>
      </c>
      <c r="I1453" s="11">
        <v>6.8</v>
      </c>
    </row>
    <row r="1454" spans="1:9" x14ac:dyDescent="0.35">
      <c r="A1454" s="2" t="s">
        <v>187</v>
      </c>
      <c r="B1454" s="3">
        <v>44927</v>
      </c>
      <c r="C1454" s="2">
        <v>19</v>
      </c>
      <c r="D1454" s="2">
        <v>34942</v>
      </c>
      <c r="E1454" s="17">
        <v>75932.13</v>
      </c>
      <c r="F1454" s="11">
        <v>6.36</v>
      </c>
      <c r="G1454" s="9">
        <v>5500.7</v>
      </c>
      <c r="H1454" s="10">
        <v>0.42099999999999999</v>
      </c>
      <c r="I1454" s="11">
        <v>7.9</v>
      </c>
    </row>
    <row r="1455" spans="1:9" x14ac:dyDescent="0.35">
      <c r="A1455" s="2" t="s">
        <v>187</v>
      </c>
      <c r="B1455" s="3">
        <v>44958</v>
      </c>
      <c r="C1455" s="2">
        <v>22</v>
      </c>
      <c r="D1455" s="2">
        <v>35120</v>
      </c>
      <c r="E1455" s="17">
        <v>73308.34</v>
      </c>
      <c r="F1455" s="11">
        <v>6.47</v>
      </c>
      <c r="G1455" s="9">
        <v>5489.1</v>
      </c>
      <c r="H1455" s="10">
        <v>0.5</v>
      </c>
      <c r="I1455" s="11">
        <v>7.6</v>
      </c>
    </row>
    <row r="1456" spans="1:9" x14ac:dyDescent="0.35">
      <c r="A1456" s="2" t="s">
        <v>187</v>
      </c>
      <c r="B1456" s="3">
        <v>44986</v>
      </c>
      <c r="C1456" s="2">
        <v>22</v>
      </c>
      <c r="D1456" s="2">
        <v>33346</v>
      </c>
      <c r="E1456" s="17">
        <v>70196.3</v>
      </c>
      <c r="F1456" s="11">
        <v>6.37</v>
      </c>
      <c r="G1456" s="9">
        <v>5144.3</v>
      </c>
      <c r="H1456" s="10">
        <v>0.59099999999999997</v>
      </c>
      <c r="I1456" s="11">
        <v>7.1</v>
      </c>
    </row>
    <row r="1457" spans="1:9" x14ac:dyDescent="0.35">
      <c r="A1457" s="2" t="s">
        <v>187</v>
      </c>
      <c r="B1457" s="3">
        <v>45017</v>
      </c>
      <c r="C1457" s="2">
        <v>15</v>
      </c>
      <c r="D1457" s="2">
        <v>19175</v>
      </c>
      <c r="E1457" s="17">
        <v>39498.79</v>
      </c>
      <c r="F1457" s="11">
        <v>6.61</v>
      </c>
      <c r="G1457" s="9">
        <v>2975.3</v>
      </c>
      <c r="H1457" s="10">
        <v>0.4</v>
      </c>
      <c r="I1457" s="11">
        <v>8.3000000000000007</v>
      </c>
    </row>
    <row r="1458" spans="1:9" x14ac:dyDescent="0.35">
      <c r="A1458" s="2" t="s">
        <v>187</v>
      </c>
      <c r="B1458" s="3">
        <v>45047</v>
      </c>
      <c r="C1458" s="2">
        <v>17</v>
      </c>
      <c r="D1458" s="2">
        <v>25705</v>
      </c>
      <c r="E1458" s="17">
        <v>60303.26</v>
      </c>
      <c r="F1458" s="11">
        <v>6.71</v>
      </c>
      <c r="G1458" s="9">
        <v>3801.1</v>
      </c>
      <c r="H1458" s="10">
        <v>0.47099999999999997</v>
      </c>
      <c r="I1458" s="11">
        <v>7.4</v>
      </c>
    </row>
    <row r="1459" spans="1:9" x14ac:dyDescent="0.35">
      <c r="A1459" s="2" t="s">
        <v>187</v>
      </c>
      <c r="B1459" s="3">
        <v>45078</v>
      </c>
      <c r="C1459" s="2">
        <v>16</v>
      </c>
      <c r="D1459" s="2">
        <v>25969</v>
      </c>
      <c r="E1459" s="17">
        <v>58799.58</v>
      </c>
      <c r="F1459" s="11">
        <v>6.56</v>
      </c>
      <c r="G1459" s="9">
        <v>3990.8</v>
      </c>
      <c r="H1459" s="10">
        <v>0.5</v>
      </c>
      <c r="I1459" s="11">
        <v>7.9</v>
      </c>
    </row>
    <row r="1460" spans="1:9" x14ac:dyDescent="0.35">
      <c r="A1460" s="2" t="s">
        <v>187</v>
      </c>
      <c r="B1460" s="3">
        <v>45108</v>
      </c>
      <c r="C1460" s="2">
        <v>20</v>
      </c>
      <c r="D1460" s="2">
        <v>28443</v>
      </c>
      <c r="E1460" s="17">
        <v>59618.080000000002</v>
      </c>
      <c r="F1460" s="11">
        <v>6.52</v>
      </c>
      <c r="G1460" s="9">
        <v>4402.3999999999996</v>
      </c>
      <c r="H1460" s="10">
        <v>0.4</v>
      </c>
      <c r="I1460" s="11">
        <v>7.1</v>
      </c>
    </row>
    <row r="1461" spans="1:9" x14ac:dyDescent="0.35">
      <c r="A1461" s="2" t="s">
        <v>187</v>
      </c>
      <c r="B1461" s="3">
        <v>45139</v>
      </c>
      <c r="C1461" s="2">
        <v>15</v>
      </c>
      <c r="D1461" s="2">
        <v>20246</v>
      </c>
      <c r="E1461" s="17">
        <v>42845.760000000002</v>
      </c>
      <c r="F1461" s="11">
        <v>6.56</v>
      </c>
      <c r="G1461" s="9">
        <v>3153.7</v>
      </c>
      <c r="H1461" s="10">
        <v>0.6</v>
      </c>
      <c r="I1461" s="11">
        <v>6.7</v>
      </c>
    </row>
    <row r="1462" spans="1:9" x14ac:dyDescent="0.35">
      <c r="A1462" s="2" t="s">
        <v>187</v>
      </c>
      <c r="B1462" s="3">
        <v>45170</v>
      </c>
      <c r="C1462" s="2">
        <v>13</v>
      </c>
      <c r="D1462" s="2">
        <v>18024</v>
      </c>
      <c r="E1462" s="17">
        <v>35917.72</v>
      </c>
      <c r="F1462" s="11">
        <v>6.58</v>
      </c>
      <c r="G1462" s="9">
        <v>2770.4</v>
      </c>
      <c r="H1462" s="10">
        <v>0.38500000000000001</v>
      </c>
      <c r="I1462" s="11">
        <v>6.6</v>
      </c>
    </row>
    <row r="1463" spans="1:9" x14ac:dyDescent="0.35">
      <c r="A1463" s="2" t="s">
        <v>187</v>
      </c>
      <c r="B1463" s="3">
        <v>45200</v>
      </c>
      <c r="C1463" s="2">
        <v>18</v>
      </c>
      <c r="D1463" s="2">
        <v>25098</v>
      </c>
      <c r="E1463" s="17">
        <v>52984.65</v>
      </c>
      <c r="F1463" s="11">
        <v>6.52</v>
      </c>
      <c r="G1463" s="9">
        <v>3846.3</v>
      </c>
      <c r="H1463" s="10">
        <v>0.5</v>
      </c>
      <c r="I1463" s="11">
        <v>6.6</v>
      </c>
    </row>
    <row r="1464" spans="1:9" x14ac:dyDescent="0.35">
      <c r="A1464" s="2" t="s">
        <v>187</v>
      </c>
      <c r="B1464" s="3">
        <v>45231</v>
      </c>
      <c r="C1464" s="2">
        <v>23</v>
      </c>
      <c r="D1464" s="2">
        <v>33958</v>
      </c>
      <c r="E1464" s="17">
        <v>78078.12</v>
      </c>
      <c r="F1464" s="11">
        <v>6.77</v>
      </c>
      <c r="G1464" s="9">
        <v>5082.1000000000004</v>
      </c>
      <c r="H1464" s="10">
        <v>0.47799999999999998</v>
      </c>
      <c r="I1464" s="11">
        <v>7.1</v>
      </c>
    </row>
    <row r="1465" spans="1:9" x14ac:dyDescent="0.35">
      <c r="A1465" s="2" t="s">
        <v>187</v>
      </c>
      <c r="B1465" s="3">
        <v>45261</v>
      </c>
      <c r="C1465" s="2">
        <v>22</v>
      </c>
      <c r="D1465" s="2">
        <v>28142</v>
      </c>
      <c r="E1465" s="17">
        <v>64046.27</v>
      </c>
      <c r="F1465" s="11">
        <v>6.37</v>
      </c>
      <c r="G1465" s="9">
        <v>4392.6000000000004</v>
      </c>
      <c r="H1465" s="10">
        <v>0.5</v>
      </c>
      <c r="I1465" s="11">
        <v>7.2</v>
      </c>
    </row>
    <row r="1466" spans="1:9" x14ac:dyDescent="0.35">
      <c r="A1466" s="2" t="s">
        <v>187</v>
      </c>
      <c r="B1466" s="3">
        <v>45292</v>
      </c>
      <c r="C1466" s="2">
        <v>19</v>
      </c>
      <c r="D1466" s="2">
        <v>34257</v>
      </c>
      <c r="E1466" s="17">
        <v>71618.710000000006</v>
      </c>
      <c r="F1466" s="11">
        <v>6.5</v>
      </c>
      <c r="G1466" s="9">
        <v>5399.6</v>
      </c>
      <c r="H1466" s="10">
        <v>0.63200000000000001</v>
      </c>
      <c r="I1466" s="11">
        <v>7.8</v>
      </c>
    </row>
    <row r="1467" spans="1:9" x14ac:dyDescent="0.35">
      <c r="A1467" s="2" t="s">
        <v>187</v>
      </c>
      <c r="B1467" s="3">
        <v>45323</v>
      </c>
      <c r="C1467" s="2">
        <v>22</v>
      </c>
      <c r="D1467" s="2">
        <v>32742</v>
      </c>
      <c r="E1467" s="17">
        <v>73588.87</v>
      </c>
      <c r="F1467" s="11">
        <v>6.71</v>
      </c>
      <c r="G1467" s="9">
        <v>4881</v>
      </c>
      <c r="H1467" s="10">
        <v>0.63600000000000001</v>
      </c>
      <c r="I1467" s="11">
        <v>7.5</v>
      </c>
    </row>
    <row r="1468" spans="1:9" x14ac:dyDescent="0.35">
      <c r="A1468" s="2" t="s">
        <v>187</v>
      </c>
      <c r="B1468" s="3">
        <v>45352</v>
      </c>
      <c r="C1468" s="2">
        <v>13</v>
      </c>
      <c r="D1468" s="2">
        <v>15576</v>
      </c>
      <c r="E1468" s="17">
        <v>33485.75</v>
      </c>
      <c r="F1468" s="11">
        <v>6.28</v>
      </c>
      <c r="G1468" s="9">
        <v>2464.1999999999998</v>
      </c>
      <c r="H1468" s="10">
        <v>0.53800000000000003</v>
      </c>
      <c r="I1468" s="11">
        <v>6</v>
      </c>
    </row>
    <row r="1469" spans="1:9" x14ac:dyDescent="0.35">
      <c r="A1469" s="2" t="s">
        <v>187</v>
      </c>
      <c r="B1469" s="3">
        <v>45383</v>
      </c>
      <c r="C1469" s="2">
        <v>14</v>
      </c>
      <c r="D1469" s="2">
        <v>15110</v>
      </c>
      <c r="E1469" s="17">
        <v>30183.77</v>
      </c>
      <c r="F1469" s="11">
        <v>6.7</v>
      </c>
      <c r="G1469" s="9">
        <v>2247.6999999999998</v>
      </c>
      <c r="H1469" s="10">
        <v>0.64300000000000002</v>
      </c>
      <c r="I1469" s="11">
        <v>7.1</v>
      </c>
    </row>
    <row r="1470" spans="1:9" x14ac:dyDescent="0.35">
      <c r="A1470" s="2" t="s">
        <v>187</v>
      </c>
      <c r="B1470" s="3">
        <v>45413</v>
      </c>
      <c r="C1470" s="2">
        <v>21</v>
      </c>
      <c r="D1470" s="2">
        <v>24641</v>
      </c>
      <c r="E1470" s="17">
        <v>51361.27</v>
      </c>
      <c r="F1470" s="11">
        <v>6.6</v>
      </c>
      <c r="G1470" s="9">
        <v>3747.5</v>
      </c>
      <c r="H1470" s="10">
        <v>0.42899999999999999</v>
      </c>
      <c r="I1470" s="11">
        <v>6.9</v>
      </c>
    </row>
    <row r="1471" spans="1:9" x14ac:dyDescent="0.35">
      <c r="A1471" s="2" t="s">
        <v>187</v>
      </c>
      <c r="B1471" s="3">
        <v>45444</v>
      </c>
      <c r="C1471" s="2">
        <v>23</v>
      </c>
      <c r="D1471" s="2">
        <v>32212</v>
      </c>
      <c r="E1471" s="17">
        <v>71128.800000000003</v>
      </c>
      <c r="F1471" s="11">
        <v>6.41</v>
      </c>
      <c r="G1471" s="9">
        <v>5099.7</v>
      </c>
      <c r="H1471" s="10">
        <v>0.34799999999999998</v>
      </c>
      <c r="I1471" s="11">
        <v>8.4</v>
      </c>
    </row>
    <row r="1472" spans="1:9" x14ac:dyDescent="0.35">
      <c r="A1472" s="2" t="s">
        <v>187</v>
      </c>
      <c r="B1472" s="3">
        <v>45474</v>
      </c>
      <c r="C1472" s="2">
        <v>20</v>
      </c>
      <c r="D1472" s="2">
        <v>28534</v>
      </c>
      <c r="E1472" s="17">
        <v>60175.55</v>
      </c>
      <c r="F1472" s="11">
        <v>6.32</v>
      </c>
      <c r="G1472" s="9">
        <v>4593.2</v>
      </c>
      <c r="H1472" s="10">
        <v>0.4</v>
      </c>
      <c r="I1472" s="11">
        <v>7.9</v>
      </c>
    </row>
    <row r="1473" spans="1:9" x14ac:dyDescent="0.35">
      <c r="A1473" s="2" t="s">
        <v>187</v>
      </c>
      <c r="B1473" s="3">
        <v>45505</v>
      </c>
      <c r="C1473" s="2">
        <v>22</v>
      </c>
      <c r="D1473" s="2">
        <v>27084</v>
      </c>
      <c r="E1473" s="17">
        <v>58101.56</v>
      </c>
      <c r="F1473" s="11">
        <v>6.38</v>
      </c>
      <c r="G1473" s="9">
        <v>4331.3</v>
      </c>
      <c r="H1473" s="10">
        <v>0.27300000000000002</v>
      </c>
      <c r="I1473" s="11">
        <v>6</v>
      </c>
    </row>
    <row r="1474" spans="1:9" x14ac:dyDescent="0.35">
      <c r="A1474" s="2" t="s">
        <v>187</v>
      </c>
      <c r="B1474" s="3">
        <v>45536</v>
      </c>
      <c r="C1474" s="2">
        <v>23</v>
      </c>
      <c r="D1474" s="2">
        <v>34748</v>
      </c>
      <c r="E1474" s="17">
        <v>76367.38</v>
      </c>
      <c r="F1474" s="11">
        <v>6.55</v>
      </c>
      <c r="G1474" s="9">
        <v>5306.7</v>
      </c>
      <c r="H1474" s="10">
        <v>0.435</v>
      </c>
      <c r="I1474" s="11">
        <v>7</v>
      </c>
    </row>
    <row r="1475" spans="1:9" x14ac:dyDescent="0.35">
      <c r="A1475" s="2" t="s">
        <v>187</v>
      </c>
      <c r="B1475" s="3">
        <v>45566</v>
      </c>
      <c r="C1475" s="2">
        <v>20</v>
      </c>
      <c r="D1475" s="2">
        <v>24601</v>
      </c>
      <c r="E1475" s="17">
        <v>53369.49</v>
      </c>
      <c r="F1475" s="11">
        <v>6.16</v>
      </c>
      <c r="G1475" s="9">
        <v>3993.6</v>
      </c>
      <c r="H1475" s="10">
        <v>0.3</v>
      </c>
      <c r="I1475" s="11">
        <v>7.4</v>
      </c>
    </row>
    <row r="1476" spans="1:9" x14ac:dyDescent="0.35">
      <c r="A1476" s="2" t="s">
        <v>187</v>
      </c>
      <c r="B1476" s="3">
        <v>45597</v>
      </c>
      <c r="C1476" s="2">
        <v>21</v>
      </c>
      <c r="D1476" s="2">
        <v>28343</v>
      </c>
      <c r="E1476" s="17">
        <v>59359.79</v>
      </c>
      <c r="F1476" s="11">
        <v>6.34</v>
      </c>
      <c r="G1476" s="9">
        <v>4554.8</v>
      </c>
      <c r="H1476" s="10">
        <v>0.47599999999999998</v>
      </c>
      <c r="I1476" s="11">
        <v>6</v>
      </c>
    </row>
    <row r="1477" spans="1:9" x14ac:dyDescent="0.35">
      <c r="A1477" s="2" t="s">
        <v>187</v>
      </c>
      <c r="B1477" s="3">
        <v>45627</v>
      </c>
      <c r="C1477" s="2">
        <v>14</v>
      </c>
      <c r="D1477" s="2">
        <v>17272</v>
      </c>
      <c r="E1477" s="17">
        <v>37814.03</v>
      </c>
      <c r="F1477" s="11">
        <v>6.44</v>
      </c>
      <c r="G1477" s="9">
        <v>2692.3</v>
      </c>
      <c r="H1477" s="10">
        <v>0.35699999999999998</v>
      </c>
      <c r="I1477" s="11">
        <v>7.1</v>
      </c>
    </row>
    <row r="1478" spans="1:9" x14ac:dyDescent="0.35">
      <c r="A1478" s="2" t="s">
        <v>190</v>
      </c>
      <c r="B1478" s="3">
        <v>44562</v>
      </c>
      <c r="C1478" s="2">
        <v>22</v>
      </c>
      <c r="D1478" s="2">
        <v>39222</v>
      </c>
      <c r="E1478" s="17">
        <v>85580.77</v>
      </c>
      <c r="F1478" s="11">
        <v>6.49</v>
      </c>
      <c r="G1478" s="9">
        <v>6016.8</v>
      </c>
      <c r="H1478" s="10">
        <v>0.45500000000000002</v>
      </c>
      <c r="I1478" s="11">
        <v>8.1</v>
      </c>
    </row>
    <row r="1479" spans="1:9" x14ac:dyDescent="0.35">
      <c r="A1479" s="2" t="s">
        <v>190</v>
      </c>
      <c r="B1479" s="3">
        <v>44593</v>
      </c>
      <c r="C1479" s="2">
        <v>14</v>
      </c>
      <c r="D1479" s="2">
        <v>19935</v>
      </c>
      <c r="E1479" s="17">
        <v>42502.07</v>
      </c>
      <c r="F1479" s="11">
        <v>6.41</v>
      </c>
      <c r="G1479" s="9">
        <v>3170.5</v>
      </c>
      <c r="H1479" s="10">
        <v>0.5</v>
      </c>
      <c r="I1479" s="11">
        <v>7.1</v>
      </c>
    </row>
    <row r="1480" spans="1:9" x14ac:dyDescent="0.35">
      <c r="A1480" s="2" t="s">
        <v>190</v>
      </c>
      <c r="B1480" s="3">
        <v>44621</v>
      </c>
      <c r="C1480" s="2">
        <v>20</v>
      </c>
      <c r="D1480" s="2">
        <v>24210</v>
      </c>
      <c r="E1480" s="17">
        <v>55575.32</v>
      </c>
      <c r="F1480" s="11">
        <v>6.64</v>
      </c>
      <c r="G1480" s="9">
        <v>3701.7</v>
      </c>
      <c r="H1480" s="10">
        <v>0.5</v>
      </c>
      <c r="I1480" s="11">
        <v>8</v>
      </c>
    </row>
    <row r="1481" spans="1:9" x14ac:dyDescent="0.35">
      <c r="A1481" s="2" t="s">
        <v>190</v>
      </c>
      <c r="B1481" s="3">
        <v>44652</v>
      </c>
      <c r="C1481" s="2">
        <v>20</v>
      </c>
      <c r="D1481" s="2">
        <v>25075</v>
      </c>
      <c r="E1481" s="17">
        <v>49765.79</v>
      </c>
      <c r="F1481" s="11">
        <v>6.59</v>
      </c>
      <c r="G1481" s="9">
        <v>3866</v>
      </c>
      <c r="H1481" s="10">
        <v>0.55000000000000004</v>
      </c>
      <c r="I1481" s="11">
        <v>7.5</v>
      </c>
    </row>
    <row r="1482" spans="1:9" x14ac:dyDescent="0.35">
      <c r="A1482" s="2" t="s">
        <v>190</v>
      </c>
      <c r="B1482" s="3">
        <v>44682</v>
      </c>
      <c r="C1482" s="2">
        <v>14</v>
      </c>
      <c r="D1482" s="2">
        <v>19297</v>
      </c>
      <c r="E1482" s="17">
        <v>40387.19</v>
      </c>
      <c r="F1482" s="11">
        <v>6.53</v>
      </c>
      <c r="G1482" s="9">
        <v>2986.7</v>
      </c>
      <c r="H1482" s="10">
        <v>0.42899999999999999</v>
      </c>
      <c r="I1482" s="11">
        <v>7.4</v>
      </c>
    </row>
    <row r="1483" spans="1:9" x14ac:dyDescent="0.35">
      <c r="A1483" s="2" t="s">
        <v>190</v>
      </c>
      <c r="B1483" s="3">
        <v>44713</v>
      </c>
      <c r="C1483" s="2">
        <v>23</v>
      </c>
      <c r="D1483" s="2">
        <v>30049</v>
      </c>
      <c r="E1483" s="17">
        <v>67810.34</v>
      </c>
      <c r="F1483" s="11">
        <v>6.26</v>
      </c>
      <c r="G1483" s="9">
        <v>4878.3</v>
      </c>
      <c r="H1483" s="10">
        <v>0.30399999999999999</v>
      </c>
      <c r="I1483" s="11">
        <v>5.9</v>
      </c>
    </row>
    <row r="1484" spans="1:9" x14ac:dyDescent="0.35">
      <c r="A1484" s="2" t="s">
        <v>190</v>
      </c>
      <c r="B1484" s="3">
        <v>44743</v>
      </c>
      <c r="C1484" s="2">
        <v>20</v>
      </c>
      <c r="D1484" s="2">
        <v>29149</v>
      </c>
      <c r="E1484" s="17">
        <v>61236.14</v>
      </c>
      <c r="F1484" s="11">
        <v>6.42</v>
      </c>
      <c r="G1484" s="9">
        <v>4569.7</v>
      </c>
      <c r="H1484" s="10">
        <v>0.5</v>
      </c>
      <c r="I1484" s="11">
        <v>7.6</v>
      </c>
    </row>
    <row r="1485" spans="1:9" x14ac:dyDescent="0.35">
      <c r="A1485" s="2" t="s">
        <v>190</v>
      </c>
      <c r="B1485" s="3">
        <v>44774</v>
      </c>
      <c r="C1485" s="2">
        <v>20</v>
      </c>
      <c r="D1485" s="2">
        <v>33599</v>
      </c>
      <c r="E1485" s="17">
        <v>64902.98</v>
      </c>
      <c r="F1485" s="11">
        <v>6.55</v>
      </c>
      <c r="G1485" s="9">
        <v>5190</v>
      </c>
      <c r="H1485" s="10">
        <v>0.4</v>
      </c>
      <c r="I1485" s="11">
        <v>6.4</v>
      </c>
    </row>
    <row r="1486" spans="1:9" x14ac:dyDescent="0.35">
      <c r="A1486" s="2" t="s">
        <v>190</v>
      </c>
      <c r="B1486" s="3">
        <v>44805</v>
      </c>
      <c r="C1486" s="2">
        <v>17</v>
      </c>
      <c r="D1486" s="2">
        <v>29263</v>
      </c>
      <c r="E1486" s="17">
        <v>64553.67</v>
      </c>
      <c r="F1486" s="11">
        <v>6.57</v>
      </c>
      <c r="G1486" s="9">
        <v>4502.6000000000004</v>
      </c>
      <c r="H1486" s="10">
        <v>0.58799999999999997</v>
      </c>
      <c r="I1486" s="11">
        <v>7.2</v>
      </c>
    </row>
    <row r="1487" spans="1:9" x14ac:dyDescent="0.35">
      <c r="A1487" s="2" t="s">
        <v>190</v>
      </c>
      <c r="B1487" s="3">
        <v>44835</v>
      </c>
      <c r="C1487" s="2">
        <v>30</v>
      </c>
      <c r="D1487" s="2">
        <v>45116</v>
      </c>
      <c r="E1487" s="17">
        <v>95042.880000000005</v>
      </c>
      <c r="F1487" s="11">
        <v>6.47</v>
      </c>
      <c r="G1487" s="9">
        <v>6926.6</v>
      </c>
      <c r="H1487" s="10">
        <v>0.4</v>
      </c>
      <c r="I1487" s="11">
        <v>7.1</v>
      </c>
    </row>
    <row r="1488" spans="1:9" x14ac:dyDescent="0.35">
      <c r="A1488" s="2" t="s">
        <v>190</v>
      </c>
      <c r="B1488" s="3">
        <v>44866</v>
      </c>
      <c r="C1488" s="2">
        <v>19</v>
      </c>
      <c r="D1488" s="2">
        <v>25205</v>
      </c>
      <c r="E1488" s="17">
        <v>57830.71</v>
      </c>
      <c r="F1488" s="11">
        <v>6.36</v>
      </c>
      <c r="G1488" s="9">
        <v>4010.7</v>
      </c>
      <c r="H1488" s="10">
        <v>0.36799999999999999</v>
      </c>
      <c r="I1488" s="11">
        <v>6.7</v>
      </c>
    </row>
    <row r="1489" spans="1:9" x14ac:dyDescent="0.35">
      <c r="A1489" s="2" t="s">
        <v>190</v>
      </c>
      <c r="B1489" s="3">
        <v>44896</v>
      </c>
      <c r="C1489" s="2">
        <v>24</v>
      </c>
      <c r="D1489" s="2">
        <v>32523</v>
      </c>
      <c r="E1489" s="17">
        <v>73357.929999999993</v>
      </c>
      <c r="F1489" s="11">
        <v>6.6</v>
      </c>
      <c r="G1489" s="9">
        <v>4997.6000000000004</v>
      </c>
      <c r="H1489" s="10">
        <v>0.54200000000000004</v>
      </c>
      <c r="I1489" s="11">
        <v>6.1</v>
      </c>
    </row>
    <row r="1490" spans="1:9" x14ac:dyDescent="0.35">
      <c r="A1490" s="2" t="s">
        <v>190</v>
      </c>
      <c r="B1490" s="3">
        <v>44927</v>
      </c>
      <c r="C1490" s="2">
        <v>23</v>
      </c>
      <c r="D1490" s="2">
        <v>30279</v>
      </c>
      <c r="E1490" s="17">
        <v>64387.61</v>
      </c>
      <c r="F1490" s="11">
        <v>6.51</v>
      </c>
      <c r="G1490" s="9">
        <v>4640.7</v>
      </c>
      <c r="H1490" s="10">
        <v>0.30399999999999999</v>
      </c>
      <c r="I1490" s="11">
        <v>6.9</v>
      </c>
    </row>
    <row r="1491" spans="1:9" x14ac:dyDescent="0.35">
      <c r="A1491" s="2" t="s">
        <v>190</v>
      </c>
      <c r="B1491" s="3">
        <v>44958</v>
      </c>
      <c r="C1491" s="2">
        <v>17</v>
      </c>
      <c r="D1491" s="2">
        <v>20518</v>
      </c>
      <c r="E1491" s="17">
        <v>45043.41</v>
      </c>
      <c r="F1491" s="11">
        <v>6.64</v>
      </c>
      <c r="G1491" s="9">
        <v>3083.1</v>
      </c>
      <c r="H1491" s="10">
        <v>0.47099999999999997</v>
      </c>
      <c r="I1491" s="11">
        <v>7.4</v>
      </c>
    </row>
    <row r="1492" spans="1:9" x14ac:dyDescent="0.35">
      <c r="A1492" s="2" t="s">
        <v>190</v>
      </c>
      <c r="B1492" s="3">
        <v>44986</v>
      </c>
      <c r="C1492" s="2">
        <v>19</v>
      </c>
      <c r="D1492" s="2">
        <v>29227</v>
      </c>
      <c r="E1492" s="17">
        <v>59793.33</v>
      </c>
      <c r="F1492" s="11">
        <v>6.18</v>
      </c>
      <c r="G1492" s="9">
        <v>4812.7</v>
      </c>
      <c r="H1492" s="10">
        <v>0.316</v>
      </c>
      <c r="I1492" s="11">
        <v>7.1</v>
      </c>
    </row>
    <row r="1493" spans="1:9" x14ac:dyDescent="0.35">
      <c r="A1493" s="2" t="s">
        <v>190</v>
      </c>
      <c r="B1493" s="3">
        <v>45017</v>
      </c>
      <c r="C1493" s="2">
        <v>27</v>
      </c>
      <c r="D1493" s="2">
        <v>44564</v>
      </c>
      <c r="E1493" s="17">
        <v>98341.79</v>
      </c>
      <c r="F1493" s="11">
        <v>6.44</v>
      </c>
      <c r="G1493" s="9">
        <v>6977.6</v>
      </c>
      <c r="H1493" s="10">
        <v>0.48099999999999998</v>
      </c>
      <c r="I1493" s="11">
        <v>7.7</v>
      </c>
    </row>
    <row r="1494" spans="1:9" x14ac:dyDescent="0.35">
      <c r="A1494" s="2" t="s">
        <v>190</v>
      </c>
      <c r="B1494" s="3">
        <v>45047</v>
      </c>
      <c r="C1494" s="2">
        <v>20</v>
      </c>
      <c r="D1494" s="2">
        <v>31804</v>
      </c>
      <c r="E1494" s="17">
        <v>68970.58</v>
      </c>
      <c r="F1494" s="11">
        <v>6.56</v>
      </c>
      <c r="G1494" s="9">
        <v>4916.8</v>
      </c>
      <c r="H1494" s="10">
        <v>0.25</v>
      </c>
      <c r="I1494" s="11">
        <v>7.5</v>
      </c>
    </row>
    <row r="1495" spans="1:9" x14ac:dyDescent="0.35">
      <c r="A1495" s="2" t="s">
        <v>190</v>
      </c>
      <c r="B1495" s="3">
        <v>45078</v>
      </c>
      <c r="C1495" s="2">
        <v>23</v>
      </c>
      <c r="D1495" s="2">
        <v>38539</v>
      </c>
      <c r="E1495" s="17">
        <v>83129.08</v>
      </c>
      <c r="F1495" s="11">
        <v>6.32</v>
      </c>
      <c r="G1495" s="9">
        <v>6191.9</v>
      </c>
      <c r="H1495" s="10">
        <v>0.56499999999999995</v>
      </c>
      <c r="I1495" s="11">
        <v>7.2</v>
      </c>
    </row>
    <row r="1496" spans="1:9" x14ac:dyDescent="0.35">
      <c r="A1496" s="2" t="s">
        <v>190</v>
      </c>
      <c r="B1496" s="3">
        <v>45108</v>
      </c>
      <c r="C1496" s="2">
        <v>16</v>
      </c>
      <c r="D1496" s="2">
        <v>21105</v>
      </c>
      <c r="E1496" s="17">
        <v>42491.93</v>
      </c>
      <c r="F1496" s="11">
        <v>6.52</v>
      </c>
      <c r="G1496" s="9">
        <v>3220.8</v>
      </c>
      <c r="H1496" s="10">
        <v>0.625</v>
      </c>
      <c r="I1496" s="11">
        <v>7</v>
      </c>
    </row>
    <row r="1497" spans="1:9" x14ac:dyDescent="0.35">
      <c r="A1497" s="2" t="s">
        <v>190</v>
      </c>
      <c r="B1497" s="3">
        <v>45139</v>
      </c>
      <c r="C1497" s="2">
        <v>13</v>
      </c>
      <c r="D1497" s="2">
        <v>22060</v>
      </c>
      <c r="E1497" s="17">
        <v>45842.7</v>
      </c>
      <c r="F1497" s="11">
        <v>6.56</v>
      </c>
      <c r="G1497" s="9">
        <v>3407.1</v>
      </c>
      <c r="H1497" s="10">
        <v>0.308</v>
      </c>
      <c r="I1497" s="11">
        <v>6.5</v>
      </c>
    </row>
    <row r="1498" spans="1:9" x14ac:dyDescent="0.35">
      <c r="A1498" s="2" t="s">
        <v>190</v>
      </c>
      <c r="B1498" s="3">
        <v>45170</v>
      </c>
      <c r="C1498" s="2">
        <v>25</v>
      </c>
      <c r="D1498" s="2">
        <v>42154</v>
      </c>
      <c r="E1498" s="17">
        <v>88290.48</v>
      </c>
      <c r="F1498" s="11">
        <v>6.64</v>
      </c>
      <c r="G1498" s="9">
        <v>6354.1</v>
      </c>
      <c r="H1498" s="10">
        <v>0.28000000000000003</v>
      </c>
      <c r="I1498" s="11">
        <v>7.4</v>
      </c>
    </row>
    <row r="1499" spans="1:9" x14ac:dyDescent="0.35">
      <c r="A1499" s="2" t="s">
        <v>190</v>
      </c>
      <c r="B1499" s="3">
        <v>45200</v>
      </c>
      <c r="C1499" s="2">
        <v>18</v>
      </c>
      <c r="D1499" s="2">
        <v>28239</v>
      </c>
      <c r="E1499" s="17">
        <v>57066.62</v>
      </c>
      <c r="F1499" s="11">
        <v>6.32</v>
      </c>
      <c r="G1499" s="9">
        <v>4502.3999999999996</v>
      </c>
      <c r="H1499" s="10">
        <v>0.38900000000000001</v>
      </c>
      <c r="I1499" s="11">
        <v>7.2</v>
      </c>
    </row>
    <row r="1500" spans="1:9" x14ac:dyDescent="0.35">
      <c r="A1500" s="2" t="s">
        <v>190</v>
      </c>
      <c r="B1500" s="3">
        <v>45231</v>
      </c>
      <c r="C1500" s="2">
        <v>21</v>
      </c>
      <c r="D1500" s="2">
        <v>31796</v>
      </c>
      <c r="E1500" s="17">
        <v>70610.16</v>
      </c>
      <c r="F1500" s="11">
        <v>6.47</v>
      </c>
      <c r="G1500" s="9">
        <v>4910.6000000000004</v>
      </c>
      <c r="H1500" s="10">
        <v>0.52400000000000002</v>
      </c>
      <c r="I1500" s="11">
        <v>7.1</v>
      </c>
    </row>
    <row r="1501" spans="1:9" x14ac:dyDescent="0.35">
      <c r="A1501" s="2" t="s">
        <v>190</v>
      </c>
      <c r="B1501" s="3">
        <v>45261</v>
      </c>
      <c r="C1501" s="2">
        <v>18</v>
      </c>
      <c r="D1501" s="2">
        <v>30200</v>
      </c>
      <c r="E1501" s="17">
        <v>66799.63</v>
      </c>
      <c r="F1501" s="11">
        <v>6.61</v>
      </c>
      <c r="G1501" s="9">
        <v>4596.1000000000004</v>
      </c>
      <c r="H1501" s="10">
        <v>0.33300000000000002</v>
      </c>
      <c r="I1501" s="11">
        <v>6.4</v>
      </c>
    </row>
    <row r="1502" spans="1:9" x14ac:dyDescent="0.35">
      <c r="A1502" s="2" t="s">
        <v>190</v>
      </c>
      <c r="B1502" s="3">
        <v>45292</v>
      </c>
      <c r="C1502" s="2">
        <v>21</v>
      </c>
      <c r="D1502" s="2">
        <v>28189</v>
      </c>
      <c r="E1502" s="17">
        <v>64156.98</v>
      </c>
      <c r="F1502" s="11">
        <v>6.56</v>
      </c>
      <c r="G1502" s="9">
        <v>4324.3999999999996</v>
      </c>
      <c r="H1502" s="10">
        <v>0.38100000000000001</v>
      </c>
      <c r="I1502" s="11">
        <v>7.2</v>
      </c>
    </row>
    <row r="1503" spans="1:9" x14ac:dyDescent="0.35">
      <c r="A1503" s="2" t="s">
        <v>190</v>
      </c>
      <c r="B1503" s="3">
        <v>45323</v>
      </c>
      <c r="C1503" s="2">
        <v>15</v>
      </c>
      <c r="D1503" s="2">
        <v>25103</v>
      </c>
      <c r="E1503" s="17">
        <v>48370.96</v>
      </c>
      <c r="F1503" s="11">
        <v>6.49</v>
      </c>
      <c r="G1503" s="9">
        <v>3876.7</v>
      </c>
      <c r="H1503" s="10">
        <v>0.46700000000000003</v>
      </c>
      <c r="I1503" s="11">
        <v>6.6</v>
      </c>
    </row>
    <row r="1504" spans="1:9" x14ac:dyDescent="0.35">
      <c r="A1504" s="2" t="s">
        <v>190</v>
      </c>
      <c r="B1504" s="3">
        <v>45352</v>
      </c>
      <c r="C1504" s="2">
        <v>20</v>
      </c>
      <c r="D1504" s="2">
        <v>29969</v>
      </c>
      <c r="E1504" s="17">
        <v>67394.69</v>
      </c>
      <c r="F1504" s="11">
        <v>6.25</v>
      </c>
      <c r="G1504" s="9">
        <v>4846.5</v>
      </c>
      <c r="H1504" s="10">
        <v>0.6</v>
      </c>
      <c r="I1504" s="11">
        <v>7</v>
      </c>
    </row>
    <row r="1505" spans="1:9" x14ac:dyDescent="0.35">
      <c r="A1505" s="2" t="s">
        <v>190</v>
      </c>
      <c r="B1505" s="3">
        <v>45383</v>
      </c>
      <c r="C1505" s="2">
        <v>15</v>
      </c>
      <c r="D1505" s="2">
        <v>22240</v>
      </c>
      <c r="E1505" s="17">
        <v>47574.44</v>
      </c>
      <c r="F1505" s="11">
        <v>6.77</v>
      </c>
      <c r="G1505" s="9">
        <v>3277.6</v>
      </c>
      <c r="H1505" s="10">
        <v>0.33300000000000002</v>
      </c>
      <c r="I1505" s="11">
        <v>5.7</v>
      </c>
    </row>
    <row r="1506" spans="1:9" x14ac:dyDescent="0.35">
      <c r="A1506" s="2" t="s">
        <v>190</v>
      </c>
      <c r="B1506" s="3">
        <v>45413</v>
      </c>
      <c r="C1506" s="2">
        <v>20</v>
      </c>
      <c r="D1506" s="2">
        <v>23876</v>
      </c>
      <c r="E1506" s="17">
        <v>54851.86</v>
      </c>
      <c r="F1506" s="11">
        <v>6.71</v>
      </c>
      <c r="G1506" s="9">
        <v>3624.8</v>
      </c>
      <c r="H1506" s="10">
        <v>0.45</v>
      </c>
      <c r="I1506" s="11">
        <v>6.7</v>
      </c>
    </row>
    <row r="1507" spans="1:9" x14ac:dyDescent="0.35">
      <c r="A1507" s="2" t="s">
        <v>190</v>
      </c>
      <c r="B1507" s="3">
        <v>45444</v>
      </c>
      <c r="C1507" s="2">
        <v>28</v>
      </c>
      <c r="D1507" s="2">
        <v>34660</v>
      </c>
      <c r="E1507" s="17">
        <v>79281.77</v>
      </c>
      <c r="F1507" s="11">
        <v>6.6</v>
      </c>
      <c r="G1507" s="9">
        <v>5397.3</v>
      </c>
      <c r="H1507" s="10">
        <v>0.42899999999999999</v>
      </c>
      <c r="I1507" s="11">
        <v>6.6</v>
      </c>
    </row>
    <row r="1508" spans="1:9" x14ac:dyDescent="0.35">
      <c r="A1508" s="2" t="s">
        <v>190</v>
      </c>
      <c r="B1508" s="3">
        <v>45474</v>
      </c>
      <c r="C1508" s="2">
        <v>18</v>
      </c>
      <c r="D1508" s="2">
        <v>29264</v>
      </c>
      <c r="E1508" s="17">
        <v>61877.7</v>
      </c>
      <c r="F1508" s="11">
        <v>6.51</v>
      </c>
      <c r="G1508" s="9">
        <v>4582.8</v>
      </c>
      <c r="H1508" s="10">
        <v>0.5</v>
      </c>
      <c r="I1508" s="11">
        <v>7.2</v>
      </c>
    </row>
    <row r="1509" spans="1:9" x14ac:dyDescent="0.35">
      <c r="A1509" s="2" t="s">
        <v>190</v>
      </c>
      <c r="B1509" s="3">
        <v>45505</v>
      </c>
      <c r="C1509" s="2">
        <v>22</v>
      </c>
      <c r="D1509" s="2">
        <v>34903</v>
      </c>
      <c r="E1509" s="17">
        <v>73564.490000000005</v>
      </c>
      <c r="F1509" s="11">
        <v>6.6</v>
      </c>
      <c r="G1509" s="9">
        <v>5360.4</v>
      </c>
      <c r="H1509" s="10">
        <v>0.5</v>
      </c>
      <c r="I1509" s="11">
        <v>7.1</v>
      </c>
    </row>
    <row r="1510" spans="1:9" x14ac:dyDescent="0.35">
      <c r="A1510" s="2" t="s">
        <v>190</v>
      </c>
      <c r="B1510" s="3">
        <v>45536</v>
      </c>
      <c r="C1510" s="2">
        <v>19</v>
      </c>
      <c r="D1510" s="2">
        <v>22982</v>
      </c>
      <c r="E1510" s="17">
        <v>48802.06</v>
      </c>
      <c r="F1510" s="11">
        <v>6.48</v>
      </c>
      <c r="G1510" s="9">
        <v>3647.1</v>
      </c>
      <c r="H1510" s="10">
        <v>0.42099999999999999</v>
      </c>
      <c r="I1510" s="11">
        <v>7.1</v>
      </c>
    </row>
    <row r="1511" spans="1:9" x14ac:dyDescent="0.35">
      <c r="A1511" s="2" t="s">
        <v>190</v>
      </c>
      <c r="B1511" s="3">
        <v>45566</v>
      </c>
      <c r="C1511" s="2">
        <v>23</v>
      </c>
      <c r="D1511" s="2">
        <v>41573</v>
      </c>
      <c r="E1511" s="17">
        <v>91027.94</v>
      </c>
      <c r="F1511" s="11">
        <v>6.49</v>
      </c>
      <c r="G1511" s="9">
        <v>6509.1</v>
      </c>
      <c r="H1511" s="10">
        <v>0.34799999999999998</v>
      </c>
      <c r="I1511" s="11">
        <v>8</v>
      </c>
    </row>
    <row r="1512" spans="1:9" x14ac:dyDescent="0.35">
      <c r="A1512" s="2" t="s">
        <v>190</v>
      </c>
      <c r="B1512" s="3">
        <v>45597</v>
      </c>
      <c r="C1512" s="2">
        <v>19</v>
      </c>
      <c r="D1512" s="2">
        <v>31161</v>
      </c>
      <c r="E1512" s="17">
        <v>64084.29</v>
      </c>
      <c r="F1512" s="11">
        <v>6.57</v>
      </c>
      <c r="G1512" s="9">
        <v>4773.2</v>
      </c>
      <c r="H1512" s="10">
        <v>0.42099999999999999</v>
      </c>
      <c r="I1512" s="11">
        <v>7.5</v>
      </c>
    </row>
    <row r="1513" spans="1:9" x14ac:dyDescent="0.35">
      <c r="A1513" s="2" t="s">
        <v>190</v>
      </c>
      <c r="B1513" s="3">
        <v>45627</v>
      </c>
      <c r="C1513" s="2">
        <v>20</v>
      </c>
      <c r="D1513" s="2">
        <v>27629</v>
      </c>
      <c r="E1513" s="17">
        <v>61544.01</v>
      </c>
      <c r="F1513" s="11">
        <v>6.45</v>
      </c>
      <c r="G1513" s="9">
        <v>4373.2</v>
      </c>
      <c r="H1513" s="10">
        <v>0.4</v>
      </c>
      <c r="I1513" s="11">
        <v>6.3</v>
      </c>
    </row>
    <row r="1514" spans="1:9" x14ac:dyDescent="0.35">
      <c r="A1514" s="2" t="s">
        <v>195</v>
      </c>
      <c r="B1514" s="3">
        <v>44562</v>
      </c>
      <c r="C1514" s="2">
        <v>19</v>
      </c>
      <c r="D1514" s="2">
        <v>28282</v>
      </c>
      <c r="E1514" s="17">
        <v>62395.9</v>
      </c>
      <c r="F1514" s="11">
        <v>6.45</v>
      </c>
      <c r="G1514" s="9">
        <v>4481.5</v>
      </c>
      <c r="H1514" s="10">
        <v>0.42099999999999999</v>
      </c>
      <c r="I1514" s="11">
        <v>8.1</v>
      </c>
    </row>
    <row r="1515" spans="1:9" x14ac:dyDescent="0.35">
      <c r="A1515" s="2" t="s">
        <v>195</v>
      </c>
      <c r="B1515" s="3">
        <v>44593</v>
      </c>
      <c r="C1515" s="2">
        <v>26</v>
      </c>
      <c r="D1515" s="2">
        <v>40638</v>
      </c>
      <c r="E1515" s="17">
        <v>93467.91</v>
      </c>
      <c r="F1515" s="11">
        <v>6.29</v>
      </c>
      <c r="G1515" s="9">
        <v>6535.6</v>
      </c>
      <c r="H1515" s="10">
        <v>0.57699999999999996</v>
      </c>
      <c r="I1515" s="11">
        <v>7</v>
      </c>
    </row>
    <row r="1516" spans="1:9" x14ac:dyDescent="0.35">
      <c r="A1516" s="2" t="s">
        <v>195</v>
      </c>
      <c r="B1516" s="3">
        <v>44621</v>
      </c>
      <c r="C1516" s="2">
        <v>14</v>
      </c>
      <c r="D1516" s="2">
        <v>14559</v>
      </c>
      <c r="E1516" s="17">
        <v>33419.08</v>
      </c>
      <c r="F1516" s="11">
        <v>6.56</v>
      </c>
      <c r="G1516" s="9">
        <v>2248.5</v>
      </c>
      <c r="H1516" s="10">
        <v>0.35699999999999998</v>
      </c>
      <c r="I1516" s="11">
        <v>5.9</v>
      </c>
    </row>
    <row r="1517" spans="1:9" x14ac:dyDescent="0.35">
      <c r="A1517" s="2" t="s">
        <v>195</v>
      </c>
      <c r="B1517" s="3">
        <v>44652</v>
      </c>
      <c r="C1517" s="2">
        <v>22</v>
      </c>
      <c r="D1517" s="2">
        <v>29923</v>
      </c>
      <c r="E1517" s="17">
        <v>61900.84</v>
      </c>
      <c r="F1517" s="11">
        <v>6.61</v>
      </c>
      <c r="G1517" s="9">
        <v>4578.7</v>
      </c>
      <c r="H1517" s="10">
        <v>0.36399999999999999</v>
      </c>
      <c r="I1517" s="11">
        <v>7.7</v>
      </c>
    </row>
    <row r="1518" spans="1:9" x14ac:dyDescent="0.35">
      <c r="A1518" s="2" t="s">
        <v>195</v>
      </c>
      <c r="B1518" s="3">
        <v>44682</v>
      </c>
      <c r="C1518" s="2">
        <v>13</v>
      </c>
      <c r="D1518" s="2">
        <v>14816</v>
      </c>
      <c r="E1518" s="17">
        <v>32357.84</v>
      </c>
      <c r="F1518" s="11">
        <v>6.25</v>
      </c>
      <c r="G1518" s="9">
        <v>2472.6999999999998</v>
      </c>
      <c r="H1518" s="10">
        <v>0.46200000000000002</v>
      </c>
      <c r="I1518" s="11">
        <v>8.1</v>
      </c>
    </row>
    <row r="1519" spans="1:9" x14ac:dyDescent="0.35">
      <c r="A1519" s="2" t="s">
        <v>195</v>
      </c>
      <c r="B1519" s="3">
        <v>44713</v>
      </c>
      <c r="C1519" s="2">
        <v>20</v>
      </c>
      <c r="D1519" s="2">
        <v>28437</v>
      </c>
      <c r="E1519" s="17">
        <v>58673.46</v>
      </c>
      <c r="F1519" s="11">
        <v>6.79</v>
      </c>
      <c r="G1519" s="9">
        <v>4211.3</v>
      </c>
      <c r="H1519" s="10">
        <v>0.4</v>
      </c>
      <c r="I1519" s="11">
        <v>7.9</v>
      </c>
    </row>
    <row r="1520" spans="1:9" x14ac:dyDescent="0.35">
      <c r="A1520" s="2" t="s">
        <v>195</v>
      </c>
      <c r="B1520" s="3">
        <v>44743</v>
      </c>
      <c r="C1520" s="2">
        <v>16</v>
      </c>
      <c r="D1520" s="2">
        <v>22407</v>
      </c>
      <c r="E1520" s="17">
        <v>48120.46</v>
      </c>
      <c r="F1520" s="11">
        <v>6.73</v>
      </c>
      <c r="G1520" s="9">
        <v>3309.6</v>
      </c>
      <c r="H1520" s="10">
        <v>0.375</v>
      </c>
      <c r="I1520" s="11">
        <v>6.6</v>
      </c>
    </row>
    <row r="1521" spans="1:9" x14ac:dyDescent="0.35">
      <c r="A1521" s="2" t="s">
        <v>195</v>
      </c>
      <c r="B1521" s="3">
        <v>44774</v>
      </c>
      <c r="C1521" s="2">
        <v>10</v>
      </c>
      <c r="D1521" s="2">
        <v>12425</v>
      </c>
      <c r="E1521" s="17">
        <v>26720.5</v>
      </c>
      <c r="F1521" s="11">
        <v>6.22</v>
      </c>
      <c r="G1521" s="9">
        <v>1972.1</v>
      </c>
      <c r="H1521" s="10">
        <v>0.5</v>
      </c>
      <c r="I1521" s="11">
        <v>6.3</v>
      </c>
    </row>
    <row r="1522" spans="1:9" x14ac:dyDescent="0.35">
      <c r="A1522" s="2" t="s">
        <v>195</v>
      </c>
      <c r="B1522" s="3">
        <v>44805</v>
      </c>
      <c r="C1522" s="2">
        <v>23</v>
      </c>
      <c r="D1522" s="2">
        <v>31979</v>
      </c>
      <c r="E1522" s="17">
        <v>71194.820000000007</v>
      </c>
      <c r="F1522" s="11">
        <v>6.48</v>
      </c>
      <c r="G1522" s="9">
        <v>4858</v>
      </c>
      <c r="H1522" s="10">
        <v>0.47799999999999998</v>
      </c>
      <c r="I1522" s="11">
        <v>7.1</v>
      </c>
    </row>
    <row r="1523" spans="1:9" x14ac:dyDescent="0.35">
      <c r="A1523" s="2" t="s">
        <v>195</v>
      </c>
      <c r="B1523" s="3">
        <v>44835</v>
      </c>
      <c r="C1523" s="2">
        <v>21</v>
      </c>
      <c r="D1523" s="2">
        <v>24044</v>
      </c>
      <c r="E1523" s="17">
        <v>53549.7</v>
      </c>
      <c r="F1523" s="11">
        <v>6.57</v>
      </c>
      <c r="G1523" s="9">
        <v>3736.3</v>
      </c>
      <c r="H1523" s="10">
        <v>0.52400000000000002</v>
      </c>
      <c r="I1523" s="11">
        <v>6.5</v>
      </c>
    </row>
    <row r="1524" spans="1:9" x14ac:dyDescent="0.35">
      <c r="A1524" s="2" t="s">
        <v>195</v>
      </c>
      <c r="B1524" s="3">
        <v>44866</v>
      </c>
      <c r="C1524" s="2">
        <v>12</v>
      </c>
      <c r="D1524" s="2">
        <v>15957</v>
      </c>
      <c r="E1524" s="17">
        <v>35700.01</v>
      </c>
      <c r="F1524" s="11">
        <v>6.47</v>
      </c>
      <c r="G1524" s="9">
        <v>2560.6999999999998</v>
      </c>
      <c r="H1524" s="10">
        <v>0.41699999999999998</v>
      </c>
      <c r="I1524" s="11">
        <v>8.6</v>
      </c>
    </row>
    <row r="1525" spans="1:9" x14ac:dyDescent="0.35">
      <c r="A1525" s="2" t="s">
        <v>195</v>
      </c>
      <c r="B1525" s="3">
        <v>44896</v>
      </c>
      <c r="C1525" s="2">
        <v>10</v>
      </c>
      <c r="D1525" s="2">
        <v>12399</v>
      </c>
      <c r="E1525" s="17">
        <v>29212.09</v>
      </c>
      <c r="F1525" s="11">
        <v>6.57</v>
      </c>
      <c r="G1525" s="9">
        <v>1865.1</v>
      </c>
      <c r="H1525" s="10">
        <v>0.3</v>
      </c>
      <c r="I1525" s="11">
        <v>8.4</v>
      </c>
    </row>
    <row r="1526" spans="1:9" x14ac:dyDescent="0.35">
      <c r="A1526" s="2" t="s">
        <v>195</v>
      </c>
      <c r="B1526" s="3">
        <v>44927</v>
      </c>
      <c r="C1526" s="2">
        <v>21</v>
      </c>
      <c r="D1526" s="2">
        <v>21176</v>
      </c>
      <c r="E1526" s="17">
        <v>40920.400000000001</v>
      </c>
      <c r="F1526" s="11">
        <v>6.75</v>
      </c>
      <c r="G1526" s="9">
        <v>3141</v>
      </c>
      <c r="H1526" s="10">
        <v>0.47599999999999998</v>
      </c>
      <c r="I1526" s="11">
        <v>6.7</v>
      </c>
    </row>
    <row r="1527" spans="1:9" x14ac:dyDescent="0.35">
      <c r="A1527" s="2" t="s">
        <v>195</v>
      </c>
      <c r="B1527" s="3">
        <v>44958</v>
      </c>
      <c r="C1527" s="2">
        <v>17</v>
      </c>
      <c r="D1527" s="2">
        <v>24635</v>
      </c>
      <c r="E1527" s="17">
        <v>53562.65</v>
      </c>
      <c r="F1527" s="11">
        <v>6.39</v>
      </c>
      <c r="G1527" s="9">
        <v>3894.3</v>
      </c>
      <c r="H1527" s="10">
        <v>0.23499999999999999</v>
      </c>
      <c r="I1527" s="11">
        <v>5.8</v>
      </c>
    </row>
    <row r="1528" spans="1:9" x14ac:dyDescent="0.35">
      <c r="A1528" s="2" t="s">
        <v>195</v>
      </c>
      <c r="B1528" s="3">
        <v>44986</v>
      </c>
      <c r="C1528" s="2">
        <v>15</v>
      </c>
      <c r="D1528" s="2">
        <v>28912</v>
      </c>
      <c r="E1528" s="17">
        <v>62177.05</v>
      </c>
      <c r="F1528" s="11">
        <v>6.28</v>
      </c>
      <c r="G1528" s="9">
        <v>4639.5</v>
      </c>
      <c r="H1528" s="10">
        <v>0.26700000000000002</v>
      </c>
      <c r="I1528" s="11">
        <v>7.7</v>
      </c>
    </row>
    <row r="1529" spans="1:9" x14ac:dyDescent="0.35">
      <c r="A1529" s="2" t="s">
        <v>195</v>
      </c>
      <c r="B1529" s="3">
        <v>45017</v>
      </c>
      <c r="C1529" s="2">
        <v>19</v>
      </c>
      <c r="D1529" s="2">
        <v>27197</v>
      </c>
      <c r="E1529" s="17">
        <v>52411.06</v>
      </c>
      <c r="F1529" s="11">
        <v>6.37</v>
      </c>
      <c r="G1529" s="9">
        <v>4291.8999999999996</v>
      </c>
      <c r="H1529" s="10">
        <v>0.47399999999999998</v>
      </c>
      <c r="I1529" s="11">
        <v>7.1</v>
      </c>
    </row>
    <row r="1530" spans="1:9" x14ac:dyDescent="0.35">
      <c r="A1530" s="2" t="s">
        <v>195</v>
      </c>
      <c r="B1530" s="3">
        <v>45047</v>
      </c>
      <c r="C1530" s="2">
        <v>21</v>
      </c>
      <c r="D1530" s="2">
        <v>33031</v>
      </c>
      <c r="E1530" s="17">
        <v>68642.97</v>
      </c>
      <c r="F1530" s="11">
        <v>6.4</v>
      </c>
      <c r="G1530" s="9">
        <v>5125.3</v>
      </c>
      <c r="H1530" s="10">
        <v>0.38100000000000001</v>
      </c>
      <c r="I1530" s="11">
        <v>7.4</v>
      </c>
    </row>
    <row r="1531" spans="1:9" x14ac:dyDescent="0.35">
      <c r="A1531" s="2" t="s">
        <v>195</v>
      </c>
      <c r="B1531" s="3">
        <v>45078</v>
      </c>
      <c r="C1531" s="2">
        <v>15</v>
      </c>
      <c r="D1531" s="2">
        <v>22813</v>
      </c>
      <c r="E1531" s="17">
        <v>46747.02</v>
      </c>
      <c r="F1531" s="11">
        <v>6.24</v>
      </c>
      <c r="G1531" s="9">
        <v>3708.7</v>
      </c>
      <c r="H1531" s="10">
        <v>0.4</v>
      </c>
      <c r="I1531" s="11">
        <v>6.5</v>
      </c>
    </row>
    <row r="1532" spans="1:9" x14ac:dyDescent="0.35">
      <c r="A1532" s="2" t="s">
        <v>195</v>
      </c>
      <c r="B1532" s="3">
        <v>45108</v>
      </c>
      <c r="C1532" s="2">
        <v>15</v>
      </c>
      <c r="D1532" s="2">
        <v>16537</v>
      </c>
      <c r="E1532" s="17">
        <v>36349.160000000003</v>
      </c>
      <c r="F1532" s="11">
        <v>6.37</v>
      </c>
      <c r="G1532" s="9">
        <v>2600.5</v>
      </c>
      <c r="H1532" s="10">
        <v>0.66700000000000004</v>
      </c>
      <c r="I1532" s="11">
        <v>7.5</v>
      </c>
    </row>
    <row r="1533" spans="1:9" x14ac:dyDescent="0.35">
      <c r="A1533" s="2" t="s">
        <v>195</v>
      </c>
      <c r="B1533" s="3">
        <v>45139</v>
      </c>
      <c r="C1533" s="2">
        <v>14</v>
      </c>
      <c r="D1533" s="2">
        <v>20215</v>
      </c>
      <c r="E1533" s="17">
        <v>45185.52</v>
      </c>
      <c r="F1533" s="11">
        <v>6.42</v>
      </c>
      <c r="G1533" s="9">
        <v>3222.8</v>
      </c>
      <c r="H1533" s="10">
        <v>0.28599999999999998</v>
      </c>
      <c r="I1533" s="11">
        <v>6</v>
      </c>
    </row>
    <row r="1534" spans="1:9" x14ac:dyDescent="0.35">
      <c r="A1534" s="2" t="s">
        <v>195</v>
      </c>
      <c r="B1534" s="3">
        <v>45170</v>
      </c>
      <c r="C1534" s="2">
        <v>22</v>
      </c>
      <c r="D1534" s="2">
        <v>31282</v>
      </c>
      <c r="E1534" s="17">
        <v>65390.01</v>
      </c>
      <c r="F1534" s="11">
        <v>6.64</v>
      </c>
      <c r="G1534" s="9">
        <v>4680.2</v>
      </c>
      <c r="H1534" s="10">
        <v>0.36399999999999999</v>
      </c>
      <c r="I1534" s="11">
        <v>6.8</v>
      </c>
    </row>
    <row r="1535" spans="1:9" x14ac:dyDescent="0.35">
      <c r="A1535" s="2" t="s">
        <v>195</v>
      </c>
      <c r="B1535" s="3">
        <v>45200</v>
      </c>
      <c r="C1535" s="2">
        <v>19</v>
      </c>
      <c r="D1535" s="2">
        <v>22482</v>
      </c>
      <c r="E1535" s="17">
        <v>51493.21</v>
      </c>
      <c r="F1535" s="11">
        <v>6.35</v>
      </c>
      <c r="G1535" s="9">
        <v>3506.1</v>
      </c>
      <c r="H1535" s="10">
        <v>0.57899999999999996</v>
      </c>
      <c r="I1535" s="11">
        <v>6.9</v>
      </c>
    </row>
    <row r="1536" spans="1:9" x14ac:dyDescent="0.35">
      <c r="A1536" s="2" t="s">
        <v>195</v>
      </c>
      <c r="B1536" s="3">
        <v>45231</v>
      </c>
      <c r="C1536" s="2">
        <v>23</v>
      </c>
      <c r="D1536" s="2">
        <v>32947</v>
      </c>
      <c r="E1536" s="17">
        <v>70725.72</v>
      </c>
      <c r="F1536" s="11">
        <v>6.54</v>
      </c>
      <c r="G1536" s="9">
        <v>5092.3</v>
      </c>
      <c r="H1536" s="10">
        <v>0.60899999999999999</v>
      </c>
      <c r="I1536" s="11">
        <v>7.6</v>
      </c>
    </row>
    <row r="1537" spans="1:9" x14ac:dyDescent="0.35">
      <c r="A1537" s="2" t="s">
        <v>195</v>
      </c>
      <c r="B1537" s="3">
        <v>45261</v>
      </c>
      <c r="C1537" s="2">
        <v>20</v>
      </c>
      <c r="D1537" s="2">
        <v>32602</v>
      </c>
      <c r="E1537" s="17">
        <v>65635.62</v>
      </c>
      <c r="F1537" s="11">
        <v>6.44</v>
      </c>
      <c r="G1537" s="9">
        <v>5111.2</v>
      </c>
      <c r="H1537" s="10">
        <v>0.45</v>
      </c>
      <c r="I1537" s="11">
        <v>6.8</v>
      </c>
    </row>
    <row r="1538" spans="1:9" x14ac:dyDescent="0.35">
      <c r="A1538" s="2" t="s">
        <v>195</v>
      </c>
      <c r="B1538" s="3">
        <v>45292</v>
      </c>
      <c r="C1538" s="2">
        <v>25</v>
      </c>
      <c r="D1538" s="2">
        <v>37475</v>
      </c>
      <c r="E1538" s="17">
        <v>84247.81</v>
      </c>
      <c r="F1538" s="11">
        <v>6.64</v>
      </c>
      <c r="G1538" s="9">
        <v>5677.1</v>
      </c>
      <c r="H1538" s="10">
        <v>0.48</v>
      </c>
      <c r="I1538" s="11">
        <v>7.1</v>
      </c>
    </row>
    <row r="1539" spans="1:9" x14ac:dyDescent="0.35">
      <c r="A1539" s="2" t="s">
        <v>195</v>
      </c>
      <c r="B1539" s="3">
        <v>45323</v>
      </c>
      <c r="C1539" s="2">
        <v>14</v>
      </c>
      <c r="D1539" s="2">
        <v>18211</v>
      </c>
      <c r="E1539" s="17">
        <v>40241.01</v>
      </c>
      <c r="F1539" s="11">
        <v>6.52</v>
      </c>
      <c r="G1539" s="9">
        <v>2792.6</v>
      </c>
      <c r="H1539" s="10">
        <v>0.28599999999999998</v>
      </c>
      <c r="I1539" s="11">
        <v>6.6</v>
      </c>
    </row>
    <row r="1540" spans="1:9" x14ac:dyDescent="0.35">
      <c r="A1540" s="2" t="s">
        <v>195</v>
      </c>
      <c r="B1540" s="3">
        <v>45352</v>
      </c>
      <c r="C1540" s="2">
        <v>23</v>
      </c>
      <c r="D1540" s="2">
        <v>31819</v>
      </c>
      <c r="E1540" s="17">
        <v>65799.539999999994</v>
      </c>
      <c r="F1540" s="11">
        <v>6.45</v>
      </c>
      <c r="G1540" s="9">
        <v>4958.3</v>
      </c>
      <c r="H1540" s="10">
        <v>0.39100000000000001</v>
      </c>
      <c r="I1540" s="11">
        <v>7.8</v>
      </c>
    </row>
    <row r="1541" spans="1:9" x14ac:dyDescent="0.35">
      <c r="A1541" s="2" t="s">
        <v>195</v>
      </c>
      <c r="B1541" s="3">
        <v>45383</v>
      </c>
      <c r="C1541" s="2">
        <v>15</v>
      </c>
      <c r="D1541" s="2">
        <v>13824</v>
      </c>
      <c r="E1541" s="17">
        <v>29729.84</v>
      </c>
      <c r="F1541" s="11">
        <v>6.36</v>
      </c>
      <c r="G1541" s="9">
        <v>2163</v>
      </c>
      <c r="H1541" s="10">
        <v>0.6</v>
      </c>
      <c r="I1541" s="11">
        <v>7.4</v>
      </c>
    </row>
    <row r="1542" spans="1:9" x14ac:dyDescent="0.35">
      <c r="A1542" s="2" t="s">
        <v>195</v>
      </c>
      <c r="B1542" s="3">
        <v>45413</v>
      </c>
      <c r="C1542" s="2">
        <v>18</v>
      </c>
      <c r="D1542" s="2">
        <v>27714</v>
      </c>
      <c r="E1542" s="17">
        <v>57907.35</v>
      </c>
      <c r="F1542" s="11">
        <v>6.64</v>
      </c>
      <c r="G1542" s="9">
        <v>4181.8</v>
      </c>
      <c r="H1542" s="10">
        <v>0.44400000000000001</v>
      </c>
      <c r="I1542" s="11">
        <v>6.6</v>
      </c>
    </row>
    <row r="1543" spans="1:9" x14ac:dyDescent="0.35">
      <c r="A1543" s="2" t="s">
        <v>195</v>
      </c>
      <c r="B1543" s="3">
        <v>45444</v>
      </c>
      <c r="C1543" s="2">
        <v>24</v>
      </c>
      <c r="D1543" s="2">
        <v>38491</v>
      </c>
      <c r="E1543" s="17">
        <v>80331.86</v>
      </c>
      <c r="F1543" s="11">
        <v>6.42</v>
      </c>
      <c r="G1543" s="9">
        <v>5973.9</v>
      </c>
      <c r="H1543" s="10">
        <v>0.58299999999999996</v>
      </c>
      <c r="I1543" s="11">
        <v>6.4</v>
      </c>
    </row>
    <row r="1544" spans="1:9" x14ac:dyDescent="0.35">
      <c r="A1544" s="2" t="s">
        <v>195</v>
      </c>
      <c r="B1544" s="3">
        <v>45474</v>
      </c>
      <c r="C1544" s="2">
        <v>26</v>
      </c>
      <c r="D1544" s="2">
        <v>33383</v>
      </c>
      <c r="E1544" s="17">
        <v>68685.45</v>
      </c>
      <c r="F1544" s="11">
        <v>6.57</v>
      </c>
      <c r="G1544" s="9">
        <v>5242.7</v>
      </c>
      <c r="H1544" s="10">
        <v>0.42299999999999999</v>
      </c>
      <c r="I1544" s="11">
        <v>6.5</v>
      </c>
    </row>
    <row r="1545" spans="1:9" x14ac:dyDescent="0.35">
      <c r="A1545" s="2" t="s">
        <v>195</v>
      </c>
      <c r="B1545" s="3">
        <v>45505</v>
      </c>
      <c r="C1545" s="2">
        <v>17</v>
      </c>
      <c r="D1545" s="2">
        <v>24469</v>
      </c>
      <c r="E1545" s="17">
        <v>53951.5</v>
      </c>
      <c r="F1545" s="11">
        <v>6.36</v>
      </c>
      <c r="G1545" s="9">
        <v>3835.4</v>
      </c>
      <c r="H1545" s="10">
        <v>0.35299999999999998</v>
      </c>
      <c r="I1545" s="11">
        <v>8.1999999999999993</v>
      </c>
    </row>
    <row r="1546" spans="1:9" x14ac:dyDescent="0.35">
      <c r="A1546" s="2" t="s">
        <v>195</v>
      </c>
      <c r="B1546" s="3">
        <v>45536</v>
      </c>
      <c r="C1546" s="2">
        <v>19</v>
      </c>
      <c r="D1546" s="2">
        <v>26304</v>
      </c>
      <c r="E1546" s="17">
        <v>57916.45</v>
      </c>
      <c r="F1546" s="11">
        <v>6.58</v>
      </c>
      <c r="G1546" s="9">
        <v>4042.4</v>
      </c>
      <c r="H1546" s="10">
        <v>0.63200000000000001</v>
      </c>
      <c r="I1546" s="11">
        <v>6.7</v>
      </c>
    </row>
    <row r="1547" spans="1:9" x14ac:dyDescent="0.35">
      <c r="A1547" s="2" t="s">
        <v>195</v>
      </c>
      <c r="B1547" s="3">
        <v>45566</v>
      </c>
      <c r="C1547" s="2">
        <v>15</v>
      </c>
      <c r="D1547" s="2">
        <v>28276</v>
      </c>
      <c r="E1547" s="17">
        <v>58324.19</v>
      </c>
      <c r="F1547" s="11">
        <v>6.71</v>
      </c>
      <c r="G1547" s="9">
        <v>4295.3999999999996</v>
      </c>
      <c r="H1547" s="10">
        <v>0.2</v>
      </c>
      <c r="I1547" s="11">
        <v>7</v>
      </c>
    </row>
    <row r="1548" spans="1:9" x14ac:dyDescent="0.35">
      <c r="A1548" s="2" t="s">
        <v>195</v>
      </c>
      <c r="B1548" s="3">
        <v>45597</v>
      </c>
      <c r="C1548" s="2">
        <v>22</v>
      </c>
      <c r="D1548" s="2">
        <v>27439</v>
      </c>
      <c r="E1548" s="17">
        <v>58318.41</v>
      </c>
      <c r="F1548" s="11">
        <v>6.52</v>
      </c>
      <c r="G1548" s="9">
        <v>4278.7</v>
      </c>
      <c r="H1548" s="10">
        <v>0.5</v>
      </c>
      <c r="I1548" s="11">
        <v>7.3</v>
      </c>
    </row>
    <row r="1549" spans="1:9" x14ac:dyDescent="0.35">
      <c r="A1549" s="2" t="s">
        <v>195</v>
      </c>
      <c r="B1549" s="3">
        <v>45627</v>
      </c>
      <c r="C1549" s="2">
        <v>6</v>
      </c>
      <c r="D1549" s="2">
        <v>10126</v>
      </c>
      <c r="E1549" s="17">
        <v>19439.27</v>
      </c>
      <c r="F1549" s="11">
        <v>6.63</v>
      </c>
      <c r="G1549" s="9">
        <v>1511.8</v>
      </c>
      <c r="H1549" s="10">
        <v>0.66700000000000004</v>
      </c>
      <c r="I1549" s="11">
        <v>6.6</v>
      </c>
    </row>
    <row r="1550" spans="1:9" x14ac:dyDescent="0.35">
      <c r="A1550" s="2" t="s">
        <v>197</v>
      </c>
      <c r="B1550" s="3">
        <v>44562</v>
      </c>
      <c r="C1550" s="2">
        <v>22</v>
      </c>
      <c r="D1550" s="2">
        <v>33127</v>
      </c>
      <c r="E1550" s="17">
        <v>70613.2</v>
      </c>
      <c r="F1550" s="11">
        <v>6.56</v>
      </c>
      <c r="G1550" s="9">
        <v>5029.5</v>
      </c>
      <c r="H1550" s="10">
        <v>0.40899999999999997</v>
      </c>
      <c r="I1550" s="11">
        <v>6.4</v>
      </c>
    </row>
    <row r="1551" spans="1:9" x14ac:dyDescent="0.35">
      <c r="A1551" s="2" t="s">
        <v>197</v>
      </c>
      <c r="B1551" s="3">
        <v>44593</v>
      </c>
      <c r="C1551" s="2">
        <v>11</v>
      </c>
      <c r="D1551" s="2">
        <v>17284</v>
      </c>
      <c r="E1551" s="17">
        <v>37912.39</v>
      </c>
      <c r="F1551" s="11">
        <v>6.37</v>
      </c>
      <c r="G1551" s="9">
        <v>2747.9</v>
      </c>
      <c r="H1551" s="10">
        <v>0.36399999999999999</v>
      </c>
      <c r="I1551" s="11">
        <v>7.3</v>
      </c>
    </row>
    <row r="1552" spans="1:9" x14ac:dyDescent="0.35">
      <c r="A1552" s="2" t="s">
        <v>197</v>
      </c>
      <c r="B1552" s="3">
        <v>44621</v>
      </c>
      <c r="C1552" s="2">
        <v>16</v>
      </c>
      <c r="D1552" s="2">
        <v>21433</v>
      </c>
      <c r="E1552" s="17">
        <v>43864.14</v>
      </c>
      <c r="F1552" s="11">
        <v>6.6</v>
      </c>
      <c r="G1552" s="9">
        <v>3246.7</v>
      </c>
      <c r="H1552" s="10">
        <v>0.312</v>
      </c>
      <c r="I1552" s="11">
        <v>7.4</v>
      </c>
    </row>
    <row r="1553" spans="1:9" x14ac:dyDescent="0.35">
      <c r="A1553" s="2" t="s">
        <v>197</v>
      </c>
      <c r="B1553" s="3">
        <v>44652</v>
      </c>
      <c r="C1553" s="2">
        <v>22</v>
      </c>
      <c r="D1553" s="2">
        <v>29922</v>
      </c>
      <c r="E1553" s="17">
        <v>62953.46</v>
      </c>
      <c r="F1553" s="11">
        <v>6.48</v>
      </c>
      <c r="G1553" s="9">
        <v>4615.5</v>
      </c>
      <c r="H1553" s="10">
        <v>0.54500000000000004</v>
      </c>
      <c r="I1553" s="11">
        <v>7.8</v>
      </c>
    </row>
    <row r="1554" spans="1:9" x14ac:dyDescent="0.35">
      <c r="A1554" s="2" t="s">
        <v>197</v>
      </c>
      <c r="B1554" s="3">
        <v>44682</v>
      </c>
      <c r="C1554" s="2">
        <v>19</v>
      </c>
      <c r="D1554" s="2">
        <v>25955</v>
      </c>
      <c r="E1554" s="17">
        <v>60503.74</v>
      </c>
      <c r="F1554" s="11">
        <v>6.53</v>
      </c>
      <c r="G1554" s="9">
        <v>3905.3</v>
      </c>
      <c r="H1554" s="10">
        <v>0.57899999999999996</v>
      </c>
      <c r="I1554" s="11">
        <v>8.1</v>
      </c>
    </row>
    <row r="1555" spans="1:9" x14ac:dyDescent="0.35">
      <c r="A1555" s="2" t="s">
        <v>197</v>
      </c>
      <c r="B1555" s="3">
        <v>44713</v>
      </c>
      <c r="C1555" s="2">
        <v>20</v>
      </c>
      <c r="D1555" s="2">
        <v>32752</v>
      </c>
      <c r="E1555" s="17">
        <v>72250.77</v>
      </c>
      <c r="F1555" s="11">
        <v>6.5</v>
      </c>
      <c r="G1555" s="9">
        <v>5098.3999999999996</v>
      </c>
      <c r="H1555" s="10">
        <v>0.45</v>
      </c>
      <c r="I1555" s="11">
        <v>6.6</v>
      </c>
    </row>
    <row r="1556" spans="1:9" x14ac:dyDescent="0.35">
      <c r="A1556" s="2" t="s">
        <v>197</v>
      </c>
      <c r="B1556" s="3">
        <v>44743</v>
      </c>
      <c r="C1556" s="2">
        <v>24</v>
      </c>
      <c r="D1556" s="2">
        <v>29618</v>
      </c>
      <c r="E1556" s="17">
        <v>63248.95</v>
      </c>
      <c r="F1556" s="11">
        <v>6.76</v>
      </c>
      <c r="G1556" s="9">
        <v>4455.7</v>
      </c>
      <c r="H1556" s="10">
        <v>0.58299999999999996</v>
      </c>
      <c r="I1556" s="11">
        <v>6.1</v>
      </c>
    </row>
    <row r="1557" spans="1:9" x14ac:dyDescent="0.35">
      <c r="A1557" s="2" t="s">
        <v>197</v>
      </c>
      <c r="B1557" s="3">
        <v>44774</v>
      </c>
      <c r="C1557" s="2">
        <v>28</v>
      </c>
      <c r="D1557" s="2">
        <v>42622</v>
      </c>
      <c r="E1557" s="17">
        <v>85099.13</v>
      </c>
      <c r="F1557" s="11">
        <v>6.54</v>
      </c>
      <c r="G1557" s="9">
        <v>6600.8</v>
      </c>
      <c r="H1557" s="10">
        <v>0.42899999999999999</v>
      </c>
      <c r="I1557" s="11">
        <v>6.4</v>
      </c>
    </row>
    <row r="1558" spans="1:9" x14ac:dyDescent="0.35">
      <c r="A1558" s="2" t="s">
        <v>197</v>
      </c>
      <c r="B1558" s="3">
        <v>44805</v>
      </c>
      <c r="C1558" s="2">
        <v>17</v>
      </c>
      <c r="D1558" s="2">
        <v>23154</v>
      </c>
      <c r="E1558" s="17">
        <v>50661.25</v>
      </c>
      <c r="F1558" s="11">
        <v>6.44</v>
      </c>
      <c r="G1558" s="9">
        <v>3617.1</v>
      </c>
      <c r="H1558" s="10">
        <v>0.47099999999999997</v>
      </c>
      <c r="I1558" s="11">
        <v>6.7</v>
      </c>
    </row>
    <row r="1559" spans="1:9" x14ac:dyDescent="0.35">
      <c r="A1559" s="2" t="s">
        <v>197</v>
      </c>
      <c r="B1559" s="3">
        <v>44835</v>
      </c>
      <c r="C1559" s="2">
        <v>31</v>
      </c>
      <c r="D1559" s="2">
        <v>46828</v>
      </c>
      <c r="E1559" s="17">
        <v>103502.32</v>
      </c>
      <c r="F1559" s="11">
        <v>6.59</v>
      </c>
      <c r="G1559" s="9">
        <v>7104.5</v>
      </c>
      <c r="H1559" s="10">
        <v>0.45200000000000001</v>
      </c>
      <c r="I1559" s="11">
        <v>7.7</v>
      </c>
    </row>
    <row r="1560" spans="1:9" x14ac:dyDescent="0.35">
      <c r="A1560" s="2" t="s">
        <v>197</v>
      </c>
      <c r="B1560" s="3">
        <v>44866</v>
      </c>
      <c r="C1560" s="2">
        <v>25</v>
      </c>
      <c r="D1560" s="2">
        <v>36720</v>
      </c>
      <c r="E1560" s="17">
        <v>74897.45</v>
      </c>
      <c r="F1560" s="11">
        <v>6.51</v>
      </c>
      <c r="G1560" s="9">
        <v>5612.5</v>
      </c>
      <c r="H1560" s="10">
        <v>0.36</v>
      </c>
      <c r="I1560" s="11">
        <v>6.3</v>
      </c>
    </row>
    <row r="1561" spans="1:9" x14ac:dyDescent="0.35">
      <c r="A1561" s="2" t="s">
        <v>197</v>
      </c>
      <c r="B1561" s="3">
        <v>44896</v>
      </c>
      <c r="C1561" s="2">
        <v>17</v>
      </c>
      <c r="D1561" s="2">
        <v>23599</v>
      </c>
      <c r="E1561" s="17">
        <v>51493.49</v>
      </c>
      <c r="F1561" s="11">
        <v>6.39</v>
      </c>
      <c r="G1561" s="9">
        <v>3713.4</v>
      </c>
      <c r="H1561" s="10">
        <v>0.47099999999999997</v>
      </c>
      <c r="I1561" s="11">
        <v>6.2</v>
      </c>
    </row>
    <row r="1562" spans="1:9" x14ac:dyDescent="0.35">
      <c r="A1562" s="2" t="s">
        <v>197</v>
      </c>
      <c r="B1562" s="3">
        <v>44927</v>
      </c>
      <c r="C1562" s="2">
        <v>18</v>
      </c>
      <c r="D1562" s="2">
        <v>25187</v>
      </c>
      <c r="E1562" s="17">
        <v>52429.57</v>
      </c>
      <c r="F1562" s="11">
        <v>6.44</v>
      </c>
      <c r="G1562" s="9">
        <v>3984.2</v>
      </c>
      <c r="H1562" s="10">
        <v>0.44400000000000001</v>
      </c>
      <c r="I1562" s="11">
        <v>7.1</v>
      </c>
    </row>
    <row r="1563" spans="1:9" x14ac:dyDescent="0.35">
      <c r="A1563" s="2" t="s">
        <v>197</v>
      </c>
      <c r="B1563" s="3">
        <v>44958</v>
      </c>
      <c r="C1563" s="2">
        <v>23</v>
      </c>
      <c r="D1563" s="2">
        <v>28568</v>
      </c>
      <c r="E1563" s="17">
        <v>61809.62</v>
      </c>
      <c r="F1563" s="11">
        <v>6.56</v>
      </c>
      <c r="G1563" s="9">
        <v>4395.8</v>
      </c>
      <c r="H1563" s="10">
        <v>0.39100000000000001</v>
      </c>
      <c r="I1563" s="11">
        <v>8.1</v>
      </c>
    </row>
    <row r="1564" spans="1:9" x14ac:dyDescent="0.35">
      <c r="A1564" s="2" t="s">
        <v>197</v>
      </c>
      <c r="B1564" s="3">
        <v>44986</v>
      </c>
      <c r="C1564" s="2">
        <v>21</v>
      </c>
      <c r="D1564" s="2">
        <v>29978</v>
      </c>
      <c r="E1564" s="17">
        <v>65873.490000000005</v>
      </c>
      <c r="F1564" s="11">
        <v>6.39</v>
      </c>
      <c r="G1564" s="9">
        <v>4651.7</v>
      </c>
      <c r="H1564" s="10">
        <v>0.42899999999999999</v>
      </c>
      <c r="I1564" s="11">
        <v>6.2</v>
      </c>
    </row>
    <row r="1565" spans="1:9" x14ac:dyDescent="0.35">
      <c r="A1565" s="2" t="s">
        <v>197</v>
      </c>
      <c r="B1565" s="3">
        <v>45017</v>
      </c>
      <c r="C1565" s="2">
        <v>20</v>
      </c>
      <c r="D1565" s="2">
        <v>24120</v>
      </c>
      <c r="E1565" s="17">
        <v>48048.7</v>
      </c>
      <c r="F1565" s="11">
        <v>6.53</v>
      </c>
      <c r="G1565" s="9">
        <v>3706.9</v>
      </c>
      <c r="H1565" s="10">
        <v>0.55000000000000004</v>
      </c>
      <c r="I1565" s="11">
        <v>7.3</v>
      </c>
    </row>
    <row r="1566" spans="1:9" x14ac:dyDescent="0.35">
      <c r="A1566" s="2" t="s">
        <v>197</v>
      </c>
      <c r="B1566" s="3">
        <v>45047</v>
      </c>
      <c r="C1566" s="2">
        <v>13</v>
      </c>
      <c r="D1566" s="2">
        <v>15849</v>
      </c>
      <c r="E1566" s="17">
        <v>32283.85</v>
      </c>
      <c r="F1566" s="11">
        <v>6.68</v>
      </c>
      <c r="G1566" s="9">
        <v>2427.1999999999998</v>
      </c>
      <c r="H1566" s="10">
        <v>0.61499999999999999</v>
      </c>
      <c r="I1566" s="11">
        <v>7.9</v>
      </c>
    </row>
    <row r="1567" spans="1:9" x14ac:dyDescent="0.35">
      <c r="A1567" s="2" t="s">
        <v>197</v>
      </c>
      <c r="B1567" s="3">
        <v>45078</v>
      </c>
      <c r="C1567" s="2">
        <v>24</v>
      </c>
      <c r="D1567" s="2">
        <v>35864</v>
      </c>
      <c r="E1567" s="17">
        <v>80905.070000000007</v>
      </c>
      <c r="F1567" s="11">
        <v>6.49</v>
      </c>
      <c r="G1567" s="9">
        <v>5663.9</v>
      </c>
      <c r="H1567" s="10">
        <v>0.45800000000000002</v>
      </c>
      <c r="I1567" s="11">
        <v>6.9</v>
      </c>
    </row>
    <row r="1568" spans="1:9" x14ac:dyDescent="0.35">
      <c r="A1568" s="2" t="s">
        <v>197</v>
      </c>
      <c r="B1568" s="3">
        <v>45108</v>
      </c>
      <c r="C1568" s="2">
        <v>24</v>
      </c>
      <c r="D1568" s="2">
        <v>40522</v>
      </c>
      <c r="E1568" s="17">
        <v>89517.09</v>
      </c>
      <c r="F1568" s="11">
        <v>6.6</v>
      </c>
      <c r="G1568" s="9">
        <v>6235.4</v>
      </c>
      <c r="H1568" s="10">
        <v>0.45800000000000002</v>
      </c>
      <c r="I1568" s="11">
        <v>7</v>
      </c>
    </row>
    <row r="1569" spans="1:9" x14ac:dyDescent="0.35">
      <c r="A1569" s="2" t="s">
        <v>197</v>
      </c>
      <c r="B1569" s="3">
        <v>45139</v>
      </c>
      <c r="C1569" s="2">
        <v>21</v>
      </c>
      <c r="D1569" s="2">
        <v>25020</v>
      </c>
      <c r="E1569" s="17">
        <v>49698.94</v>
      </c>
      <c r="F1569" s="11">
        <v>6.53</v>
      </c>
      <c r="G1569" s="9">
        <v>3890.5</v>
      </c>
      <c r="H1569" s="10">
        <v>0.19</v>
      </c>
      <c r="I1569" s="11">
        <v>7.4</v>
      </c>
    </row>
    <row r="1570" spans="1:9" x14ac:dyDescent="0.35">
      <c r="A1570" s="2" t="s">
        <v>197</v>
      </c>
      <c r="B1570" s="3">
        <v>45170</v>
      </c>
      <c r="C1570" s="2">
        <v>18</v>
      </c>
      <c r="D1570" s="2">
        <v>20920</v>
      </c>
      <c r="E1570" s="17">
        <v>46074.43</v>
      </c>
      <c r="F1570" s="11">
        <v>6.33</v>
      </c>
      <c r="G1570" s="9">
        <v>3371.6</v>
      </c>
      <c r="H1570" s="10">
        <v>0.44400000000000001</v>
      </c>
      <c r="I1570" s="11">
        <v>7.6</v>
      </c>
    </row>
    <row r="1571" spans="1:9" x14ac:dyDescent="0.35">
      <c r="A1571" s="2" t="s">
        <v>197</v>
      </c>
      <c r="B1571" s="3">
        <v>45200</v>
      </c>
      <c r="C1571" s="2">
        <v>9</v>
      </c>
      <c r="D1571" s="2">
        <v>16521</v>
      </c>
      <c r="E1571" s="17">
        <v>39911.01</v>
      </c>
      <c r="F1571" s="11">
        <v>6.31</v>
      </c>
      <c r="G1571" s="9">
        <v>2695</v>
      </c>
      <c r="H1571" s="10">
        <v>0.111</v>
      </c>
      <c r="I1571" s="11">
        <v>7.8</v>
      </c>
    </row>
    <row r="1572" spans="1:9" x14ac:dyDescent="0.35">
      <c r="A1572" s="2" t="s">
        <v>197</v>
      </c>
      <c r="B1572" s="3">
        <v>45231</v>
      </c>
      <c r="C1572" s="2">
        <v>11</v>
      </c>
      <c r="D1572" s="2">
        <v>15473</v>
      </c>
      <c r="E1572" s="17">
        <v>35235.96</v>
      </c>
      <c r="F1572" s="11">
        <v>6.54</v>
      </c>
      <c r="G1572" s="9">
        <v>2391.6999999999998</v>
      </c>
      <c r="H1572" s="10">
        <v>0.45500000000000002</v>
      </c>
      <c r="I1572" s="11">
        <v>6.3</v>
      </c>
    </row>
    <row r="1573" spans="1:9" x14ac:dyDescent="0.35">
      <c r="A1573" s="2" t="s">
        <v>197</v>
      </c>
      <c r="B1573" s="3">
        <v>45261</v>
      </c>
      <c r="C1573" s="2">
        <v>21</v>
      </c>
      <c r="D1573" s="2">
        <v>29139</v>
      </c>
      <c r="E1573" s="17">
        <v>64853.16</v>
      </c>
      <c r="F1573" s="11">
        <v>6.59</v>
      </c>
      <c r="G1573" s="9">
        <v>4488.7</v>
      </c>
      <c r="H1573" s="10">
        <v>0.38100000000000001</v>
      </c>
      <c r="I1573" s="11">
        <v>6.4</v>
      </c>
    </row>
    <row r="1574" spans="1:9" x14ac:dyDescent="0.35">
      <c r="A1574" s="2" t="s">
        <v>197</v>
      </c>
      <c r="B1574" s="3">
        <v>45292</v>
      </c>
      <c r="C1574" s="2">
        <v>22</v>
      </c>
      <c r="D1574" s="2">
        <v>30511</v>
      </c>
      <c r="E1574" s="17">
        <v>60598.43</v>
      </c>
      <c r="F1574" s="11">
        <v>6.48</v>
      </c>
      <c r="G1574" s="9">
        <v>4782.2</v>
      </c>
      <c r="H1574" s="10">
        <v>0.36399999999999999</v>
      </c>
      <c r="I1574" s="11">
        <v>6.9</v>
      </c>
    </row>
    <row r="1575" spans="1:9" x14ac:dyDescent="0.35">
      <c r="A1575" s="2" t="s">
        <v>197</v>
      </c>
      <c r="B1575" s="3">
        <v>45323</v>
      </c>
      <c r="C1575" s="2">
        <v>21</v>
      </c>
      <c r="D1575" s="2">
        <v>33058</v>
      </c>
      <c r="E1575" s="17">
        <v>70028.320000000007</v>
      </c>
      <c r="F1575" s="11">
        <v>6.39</v>
      </c>
      <c r="G1575" s="9">
        <v>5276.4</v>
      </c>
      <c r="H1575" s="10">
        <v>0.23799999999999999</v>
      </c>
      <c r="I1575" s="11">
        <v>7.9</v>
      </c>
    </row>
    <row r="1576" spans="1:9" x14ac:dyDescent="0.35">
      <c r="A1576" s="2" t="s">
        <v>197</v>
      </c>
      <c r="B1576" s="3">
        <v>45352</v>
      </c>
      <c r="C1576" s="2">
        <v>13</v>
      </c>
      <c r="D1576" s="2">
        <v>22939</v>
      </c>
      <c r="E1576" s="17">
        <v>46024.26</v>
      </c>
      <c r="F1576" s="11">
        <v>6.48</v>
      </c>
      <c r="G1576" s="9">
        <v>3494.5</v>
      </c>
      <c r="H1576" s="10">
        <v>0.61499999999999999</v>
      </c>
      <c r="I1576" s="11">
        <v>7.4</v>
      </c>
    </row>
    <row r="1577" spans="1:9" x14ac:dyDescent="0.35">
      <c r="A1577" s="2" t="s">
        <v>197</v>
      </c>
      <c r="B1577" s="3">
        <v>45383</v>
      </c>
      <c r="C1577" s="2">
        <v>20</v>
      </c>
      <c r="D1577" s="2">
        <v>27987</v>
      </c>
      <c r="E1577" s="17">
        <v>61951.95</v>
      </c>
      <c r="F1577" s="11">
        <v>6.3</v>
      </c>
      <c r="G1577" s="9">
        <v>4417.3999999999996</v>
      </c>
      <c r="H1577" s="10">
        <v>0.45</v>
      </c>
      <c r="I1577" s="11">
        <v>6.7</v>
      </c>
    </row>
    <row r="1578" spans="1:9" x14ac:dyDescent="0.35">
      <c r="A1578" s="2" t="s">
        <v>197</v>
      </c>
      <c r="B1578" s="3">
        <v>45413</v>
      </c>
      <c r="C1578" s="2">
        <v>18</v>
      </c>
      <c r="D1578" s="2">
        <v>30651</v>
      </c>
      <c r="E1578" s="17">
        <v>63884.61</v>
      </c>
      <c r="F1578" s="11">
        <v>6.48</v>
      </c>
      <c r="G1578" s="9">
        <v>4780.1000000000004</v>
      </c>
      <c r="H1578" s="10">
        <v>0.55600000000000005</v>
      </c>
      <c r="I1578" s="11">
        <v>6.6</v>
      </c>
    </row>
    <row r="1579" spans="1:9" x14ac:dyDescent="0.35">
      <c r="A1579" s="2" t="s">
        <v>197</v>
      </c>
      <c r="B1579" s="3">
        <v>45444</v>
      </c>
      <c r="C1579" s="2">
        <v>19</v>
      </c>
      <c r="D1579" s="2">
        <v>26794</v>
      </c>
      <c r="E1579" s="17">
        <v>55496.89</v>
      </c>
      <c r="F1579" s="11">
        <v>6.81</v>
      </c>
      <c r="G1579" s="9">
        <v>4014.2</v>
      </c>
      <c r="H1579" s="10">
        <v>0.36799999999999999</v>
      </c>
      <c r="I1579" s="11">
        <v>7.7</v>
      </c>
    </row>
    <row r="1580" spans="1:9" x14ac:dyDescent="0.35">
      <c r="A1580" s="2" t="s">
        <v>197</v>
      </c>
      <c r="B1580" s="3">
        <v>45474</v>
      </c>
      <c r="C1580" s="2">
        <v>19</v>
      </c>
      <c r="D1580" s="2">
        <v>29842</v>
      </c>
      <c r="E1580" s="17">
        <v>61012.17</v>
      </c>
      <c r="F1580" s="11">
        <v>6.47</v>
      </c>
      <c r="G1580" s="9">
        <v>4705.2</v>
      </c>
      <c r="H1580" s="10">
        <v>0.57899999999999996</v>
      </c>
      <c r="I1580" s="11">
        <v>7.3</v>
      </c>
    </row>
    <row r="1581" spans="1:9" x14ac:dyDescent="0.35">
      <c r="A1581" s="2" t="s">
        <v>197</v>
      </c>
      <c r="B1581" s="3">
        <v>45505</v>
      </c>
      <c r="C1581" s="2">
        <v>10</v>
      </c>
      <c r="D1581" s="2">
        <v>14649</v>
      </c>
      <c r="E1581" s="17">
        <v>30294.98</v>
      </c>
      <c r="F1581" s="11">
        <v>6.42</v>
      </c>
      <c r="G1581" s="9">
        <v>2336.5</v>
      </c>
      <c r="H1581" s="10">
        <v>0.3</v>
      </c>
      <c r="I1581" s="11">
        <v>6.7</v>
      </c>
    </row>
    <row r="1582" spans="1:9" x14ac:dyDescent="0.35">
      <c r="A1582" s="2" t="s">
        <v>197</v>
      </c>
      <c r="B1582" s="3">
        <v>45536</v>
      </c>
      <c r="C1582" s="2">
        <v>24</v>
      </c>
      <c r="D1582" s="2">
        <v>39268</v>
      </c>
      <c r="E1582" s="17">
        <v>81127.649999999994</v>
      </c>
      <c r="F1582" s="11">
        <v>6.31</v>
      </c>
      <c r="G1582" s="9">
        <v>6363.5</v>
      </c>
      <c r="H1582" s="10">
        <v>0.33300000000000002</v>
      </c>
      <c r="I1582" s="11">
        <v>7.1</v>
      </c>
    </row>
    <row r="1583" spans="1:9" x14ac:dyDescent="0.35">
      <c r="A1583" s="2" t="s">
        <v>197</v>
      </c>
      <c r="B1583" s="3">
        <v>45566</v>
      </c>
      <c r="C1583" s="2">
        <v>15</v>
      </c>
      <c r="D1583" s="2">
        <v>25573</v>
      </c>
      <c r="E1583" s="17">
        <v>56740.93</v>
      </c>
      <c r="F1583" s="11">
        <v>6.53</v>
      </c>
      <c r="G1583" s="9">
        <v>3913.6</v>
      </c>
      <c r="H1583" s="10">
        <v>0.4</v>
      </c>
      <c r="I1583" s="11">
        <v>6.8</v>
      </c>
    </row>
    <row r="1584" spans="1:9" x14ac:dyDescent="0.35">
      <c r="A1584" s="2" t="s">
        <v>197</v>
      </c>
      <c r="B1584" s="3">
        <v>45597</v>
      </c>
      <c r="C1584" s="2">
        <v>20</v>
      </c>
      <c r="D1584" s="2">
        <v>29683</v>
      </c>
      <c r="E1584" s="17">
        <v>63330.6</v>
      </c>
      <c r="F1584" s="11">
        <v>6.49</v>
      </c>
      <c r="G1584" s="9">
        <v>4546</v>
      </c>
      <c r="H1584" s="10">
        <v>0.35</v>
      </c>
      <c r="I1584" s="11">
        <v>7.5</v>
      </c>
    </row>
    <row r="1585" spans="1:9" x14ac:dyDescent="0.35">
      <c r="A1585" s="2" t="s">
        <v>197</v>
      </c>
      <c r="B1585" s="3">
        <v>45627</v>
      </c>
      <c r="C1585" s="2">
        <v>21</v>
      </c>
      <c r="D1585" s="2">
        <v>26407</v>
      </c>
      <c r="E1585" s="17">
        <v>56137.56</v>
      </c>
      <c r="F1585" s="11">
        <v>6.38</v>
      </c>
      <c r="G1585" s="9">
        <v>4238.3999999999996</v>
      </c>
      <c r="H1585" s="10">
        <v>0.57099999999999995</v>
      </c>
      <c r="I1585" s="11">
        <v>6.5</v>
      </c>
    </row>
    <row r="1586" spans="1:9" x14ac:dyDescent="0.35">
      <c r="A1586" s="2" t="s">
        <v>199</v>
      </c>
      <c r="B1586" s="3">
        <v>44562</v>
      </c>
      <c r="C1586" s="2">
        <v>21</v>
      </c>
      <c r="D1586" s="2">
        <v>29489</v>
      </c>
      <c r="E1586" s="17">
        <v>63011.27</v>
      </c>
      <c r="F1586" s="11">
        <v>6.46</v>
      </c>
      <c r="G1586" s="9">
        <v>4686.1000000000004</v>
      </c>
      <c r="H1586" s="10">
        <v>0.52400000000000002</v>
      </c>
      <c r="I1586" s="11">
        <v>6</v>
      </c>
    </row>
    <row r="1587" spans="1:9" x14ac:dyDescent="0.35">
      <c r="A1587" s="2" t="s">
        <v>199</v>
      </c>
      <c r="B1587" s="3">
        <v>44593</v>
      </c>
      <c r="C1587" s="2">
        <v>19</v>
      </c>
      <c r="D1587" s="2">
        <v>20489</v>
      </c>
      <c r="E1587" s="17">
        <v>47152.77</v>
      </c>
      <c r="F1587" s="11">
        <v>6.59</v>
      </c>
      <c r="G1587" s="9">
        <v>3131.2</v>
      </c>
      <c r="H1587" s="10">
        <v>0.36799999999999999</v>
      </c>
      <c r="I1587" s="11">
        <v>6.8</v>
      </c>
    </row>
    <row r="1588" spans="1:9" x14ac:dyDescent="0.35">
      <c r="A1588" s="2" t="s">
        <v>199</v>
      </c>
      <c r="B1588" s="3">
        <v>44621</v>
      </c>
      <c r="C1588" s="2">
        <v>16</v>
      </c>
      <c r="D1588" s="2">
        <v>25206</v>
      </c>
      <c r="E1588" s="17">
        <v>56608.22</v>
      </c>
      <c r="F1588" s="11">
        <v>6.78</v>
      </c>
      <c r="G1588" s="9">
        <v>3695.1</v>
      </c>
      <c r="H1588" s="10">
        <v>0.625</v>
      </c>
      <c r="I1588" s="11">
        <v>6</v>
      </c>
    </row>
    <row r="1589" spans="1:9" x14ac:dyDescent="0.35">
      <c r="A1589" s="2" t="s">
        <v>199</v>
      </c>
      <c r="B1589" s="3">
        <v>44652</v>
      </c>
      <c r="C1589" s="2">
        <v>23</v>
      </c>
      <c r="D1589" s="2">
        <v>29956</v>
      </c>
      <c r="E1589" s="17">
        <v>65083.33</v>
      </c>
      <c r="F1589" s="11">
        <v>6.45</v>
      </c>
      <c r="G1589" s="9">
        <v>4633.3999999999996</v>
      </c>
      <c r="H1589" s="10">
        <v>0.435</v>
      </c>
      <c r="I1589" s="11">
        <v>6.1</v>
      </c>
    </row>
    <row r="1590" spans="1:9" x14ac:dyDescent="0.35">
      <c r="A1590" s="2" t="s">
        <v>199</v>
      </c>
      <c r="B1590" s="3">
        <v>44682</v>
      </c>
      <c r="C1590" s="2">
        <v>13</v>
      </c>
      <c r="D1590" s="2">
        <v>15358</v>
      </c>
      <c r="E1590" s="17">
        <v>36279.379999999997</v>
      </c>
      <c r="F1590" s="11">
        <v>6.5</v>
      </c>
      <c r="G1590" s="9">
        <v>2394.3000000000002</v>
      </c>
      <c r="H1590" s="10">
        <v>0.69199999999999995</v>
      </c>
      <c r="I1590" s="11">
        <v>7.3</v>
      </c>
    </row>
    <row r="1591" spans="1:9" x14ac:dyDescent="0.35">
      <c r="A1591" s="2" t="s">
        <v>199</v>
      </c>
      <c r="B1591" s="3">
        <v>44713</v>
      </c>
      <c r="C1591" s="2">
        <v>25</v>
      </c>
      <c r="D1591" s="2">
        <v>38915</v>
      </c>
      <c r="E1591" s="17">
        <v>86957.119999999995</v>
      </c>
      <c r="F1591" s="11">
        <v>6.31</v>
      </c>
      <c r="G1591" s="9">
        <v>6297.8</v>
      </c>
      <c r="H1591" s="10">
        <v>0.48</v>
      </c>
      <c r="I1591" s="11">
        <v>7.2</v>
      </c>
    </row>
    <row r="1592" spans="1:9" x14ac:dyDescent="0.35">
      <c r="A1592" s="2" t="s">
        <v>199</v>
      </c>
      <c r="B1592" s="3">
        <v>44743</v>
      </c>
      <c r="C1592" s="2">
        <v>23</v>
      </c>
      <c r="D1592" s="2">
        <v>32161</v>
      </c>
      <c r="E1592" s="17">
        <v>66919.86</v>
      </c>
      <c r="F1592" s="11">
        <v>6.47</v>
      </c>
      <c r="G1592" s="9">
        <v>5008.8999999999996</v>
      </c>
      <c r="H1592" s="10">
        <v>0.30399999999999999</v>
      </c>
      <c r="I1592" s="11">
        <v>6.8</v>
      </c>
    </row>
    <row r="1593" spans="1:9" x14ac:dyDescent="0.35">
      <c r="A1593" s="2" t="s">
        <v>199</v>
      </c>
      <c r="B1593" s="3">
        <v>44774</v>
      </c>
      <c r="C1593" s="2">
        <v>21</v>
      </c>
      <c r="D1593" s="2">
        <v>30052</v>
      </c>
      <c r="E1593" s="17">
        <v>65807.839999999997</v>
      </c>
      <c r="F1593" s="11">
        <v>6.39</v>
      </c>
      <c r="G1593" s="9">
        <v>4735.8999999999996</v>
      </c>
      <c r="H1593" s="10">
        <v>0.33300000000000002</v>
      </c>
      <c r="I1593" s="11">
        <v>8</v>
      </c>
    </row>
    <row r="1594" spans="1:9" x14ac:dyDescent="0.35">
      <c r="A1594" s="2" t="s">
        <v>199</v>
      </c>
      <c r="B1594" s="3">
        <v>44805</v>
      </c>
      <c r="C1594" s="2">
        <v>16</v>
      </c>
      <c r="D1594" s="2">
        <v>18919</v>
      </c>
      <c r="E1594" s="17">
        <v>44016.82</v>
      </c>
      <c r="F1594" s="11">
        <v>6.35</v>
      </c>
      <c r="G1594" s="9">
        <v>3006.7</v>
      </c>
      <c r="H1594" s="10">
        <v>0.438</v>
      </c>
      <c r="I1594" s="11">
        <v>7.6</v>
      </c>
    </row>
    <row r="1595" spans="1:9" x14ac:dyDescent="0.35">
      <c r="A1595" s="2" t="s">
        <v>199</v>
      </c>
      <c r="B1595" s="3">
        <v>44835</v>
      </c>
      <c r="C1595" s="2">
        <v>20</v>
      </c>
      <c r="D1595" s="2">
        <v>23965</v>
      </c>
      <c r="E1595" s="17">
        <v>49688.13</v>
      </c>
      <c r="F1595" s="11">
        <v>6.66</v>
      </c>
      <c r="G1595" s="9">
        <v>3657.5</v>
      </c>
      <c r="H1595" s="10">
        <v>0.4</v>
      </c>
      <c r="I1595" s="11">
        <v>6.7</v>
      </c>
    </row>
    <row r="1596" spans="1:9" x14ac:dyDescent="0.35">
      <c r="A1596" s="2" t="s">
        <v>199</v>
      </c>
      <c r="B1596" s="3">
        <v>44866</v>
      </c>
      <c r="C1596" s="2">
        <v>22</v>
      </c>
      <c r="D1596" s="2">
        <v>32512</v>
      </c>
      <c r="E1596" s="17">
        <v>71738.16</v>
      </c>
      <c r="F1596" s="11">
        <v>6.38</v>
      </c>
      <c r="G1596" s="9">
        <v>5291.6</v>
      </c>
      <c r="H1596" s="10">
        <v>0.36399999999999999</v>
      </c>
      <c r="I1596" s="11">
        <v>7.5</v>
      </c>
    </row>
    <row r="1597" spans="1:9" x14ac:dyDescent="0.35">
      <c r="A1597" s="2" t="s">
        <v>199</v>
      </c>
      <c r="B1597" s="3">
        <v>44896</v>
      </c>
      <c r="C1597" s="2">
        <v>21</v>
      </c>
      <c r="D1597" s="2">
        <v>29555</v>
      </c>
      <c r="E1597" s="17">
        <v>65176.5</v>
      </c>
      <c r="F1597" s="11">
        <v>6.44</v>
      </c>
      <c r="G1597" s="9">
        <v>4626.8999999999996</v>
      </c>
      <c r="H1597" s="10">
        <v>0.42899999999999999</v>
      </c>
      <c r="I1597" s="11">
        <v>7.4</v>
      </c>
    </row>
    <row r="1598" spans="1:9" x14ac:dyDescent="0.35">
      <c r="A1598" s="2" t="s">
        <v>199</v>
      </c>
      <c r="B1598" s="3">
        <v>44927</v>
      </c>
      <c r="C1598" s="2">
        <v>20</v>
      </c>
      <c r="D1598" s="2">
        <v>36994</v>
      </c>
      <c r="E1598" s="17">
        <v>72210.759999999995</v>
      </c>
      <c r="F1598" s="11">
        <v>6.36</v>
      </c>
      <c r="G1598" s="9">
        <v>5785</v>
      </c>
      <c r="H1598" s="10">
        <v>0.3</v>
      </c>
      <c r="I1598" s="11">
        <v>6.4</v>
      </c>
    </row>
    <row r="1599" spans="1:9" x14ac:dyDescent="0.35">
      <c r="A1599" s="2" t="s">
        <v>199</v>
      </c>
      <c r="B1599" s="3">
        <v>44958</v>
      </c>
      <c r="C1599" s="2">
        <v>16</v>
      </c>
      <c r="D1599" s="2">
        <v>24595</v>
      </c>
      <c r="E1599" s="17">
        <v>53768.85</v>
      </c>
      <c r="F1599" s="11">
        <v>6.35</v>
      </c>
      <c r="G1599" s="9">
        <v>3899</v>
      </c>
      <c r="H1599" s="10">
        <v>0.375</v>
      </c>
      <c r="I1599" s="11">
        <v>6.1</v>
      </c>
    </row>
    <row r="1600" spans="1:9" x14ac:dyDescent="0.35">
      <c r="A1600" s="2" t="s">
        <v>199</v>
      </c>
      <c r="B1600" s="3">
        <v>44986</v>
      </c>
      <c r="C1600" s="2">
        <v>18</v>
      </c>
      <c r="D1600" s="2">
        <v>23729</v>
      </c>
      <c r="E1600" s="17">
        <v>51264.69</v>
      </c>
      <c r="F1600" s="11">
        <v>6.49</v>
      </c>
      <c r="G1600" s="9">
        <v>3641.6</v>
      </c>
      <c r="H1600" s="10">
        <v>0.5</v>
      </c>
      <c r="I1600" s="11">
        <v>7.3</v>
      </c>
    </row>
    <row r="1601" spans="1:9" x14ac:dyDescent="0.35">
      <c r="A1601" s="2" t="s">
        <v>199</v>
      </c>
      <c r="B1601" s="3">
        <v>45017</v>
      </c>
      <c r="C1601" s="2">
        <v>18</v>
      </c>
      <c r="D1601" s="2">
        <v>25602</v>
      </c>
      <c r="E1601" s="17">
        <v>54325.39</v>
      </c>
      <c r="F1601" s="11">
        <v>6.47</v>
      </c>
      <c r="G1601" s="9">
        <v>3932</v>
      </c>
      <c r="H1601" s="10">
        <v>0.61099999999999999</v>
      </c>
      <c r="I1601" s="11">
        <v>7.2</v>
      </c>
    </row>
    <row r="1602" spans="1:9" x14ac:dyDescent="0.35">
      <c r="A1602" s="2" t="s">
        <v>199</v>
      </c>
      <c r="B1602" s="3">
        <v>45047</v>
      </c>
      <c r="C1602" s="2">
        <v>14</v>
      </c>
      <c r="D1602" s="2">
        <v>19690</v>
      </c>
      <c r="E1602" s="17">
        <v>41890.65</v>
      </c>
      <c r="F1602" s="11">
        <v>6.52</v>
      </c>
      <c r="G1602" s="9">
        <v>3058.5</v>
      </c>
      <c r="H1602" s="10">
        <v>0.5</v>
      </c>
      <c r="I1602" s="11">
        <v>6.7</v>
      </c>
    </row>
    <row r="1603" spans="1:9" x14ac:dyDescent="0.35">
      <c r="A1603" s="2" t="s">
        <v>199</v>
      </c>
      <c r="B1603" s="3">
        <v>45078</v>
      </c>
      <c r="C1603" s="2">
        <v>19</v>
      </c>
      <c r="D1603" s="2">
        <v>30179</v>
      </c>
      <c r="E1603" s="17">
        <v>63992.47</v>
      </c>
      <c r="F1603" s="11">
        <v>6.41</v>
      </c>
      <c r="G1603" s="9">
        <v>4758.3</v>
      </c>
      <c r="H1603" s="10">
        <v>0.316</v>
      </c>
      <c r="I1603" s="11">
        <v>7</v>
      </c>
    </row>
    <row r="1604" spans="1:9" x14ac:dyDescent="0.35">
      <c r="A1604" s="2" t="s">
        <v>199</v>
      </c>
      <c r="B1604" s="3">
        <v>45108</v>
      </c>
      <c r="C1604" s="2">
        <v>23</v>
      </c>
      <c r="D1604" s="2">
        <v>37776</v>
      </c>
      <c r="E1604" s="17">
        <v>87726.21</v>
      </c>
      <c r="F1604" s="11">
        <v>6.44</v>
      </c>
      <c r="G1604" s="9">
        <v>5925.6</v>
      </c>
      <c r="H1604" s="10">
        <v>0.56499999999999995</v>
      </c>
      <c r="I1604" s="11">
        <v>7.5</v>
      </c>
    </row>
    <row r="1605" spans="1:9" x14ac:dyDescent="0.35">
      <c r="A1605" s="2" t="s">
        <v>199</v>
      </c>
      <c r="B1605" s="3">
        <v>45139</v>
      </c>
      <c r="C1605" s="2">
        <v>26</v>
      </c>
      <c r="D1605" s="2">
        <v>34453</v>
      </c>
      <c r="E1605" s="17">
        <v>74581.38</v>
      </c>
      <c r="F1605" s="11">
        <v>6.38</v>
      </c>
      <c r="G1605" s="9">
        <v>5400.8</v>
      </c>
      <c r="H1605" s="10">
        <v>0.5</v>
      </c>
      <c r="I1605" s="11">
        <v>7.2</v>
      </c>
    </row>
    <row r="1606" spans="1:9" x14ac:dyDescent="0.35">
      <c r="A1606" s="2" t="s">
        <v>199</v>
      </c>
      <c r="B1606" s="3">
        <v>45170</v>
      </c>
      <c r="C1606" s="2">
        <v>18</v>
      </c>
      <c r="D1606" s="2">
        <v>18915</v>
      </c>
      <c r="E1606" s="17">
        <v>41852.910000000003</v>
      </c>
      <c r="F1606" s="11">
        <v>6.35</v>
      </c>
      <c r="G1606" s="9">
        <v>2976.6</v>
      </c>
      <c r="H1606" s="10">
        <v>0.27800000000000002</v>
      </c>
      <c r="I1606" s="11">
        <v>6.3</v>
      </c>
    </row>
    <row r="1607" spans="1:9" x14ac:dyDescent="0.35">
      <c r="A1607" s="2" t="s">
        <v>199</v>
      </c>
      <c r="B1607" s="3">
        <v>45200</v>
      </c>
      <c r="C1607" s="2">
        <v>15</v>
      </c>
      <c r="D1607" s="2">
        <v>21753</v>
      </c>
      <c r="E1607" s="17">
        <v>51346.67</v>
      </c>
      <c r="F1607" s="11">
        <v>6.68</v>
      </c>
      <c r="G1607" s="9">
        <v>3273.9</v>
      </c>
      <c r="H1607" s="10">
        <v>0.6</v>
      </c>
      <c r="I1607" s="11">
        <v>6.7</v>
      </c>
    </row>
    <row r="1608" spans="1:9" x14ac:dyDescent="0.35">
      <c r="A1608" s="2" t="s">
        <v>199</v>
      </c>
      <c r="B1608" s="3">
        <v>45231</v>
      </c>
      <c r="C1608" s="2">
        <v>22</v>
      </c>
      <c r="D1608" s="2">
        <v>28493</v>
      </c>
      <c r="E1608" s="17">
        <v>64647.79</v>
      </c>
      <c r="F1608" s="11">
        <v>6.63</v>
      </c>
      <c r="G1608" s="9">
        <v>4382.8</v>
      </c>
      <c r="H1608" s="10">
        <v>0.63600000000000001</v>
      </c>
      <c r="I1608" s="11">
        <v>8</v>
      </c>
    </row>
    <row r="1609" spans="1:9" x14ac:dyDescent="0.35">
      <c r="A1609" s="2" t="s">
        <v>199</v>
      </c>
      <c r="B1609" s="3">
        <v>45261</v>
      </c>
      <c r="C1609" s="2">
        <v>19</v>
      </c>
      <c r="D1609" s="2">
        <v>24049</v>
      </c>
      <c r="E1609" s="17">
        <v>50645.71</v>
      </c>
      <c r="F1609" s="11">
        <v>6.47</v>
      </c>
      <c r="G1609" s="9">
        <v>3834.1</v>
      </c>
      <c r="H1609" s="10">
        <v>0.42099999999999999</v>
      </c>
      <c r="I1609" s="11">
        <v>7.6</v>
      </c>
    </row>
    <row r="1610" spans="1:9" x14ac:dyDescent="0.35">
      <c r="A1610" s="2" t="s">
        <v>199</v>
      </c>
      <c r="B1610" s="3">
        <v>45292</v>
      </c>
      <c r="C1610" s="2">
        <v>23</v>
      </c>
      <c r="D1610" s="2">
        <v>38168</v>
      </c>
      <c r="E1610" s="17">
        <v>82684.600000000006</v>
      </c>
      <c r="F1610" s="11">
        <v>6.5</v>
      </c>
      <c r="G1610" s="9">
        <v>5977.8</v>
      </c>
      <c r="H1610" s="10">
        <v>0.52200000000000002</v>
      </c>
      <c r="I1610" s="11">
        <v>6.7</v>
      </c>
    </row>
    <row r="1611" spans="1:9" x14ac:dyDescent="0.35">
      <c r="A1611" s="2" t="s">
        <v>199</v>
      </c>
      <c r="B1611" s="3">
        <v>45323</v>
      </c>
      <c r="C1611" s="2">
        <v>25</v>
      </c>
      <c r="D1611" s="2">
        <v>39343</v>
      </c>
      <c r="E1611" s="17">
        <v>87960.13</v>
      </c>
      <c r="F1611" s="11">
        <v>6.39</v>
      </c>
      <c r="G1611" s="9">
        <v>6212.5</v>
      </c>
      <c r="H1611" s="10">
        <v>0.48</v>
      </c>
      <c r="I1611" s="11">
        <v>6.6</v>
      </c>
    </row>
    <row r="1612" spans="1:9" x14ac:dyDescent="0.35">
      <c r="A1612" s="2" t="s">
        <v>199</v>
      </c>
      <c r="B1612" s="3">
        <v>45352</v>
      </c>
      <c r="C1612" s="2">
        <v>15</v>
      </c>
      <c r="D1612" s="2">
        <v>19926</v>
      </c>
      <c r="E1612" s="17">
        <v>42286.42</v>
      </c>
      <c r="F1612" s="11">
        <v>6.54</v>
      </c>
      <c r="G1612" s="9">
        <v>3034.2</v>
      </c>
      <c r="H1612" s="10">
        <v>0.26700000000000002</v>
      </c>
      <c r="I1612" s="11">
        <v>6.2</v>
      </c>
    </row>
    <row r="1613" spans="1:9" x14ac:dyDescent="0.35">
      <c r="A1613" s="2" t="s">
        <v>199</v>
      </c>
      <c r="B1613" s="3">
        <v>45383</v>
      </c>
      <c r="C1613" s="2">
        <v>23</v>
      </c>
      <c r="D1613" s="2">
        <v>37473</v>
      </c>
      <c r="E1613" s="17">
        <v>80979.460000000006</v>
      </c>
      <c r="F1613" s="11">
        <v>6.4</v>
      </c>
      <c r="G1613" s="9">
        <v>5833.4</v>
      </c>
      <c r="H1613" s="10">
        <v>0.60899999999999999</v>
      </c>
      <c r="I1613" s="11">
        <v>6.8</v>
      </c>
    </row>
    <row r="1614" spans="1:9" x14ac:dyDescent="0.35">
      <c r="A1614" s="2" t="s">
        <v>199</v>
      </c>
      <c r="B1614" s="3">
        <v>45413</v>
      </c>
      <c r="C1614" s="2">
        <v>21</v>
      </c>
      <c r="D1614" s="2">
        <v>26080</v>
      </c>
      <c r="E1614" s="17">
        <v>53256.92</v>
      </c>
      <c r="F1614" s="11">
        <v>6.75</v>
      </c>
      <c r="G1614" s="9">
        <v>3936.9</v>
      </c>
      <c r="H1614" s="10">
        <v>0.42899999999999999</v>
      </c>
      <c r="I1614" s="11">
        <v>7</v>
      </c>
    </row>
    <row r="1615" spans="1:9" x14ac:dyDescent="0.35">
      <c r="A1615" s="2" t="s">
        <v>199</v>
      </c>
      <c r="B1615" s="3">
        <v>45444</v>
      </c>
      <c r="C1615" s="2">
        <v>11</v>
      </c>
      <c r="D1615" s="2">
        <v>15897</v>
      </c>
      <c r="E1615" s="17">
        <v>33379.160000000003</v>
      </c>
      <c r="F1615" s="11">
        <v>6.59</v>
      </c>
      <c r="G1615" s="9">
        <v>2460.5</v>
      </c>
      <c r="H1615" s="10">
        <v>0.45500000000000002</v>
      </c>
      <c r="I1615" s="11">
        <v>7.6</v>
      </c>
    </row>
    <row r="1616" spans="1:9" x14ac:dyDescent="0.35">
      <c r="A1616" s="2" t="s">
        <v>199</v>
      </c>
      <c r="B1616" s="3">
        <v>45474</v>
      </c>
      <c r="C1616" s="2">
        <v>17</v>
      </c>
      <c r="D1616" s="2">
        <v>27171</v>
      </c>
      <c r="E1616" s="17">
        <v>55068.160000000003</v>
      </c>
      <c r="F1616" s="11">
        <v>6.52</v>
      </c>
      <c r="G1616" s="9">
        <v>4164.1000000000004</v>
      </c>
      <c r="H1616" s="10">
        <v>0.29399999999999998</v>
      </c>
      <c r="I1616" s="11">
        <v>7</v>
      </c>
    </row>
    <row r="1617" spans="1:9" x14ac:dyDescent="0.35">
      <c r="A1617" s="2" t="s">
        <v>199</v>
      </c>
      <c r="B1617" s="3">
        <v>45505</v>
      </c>
      <c r="C1617" s="2">
        <v>16</v>
      </c>
      <c r="D1617" s="2">
        <v>25960</v>
      </c>
      <c r="E1617" s="17">
        <v>53098.73</v>
      </c>
      <c r="F1617" s="11">
        <v>6.48</v>
      </c>
      <c r="G1617" s="9">
        <v>4030</v>
      </c>
      <c r="H1617" s="10">
        <v>0.438</v>
      </c>
      <c r="I1617" s="11">
        <v>5.7</v>
      </c>
    </row>
    <row r="1618" spans="1:9" x14ac:dyDescent="0.35">
      <c r="A1618" s="2" t="s">
        <v>199</v>
      </c>
      <c r="B1618" s="3">
        <v>45536</v>
      </c>
      <c r="C1618" s="2">
        <v>12</v>
      </c>
      <c r="D1618" s="2">
        <v>18786</v>
      </c>
      <c r="E1618" s="17">
        <v>38313.550000000003</v>
      </c>
      <c r="F1618" s="11">
        <v>6.77</v>
      </c>
      <c r="G1618" s="9">
        <v>2764.1</v>
      </c>
      <c r="H1618" s="10">
        <v>0.5</v>
      </c>
      <c r="I1618" s="11">
        <v>8.1</v>
      </c>
    </row>
    <row r="1619" spans="1:9" x14ac:dyDescent="0.35">
      <c r="A1619" s="2" t="s">
        <v>199</v>
      </c>
      <c r="B1619" s="3">
        <v>45566</v>
      </c>
      <c r="C1619" s="2">
        <v>25</v>
      </c>
      <c r="D1619" s="2">
        <v>38861</v>
      </c>
      <c r="E1619" s="17">
        <v>73538.27</v>
      </c>
      <c r="F1619" s="11">
        <v>6.54</v>
      </c>
      <c r="G1619" s="9">
        <v>5806</v>
      </c>
      <c r="H1619" s="10">
        <v>0.56000000000000005</v>
      </c>
      <c r="I1619" s="11">
        <v>8.1999999999999993</v>
      </c>
    </row>
    <row r="1620" spans="1:9" x14ac:dyDescent="0.35">
      <c r="A1620" s="2" t="s">
        <v>199</v>
      </c>
      <c r="B1620" s="3">
        <v>45597</v>
      </c>
      <c r="C1620" s="2">
        <v>16</v>
      </c>
      <c r="D1620" s="2">
        <v>18308</v>
      </c>
      <c r="E1620" s="17">
        <v>37828.61</v>
      </c>
      <c r="F1620" s="11">
        <v>6.74</v>
      </c>
      <c r="G1620" s="9">
        <v>2770.3</v>
      </c>
      <c r="H1620" s="10">
        <v>0.188</v>
      </c>
      <c r="I1620" s="11">
        <v>7.9</v>
      </c>
    </row>
    <row r="1621" spans="1:9" x14ac:dyDescent="0.35">
      <c r="A1621" s="2" t="s">
        <v>199</v>
      </c>
      <c r="B1621" s="3">
        <v>45627</v>
      </c>
      <c r="C1621" s="2">
        <v>16</v>
      </c>
      <c r="D1621" s="2">
        <v>20829</v>
      </c>
      <c r="E1621" s="17">
        <v>46095.43</v>
      </c>
      <c r="F1621" s="11">
        <v>6.56</v>
      </c>
      <c r="G1621" s="9">
        <v>3209</v>
      </c>
      <c r="H1621" s="10">
        <v>0.5</v>
      </c>
      <c r="I1621" s="11">
        <v>7.7</v>
      </c>
    </row>
    <row r="1622" spans="1:9" x14ac:dyDescent="0.35">
      <c r="A1622" s="2" t="s">
        <v>201</v>
      </c>
      <c r="B1622" s="3">
        <v>44562</v>
      </c>
      <c r="C1622" s="2">
        <v>20</v>
      </c>
      <c r="D1622" s="2">
        <v>33872</v>
      </c>
      <c r="E1622" s="17">
        <v>72225.649999999994</v>
      </c>
      <c r="F1622" s="11">
        <v>6.48</v>
      </c>
      <c r="G1622" s="9">
        <v>5285.7</v>
      </c>
      <c r="H1622" s="10">
        <v>0.35</v>
      </c>
      <c r="I1622" s="11">
        <v>7.7</v>
      </c>
    </row>
    <row r="1623" spans="1:9" x14ac:dyDescent="0.35">
      <c r="A1623" s="2" t="s">
        <v>201</v>
      </c>
      <c r="B1623" s="3">
        <v>44593</v>
      </c>
      <c r="C1623" s="2">
        <v>22</v>
      </c>
      <c r="D1623" s="2">
        <v>31118</v>
      </c>
      <c r="E1623" s="17">
        <v>72425.11</v>
      </c>
      <c r="F1623" s="11">
        <v>6.63</v>
      </c>
      <c r="G1623" s="9">
        <v>4645.6000000000004</v>
      </c>
      <c r="H1623" s="10">
        <v>0.5</v>
      </c>
      <c r="I1623" s="11">
        <v>7.4</v>
      </c>
    </row>
    <row r="1624" spans="1:9" x14ac:dyDescent="0.35">
      <c r="A1624" s="2" t="s">
        <v>201</v>
      </c>
      <c r="B1624" s="3">
        <v>44621</v>
      </c>
      <c r="C1624" s="2">
        <v>16</v>
      </c>
      <c r="D1624" s="2">
        <v>21941</v>
      </c>
      <c r="E1624" s="17">
        <v>47776.62</v>
      </c>
      <c r="F1624" s="11">
        <v>6.35</v>
      </c>
      <c r="G1624" s="9">
        <v>3556.5</v>
      </c>
      <c r="H1624" s="10">
        <v>0.375</v>
      </c>
      <c r="I1624" s="11">
        <v>6.9</v>
      </c>
    </row>
    <row r="1625" spans="1:9" x14ac:dyDescent="0.35">
      <c r="A1625" s="2" t="s">
        <v>201</v>
      </c>
      <c r="B1625" s="3">
        <v>44652</v>
      </c>
      <c r="C1625" s="2">
        <v>19</v>
      </c>
      <c r="D1625" s="2">
        <v>37291</v>
      </c>
      <c r="E1625" s="17">
        <v>87010.08</v>
      </c>
      <c r="F1625" s="11">
        <v>6.52</v>
      </c>
      <c r="G1625" s="9">
        <v>5824.2</v>
      </c>
      <c r="H1625" s="10">
        <v>0.47399999999999998</v>
      </c>
      <c r="I1625" s="11">
        <v>7.1</v>
      </c>
    </row>
    <row r="1626" spans="1:9" x14ac:dyDescent="0.35">
      <c r="A1626" s="2" t="s">
        <v>201</v>
      </c>
      <c r="B1626" s="3">
        <v>44682</v>
      </c>
      <c r="C1626" s="2">
        <v>22</v>
      </c>
      <c r="D1626" s="2">
        <v>35085</v>
      </c>
      <c r="E1626" s="17">
        <v>78699.64</v>
      </c>
      <c r="F1626" s="11">
        <v>6.68</v>
      </c>
      <c r="G1626" s="9">
        <v>5252.8</v>
      </c>
      <c r="H1626" s="10">
        <v>0.54500000000000004</v>
      </c>
      <c r="I1626" s="11">
        <v>7</v>
      </c>
    </row>
    <row r="1627" spans="1:9" x14ac:dyDescent="0.35">
      <c r="A1627" s="2" t="s">
        <v>201</v>
      </c>
      <c r="B1627" s="3">
        <v>44713</v>
      </c>
      <c r="C1627" s="2">
        <v>22</v>
      </c>
      <c r="D1627" s="2">
        <v>33850</v>
      </c>
      <c r="E1627" s="17">
        <v>73417.38</v>
      </c>
      <c r="F1627" s="11">
        <v>6.4</v>
      </c>
      <c r="G1627" s="9">
        <v>5430</v>
      </c>
      <c r="H1627" s="10">
        <v>0.45500000000000002</v>
      </c>
      <c r="I1627" s="11">
        <v>7.2</v>
      </c>
    </row>
    <row r="1628" spans="1:9" x14ac:dyDescent="0.35">
      <c r="A1628" s="2" t="s">
        <v>201</v>
      </c>
      <c r="B1628" s="3">
        <v>44743</v>
      </c>
      <c r="C1628" s="2">
        <v>13</v>
      </c>
      <c r="D1628" s="2">
        <v>18353</v>
      </c>
      <c r="E1628" s="17">
        <v>39638.629999999997</v>
      </c>
      <c r="F1628" s="11">
        <v>6.4</v>
      </c>
      <c r="G1628" s="9">
        <v>2852.4</v>
      </c>
      <c r="H1628" s="10">
        <v>0.308</v>
      </c>
      <c r="I1628" s="11">
        <v>7.9</v>
      </c>
    </row>
    <row r="1629" spans="1:9" x14ac:dyDescent="0.35">
      <c r="A1629" s="2" t="s">
        <v>201</v>
      </c>
      <c r="B1629" s="3">
        <v>44774</v>
      </c>
      <c r="C1629" s="2">
        <v>21</v>
      </c>
      <c r="D1629" s="2">
        <v>28940</v>
      </c>
      <c r="E1629" s="17">
        <v>63726.96</v>
      </c>
      <c r="F1629" s="11">
        <v>6.58</v>
      </c>
      <c r="G1629" s="9">
        <v>4523.5</v>
      </c>
      <c r="H1629" s="10">
        <v>0.33300000000000002</v>
      </c>
      <c r="I1629" s="11">
        <v>7</v>
      </c>
    </row>
    <row r="1630" spans="1:9" x14ac:dyDescent="0.35">
      <c r="A1630" s="2" t="s">
        <v>201</v>
      </c>
      <c r="B1630" s="3">
        <v>44805</v>
      </c>
      <c r="C1630" s="2">
        <v>23</v>
      </c>
      <c r="D1630" s="2">
        <v>30909</v>
      </c>
      <c r="E1630" s="17">
        <v>68755.820000000007</v>
      </c>
      <c r="F1630" s="11">
        <v>6.6</v>
      </c>
      <c r="G1630" s="9">
        <v>4756.8999999999996</v>
      </c>
      <c r="H1630" s="10">
        <v>0.435</v>
      </c>
      <c r="I1630" s="11">
        <v>7.4</v>
      </c>
    </row>
    <row r="1631" spans="1:9" x14ac:dyDescent="0.35">
      <c r="A1631" s="2" t="s">
        <v>201</v>
      </c>
      <c r="B1631" s="3">
        <v>44835</v>
      </c>
      <c r="C1631" s="2">
        <v>22</v>
      </c>
      <c r="D1631" s="2">
        <v>36472</v>
      </c>
      <c r="E1631" s="17">
        <v>77172.289999999994</v>
      </c>
      <c r="F1631" s="11">
        <v>6.41</v>
      </c>
      <c r="G1631" s="9">
        <v>5677.4</v>
      </c>
      <c r="H1631" s="10">
        <v>0.45500000000000002</v>
      </c>
      <c r="I1631" s="11">
        <v>7.5</v>
      </c>
    </row>
    <row r="1632" spans="1:9" x14ac:dyDescent="0.35">
      <c r="A1632" s="2" t="s">
        <v>201</v>
      </c>
      <c r="B1632" s="3">
        <v>44866</v>
      </c>
      <c r="C1632" s="2">
        <v>17</v>
      </c>
      <c r="D1632" s="2">
        <v>22982</v>
      </c>
      <c r="E1632" s="17">
        <v>49405.56</v>
      </c>
      <c r="F1632" s="11">
        <v>6.28</v>
      </c>
      <c r="G1632" s="9">
        <v>3638</v>
      </c>
      <c r="H1632" s="10">
        <v>0.52900000000000003</v>
      </c>
      <c r="I1632" s="11">
        <v>7.3</v>
      </c>
    </row>
    <row r="1633" spans="1:9" x14ac:dyDescent="0.35">
      <c r="A1633" s="2" t="s">
        <v>201</v>
      </c>
      <c r="B1633" s="3">
        <v>44896</v>
      </c>
      <c r="C1633" s="2">
        <v>14</v>
      </c>
      <c r="D1633" s="2">
        <v>18823</v>
      </c>
      <c r="E1633" s="17">
        <v>44203.07</v>
      </c>
      <c r="F1633" s="11">
        <v>6.5</v>
      </c>
      <c r="G1633" s="9">
        <v>2909.6</v>
      </c>
      <c r="H1633" s="10">
        <v>0.64300000000000002</v>
      </c>
      <c r="I1633" s="11">
        <v>6.4</v>
      </c>
    </row>
    <row r="1634" spans="1:9" x14ac:dyDescent="0.35">
      <c r="A1634" s="2" t="s">
        <v>201</v>
      </c>
      <c r="B1634" s="3">
        <v>44927</v>
      </c>
      <c r="C1634" s="2">
        <v>27</v>
      </c>
      <c r="D1634" s="2">
        <v>35068</v>
      </c>
      <c r="E1634" s="17">
        <v>81671.11</v>
      </c>
      <c r="F1634" s="11">
        <v>6.44</v>
      </c>
      <c r="G1634" s="9">
        <v>5574.5</v>
      </c>
      <c r="H1634" s="10">
        <v>0.63</v>
      </c>
      <c r="I1634" s="11">
        <v>7.7</v>
      </c>
    </row>
    <row r="1635" spans="1:9" x14ac:dyDescent="0.35">
      <c r="A1635" s="2" t="s">
        <v>201</v>
      </c>
      <c r="B1635" s="3">
        <v>44958</v>
      </c>
      <c r="C1635" s="2">
        <v>19</v>
      </c>
      <c r="D1635" s="2">
        <v>32952</v>
      </c>
      <c r="E1635" s="17">
        <v>69971.360000000001</v>
      </c>
      <c r="F1635" s="11">
        <v>6.42</v>
      </c>
      <c r="G1635" s="9">
        <v>5203.7</v>
      </c>
      <c r="H1635" s="10">
        <v>0.316</v>
      </c>
      <c r="I1635" s="11">
        <v>8.3000000000000007</v>
      </c>
    </row>
    <row r="1636" spans="1:9" x14ac:dyDescent="0.35">
      <c r="A1636" s="2" t="s">
        <v>201</v>
      </c>
      <c r="B1636" s="3">
        <v>44986</v>
      </c>
      <c r="C1636" s="2">
        <v>17</v>
      </c>
      <c r="D1636" s="2">
        <v>25387</v>
      </c>
      <c r="E1636" s="17">
        <v>58300.91</v>
      </c>
      <c r="F1636" s="11">
        <v>6.4</v>
      </c>
      <c r="G1636" s="9">
        <v>3965.1</v>
      </c>
      <c r="H1636" s="10">
        <v>0.47099999999999997</v>
      </c>
      <c r="I1636" s="11">
        <v>6.9</v>
      </c>
    </row>
    <row r="1637" spans="1:9" x14ac:dyDescent="0.35">
      <c r="A1637" s="2" t="s">
        <v>201</v>
      </c>
      <c r="B1637" s="3">
        <v>45017</v>
      </c>
      <c r="C1637" s="2">
        <v>16</v>
      </c>
      <c r="D1637" s="2">
        <v>21038</v>
      </c>
      <c r="E1637" s="17">
        <v>40157.15</v>
      </c>
      <c r="F1637" s="11">
        <v>6.64</v>
      </c>
      <c r="G1637" s="9">
        <v>3145.6</v>
      </c>
      <c r="H1637" s="10">
        <v>0.25</v>
      </c>
      <c r="I1637" s="11">
        <v>7.2</v>
      </c>
    </row>
    <row r="1638" spans="1:9" x14ac:dyDescent="0.35">
      <c r="A1638" s="2" t="s">
        <v>201</v>
      </c>
      <c r="B1638" s="3">
        <v>45047</v>
      </c>
      <c r="C1638" s="2">
        <v>13</v>
      </c>
      <c r="D1638" s="2">
        <v>16384</v>
      </c>
      <c r="E1638" s="17">
        <v>32558.91</v>
      </c>
      <c r="F1638" s="11">
        <v>6.71</v>
      </c>
      <c r="G1638" s="9">
        <v>2465.4</v>
      </c>
      <c r="H1638" s="10">
        <v>0.53800000000000003</v>
      </c>
      <c r="I1638" s="11">
        <v>7.6</v>
      </c>
    </row>
    <row r="1639" spans="1:9" x14ac:dyDescent="0.35">
      <c r="A1639" s="2" t="s">
        <v>201</v>
      </c>
      <c r="B1639" s="3">
        <v>45078</v>
      </c>
      <c r="C1639" s="2">
        <v>21</v>
      </c>
      <c r="D1639" s="2">
        <v>32936</v>
      </c>
      <c r="E1639" s="17">
        <v>77490.91</v>
      </c>
      <c r="F1639" s="11">
        <v>6.51</v>
      </c>
      <c r="G1639" s="9">
        <v>5084.8999999999996</v>
      </c>
      <c r="H1639" s="10">
        <v>0.47599999999999998</v>
      </c>
      <c r="I1639" s="11">
        <v>6.3</v>
      </c>
    </row>
    <row r="1640" spans="1:9" x14ac:dyDescent="0.35">
      <c r="A1640" s="2" t="s">
        <v>201</v>
      </c>
      <c r="B1640" s="3">
        <v>45108</v>
      </c>
      <c r="C1640" s="2">
        <v>15</v>
      </c>
      <c r="D1640" s="2">
        <v>15942</v>
      </c>
      <c r="E1640" s="17">
        <v>36441.68</v>
      </c>
      <c r="F1640" s="11">
        <v>6.56</v>
      </c>
      <c r="G1640" s="9">
        <v>2498</v>
      </c>
      <c r="H1640" s="10">
        <v>0.53300000000000003</v>
      </c>
      <c r="I1640" s="11">
        <v>6.3</v>
      </c>
    </row>
    <row r="1641" spans="1:9" x14ac:dyDescent="0.35">
      <c r="A1641" s="2" t="s">
        <v>201</v>
      </c>
      <c r="B1641" s="3">
        <v>45139</v>
      </c>
      <c r="C1641" s="2">
        <v>25</v>
      </c>
      <c r="D1641" s="2">
        <v>41755</v>
      </c>
      <c r="E1641" s="17">
        <v>85408.81</v>
      </c>
      <c r="F1641" s="11">
        <v>6.44</v>
      </c>
      <c r="G1641" s="9">
        <v>6505.1</v>
      </c>
      <c r="H1641" s="10">
        <v>0.36</v>
      </c>
      <c r="I1641" s="11">
        <v>8.1</v>
      </c>
    </row>
    <row r="1642" spans="1:9" x14ac:dyDescent="0.35">
      <c r="A1642" s="2" t="s">
        <v>201</v>
      </c>
      <c r="B1642" s="3">
        <v>45170</v>
      </c>
      <c r="C1642" s="2">
        <v>17</v>
      </c>
      <c r="D1642" s="2">
        <v>25145</v>
      </c>
      <c r="E1642" s="17">
        <v>47931.12</v>
      </c>
      <c r="F1642" s="11">
        <v>6.45</v>
      </c>
      <c r="G1642" s="9">
        <v>3960.2</v>
      </c>
      <c r="H1642" s="10">
        <v>0.47099999999999997</v>
      </c>
      <c r="I1642" s="11">
        <v>8.6</v>
      </c>
    </row>
    <row r="1643" spans="1:9" x14ac:dyDescent="0.35">
      <c r="A1643" s="2" t="s">
        <v>201</v>
      </c>
      <c r="B1643" s="3">
        <v>45200</v>
      </c>
      <c r="C1643" s="2">
        <v>21</v>
      </c>
      <c r="D1643" s="2">
        <v>28656</v>
      </c>
      <c r="E1643" s="17">
        <v>52979.360000000001</v>
      </c>
      <c r="F1643" s="11">
        <v>6.33</v>
      </c>
      <c r="G1643" s="9">
        <v>4535.2</v>
      </c>
      <c r="H1643" s="10">
        <v>0.52400000000000002</v>
      </c>
      <c r="I1643" s="11">
        <v>6.5</v>
      </c>
    </row>
    <row r="1644" spans="1:9" x14ac:dyDescent="0.35">
      <c r="A1644" s="2" t="s">
        <v>201</v>
      </c>
      <c r="B1644" s="3">
        <v>45231</v>
      </c>
      <c r="C1644" s="2">
        <v>13</v>
      </c>
      <c r="D1644" s="2">
        <v>18030</v>
      </c>
      <c r="E1644" s="17">
        <v>39542.42</v>
      </c>
      <c r="F1644" s="11">
        <v>6.55</v>
      </c>
      <c r="G1644" s="9">
        <v>2788.3</v>
      </c>
      <c r="H1644" s="10">
        <v>0.46200000000000002</v>
      </c>
      <c r="I1644" s="11">
        <v>7.3</v>
      </c>
    </row>
    <row r="1645" spans="1:9" x14ac:dyDescent="0.35">
      <c r="A1645" s="2" t="s">
        <v>201</v>
      </c>
      <c r="B1645" s="3">
        <v>45261</v>
      </c>
      <c r="C1645" s="2">
        <v>10</v>
      </c>
      <c r="D1645" s="2">
        <v>13915</v>
      </c>
      <c r="E1645" s="17">
        <v>31586.76</v>
      </c>
      <c r="F1645" s="11">
        <v>6.28</v>
      </c>
      <c r="G1645" s="9">
        <v>2207</v>
      </c>
      <c r="H1645" s="10">
        <v>0.4</v>
      </c>
      <c r="I1645" s="11">
        <v>7.1</v>
      </c>
    </row>
    <row r="1646" spans="1:9" x14ac:dyDescent="0.35">
      <c r="A1646" s="2" t="s">
        <v>201</v>
      </c>
      <c r="B1646" s="3">
        <v>45292</v>
      </c>
      <c r="C1646" s="2">
        <v>23</v>
      </c>
      <c r="D1646" s="2">
        <v>29369</v>
      </c>
      <c r="E1646" s="17">
        <v>64112.14</v>
      </c>
      <c r="F1646" s="11">
        <v>6.47</v>
      </c>
      <c r="G1646" s="9">
        <v>4505.8</v>
      </c>
      <c r="H1646" s="10">
        <v>0.34799999999999998</v>
      </c>
      <c r="I1646" s="11">
        <v>6.9</v>
      </c>
    </row>
    <row r="1647" spans="1:9" x14ac:dyDescent="0.35">
      <c r="A1647" s="2" t="s">
        <v>201</v>
      </c>
      <c r="B1647" s="3">
        <v>45323</v>
      </c>
      <c r="C1647" s="2">
        <v>15</v>
      </c>
      <c r="D1647" s="2">
        <v>19233</v>
      </c>
      <c r="E1647" s="17">
        <v>37965.99</v>
      </c>
      <c r="F1647" s="11">
        <v>6.38</v>
      </c>
      <c r="G1647" s="9">
        <v>3036</v>
      </c>
      <c r="H1647" s="10">
        <v>0.4</v>
      </c>
      <c r="I1647" s="11">
        <v>7.5</v>
      </c>
    </row>
    <row r="1648" spans="1:9" x14ac:dyDescent="0.35">
      <c r="A1648" s="2" t="s">
        <v>201</v>
      </c>
      <c r="B1648" s="3">
        <v>45352</v>
      </c>
      <c r="C1648" s="2">
        <v>26</v>
      </c>
      <c r="D1648" s="2">
        <v>30870</v>
      </c>
      <c r="E1648" s="17">
        <v>72230.039999999994</v>
      </c>
      <c r="F1648" s="11">
        <v>6.54</v>
      </c>
      <c r="G1648" s="9">
        <v>4704.7</v>
      </c>
      <c r="H1648" s="10">
        <v>0.53800000000000003</v>
      </c>
      <c r="I1648" s="11">
        <v>6.8</v>
      </c>
    </row>
    <row r="1649" spans="1:9" x14ac:dyDescent="0.35">
      <c r="A1649" s="2" t="s">
        <v>201</v>
      </c>
      <c r="B1649" s="3">
        <v>45383</v>
      </c>
      <c r="C1649" s="2">
        <v>15</v>
      </c>
      <c r="D1649" s="2">
        <v>18813</v>
      </c>
      <c r="E1649" s="17">
        <v>41333.410000000003</v>
      </c>
      <c r="F1649" s="11">
        <v>6.26</v>
      </c>
      <c r="G1649" s="9">
        <v>3112.5</v>
      </c>
      <c r="H1649" s="10">
        <v>0.4</v>
      </c>
      <c r="I1649" s="11">
        <v>7</v>
      </c>
    </row>
    <row r="1650" spans="1:9" x14ac:dyDescent="0.35">
      <c r="A1650" s="2" t="s">
        <v>201</v>
      </c>
      <c r="B1650" s="3">
        <v>45413</v>
      </c>
      <c r="C1650" s="2">
        <v>21</v>
      </c>
      <c r="D1650" s="2">
        <v>30846</v>
      </c>
      <c r="E1650" s="17">
        <v>73024.19</v>
      </c>
      <c r="F1650" s="11">
        <v>6.41</v>
      </c>
      <c r="G1650" s="9">
        <v>4796.6000000000004</v>
      </c>
      <c r="H1650" s="10">
        <v>0.42899999999999999</v>
      </c>
      <c r="I1650" s="11">
        <v>6.9</v>
      </c>
    </row>
    <row r="1651" spans="1:9" x14ac:dyDescent="0.35">
      <c r="A1651" s="2" t="s">
        <v>201</v>
      </c>
      <c r="B1651" s="3">
        <v>45444</v>
      </c>
      <c r="C1651" s="2">
        <v>18</v>
      </c>
      <c r="D1651" s="2">
        <v>26704</v>
      </c>
      <c r="E1651" s="17">
        <v>56206.77</v>
      </c>
      <c r="F1651" s="11">
        <v>6.67</v>
      </c>
      <c r="G1651" s="9">
        <v>4129.8999999999996</v>
      </c>
      <c r="H1651" s="10">
        <v>0.38900000000000001</v>
      </c>
      <c r="I1651" s="11">
        <v>7.3</v>
      </c>
    </row>
    <row r="1652" spans="1:9" x14ac:dyDescent="0.35">
      <c r="A1652" s="2" t="s">
        <v>201</v>
      </c>
      <c r="B1652" s="3">
        <v>45474</v>
      </c>
      <c r="C1652" s="2">
        <v>27</v>
      </c>
      <c r="D1652" s="2">
        <v>29075</v>
      </c>
      <c r="E1652" s="17">
        <v>65627.11</v>
      </c>
      <c r="F1652" s="11">
        <v>6.35</v>
      </c>
      <c r="G1652" s="9">
        <v>4708.8</v>
      </c>
      <c r="H1652" s="10">
        <v>0.40699999999999997</v>
      </c>
      <c r="I1652" s="11">
        <v>6.3</v>
      </c>
    </row>
    <row r="1653" spans="1:9" x14ac:dyDescent="0.35">
      <c r="A1653" s="2" t="s">
        <v>201</v>
      </c>
      <c r="B1653" s="3">
        <v>45505</v>
      </c>
      <c r="C1653" s="2">
        <v>20</v>
      </c>
      <c r="D1653" s="2">
        <v>31954</v>
      </c>
      <c r="E1653" s="17">
        <v>71671.25</v>
      </c>
      <c r="F1653" s="11">
        <v>6.57</v>
      </c>
      <c r="G1653" s="9">
        <v>4973.3</v>
      </c>
      <c r="H1653" s="10">
        <v>0.5</v>
      </c>
      <c r="I1653" s="11">
        <v>7.3</v>
      </c>
    </row>
    <row r="1654" spans="1:9" x14ac:dyDescent="0.35">
      <c r="A1654" s="2" t="s">
        <v>201</v>
      </c>
      <c r="B1654" s="3">
        <v>45536</v>
      </c>
      <c r="C1654" s="2">
        <v>20</v>
      </c>
      <c r="D1654" s="2">
        <v>27553</v>
      </c>
      <c r="E1654" s="17">
        <v>55743.39</v>
      </c>
      <c r="F1654" s="11">
        <v>6.2</v>
      </c>
      <c r="G1654" s="9">
        <v>4467.6000000000004</v>
      </c>
      <c r="H1654" s="10">
        <v>0.4</v>
      </c>
      <c r="I1654" s="11">
        <v>6.2</v>
      </c>
    </row>
    <row r="1655" spans="1:9" x14ac:dyDescent="0.35">
      <c r="A1655" s="2" t="s">
        <v>201</v>
      </c>
      <c r="B1655" s="3">
        <v>45566</v>
      </c>
      <c r="C1655" s="2">
        <v>20</v>
      </c>
      <c r="D1655" s="2">
        <v>20527</v>
      </c>
      <c r="E1655" s="17">
        <v>45090.45</v>
      </c>
      <c r="F1655" s="11">
        <v>6.56</v>
      </c>
      <c r="G1655" s="9">
        <v>3205.8</v>
      </c>
      <c r="H1655" s="10">
        <v>0.2</v>
      </c>
      <c r="I1655" s="11">
        <v>7.1</v>
      </c>
    </row>
    <row r="1656" spans="1:9" x14ac:dyDescent="0.35">
      <c r="A1656" s="2" t="s">
        <v>201</v>
      </c>
      <c r="B1656" s="3">
        <v>45597</v>
      </c>
      <c r="C1656" s="2">
        <v>24</v>
      </c>
      <c r="D1656" s="2">
        <v>32731</v>
      </c>
      <c r="E1656" s="17">
        <v>71098.98</v>
      </c>
      <c r="F1656" s="11">
        <v>6.52</v>
      </c>
      <c r="G1656" s="9">
        <v>5115.2</v>
      </c>
      <c r="H1656" s="10">
        <v>0.29199999999999998</v>
      </c>
      <c r="I1656" s="11">
        <v>7</v>
      </c>
    </row>
    <row r="1657" spans="1:9" x14ac:dyDescent="0.35">
      <c r="A1657" s="2" t="s">
        <v>201</v>
      </c>
      <c r="B1657" s="3">
        <v>45627</v>
      </c>
      <c r="C1657" s="2">
        <v>18</v>
      </c>
      <c r="D1657" s="2">
        <v>24636</v>
      </c>
      <c r="E1657" s="17">
        <v>54055.59</v>
      </c>
      <c r="F1657" s="11">
        <v>6.62</v>
      </c>
      <c r="G1657" s="9">
        <v>3775.3</v>
      </c>
      <c r="H1657" s="10">
        <v>0.33300000000000002</v>
      </c>
      <c r="I1657" s="11">
        <v>7.8</v>
      </c>
    </row>
    <row r="1658" spans="1:9" x14ac:dyDescent="0.35">
      <c r="A1658" s="2" t="s">
        <v>204</v>
      </c>
      <c r="B1658" s="3">
        <v>44562</v>
      </c>
      <c r="C1658" s="2">
        <v>16</v>
      </c>
      <c r="D1658" s="2">
        <v>23446</v>
      </c>
      <c r="E1658" s="17">
        <v>48801.46</v>
      </c>
      <c r="F1658" s="11">
        <v>6.78</v>
      </c>
      <c r="G1658" s="9">
        <v>3441.1</v>
      </c>
      <c r="H1658" s="10">
        <v>0.312</v>
      </c>
      <c r="I1658" s="11">
        <v>7</v>
      </c>
    </row>
    <row r="1659" spans="1:9" x14ac:dyDescent="0.35">
      <c r="A1659" s="2" t="s">
        <v>204</v>
      </c>
      <c r="B1659" s="3">
        <v>44593</v>
      </c>
      <c r="C1659" s="2">
        <v>15</v>
      </c>
      <c r="D1659" s="2">
        <v>28089</v>
      </c>
      <c r="E1659" s="17">
        <v>62730.35</v>
      </c>
      <c r="F1659" s="11">
        <v>6.58</v>
      </c>
      <c r="G1659" s="9">
        <v>4330.6000000000004</v>
      </c>
      <c r="H1659" s="10">
        <v>0.53300000000000003</v>
      </c>
      <c r="I1659" s="11">
        <v>7.6</v>
      </c>
    </row>
    <row r="1660" spans="1:9" x14ac:dyDescent="0.35">
      <c r="A1660" s="2" t="s">
        <v>204</v>
      </c>
      <c r="B1660" s="3">
        <v>44621</v>
      </c>
      <c r="C1660" s="2">
        <v>16</v>
      </c>
      <c r="D1660" s="2">
        <v>23158</v>
      </c>
      <c r="E1660" s="17">
        <v>48200.45</v>
      </c>
      <c r="F1660" s="11">
        <v>6.3</v>
      </c>
      <c r="G1660" s="9">
        <v>3636.2</v>
      </c>
      <c r="H1660" s="10">
        <v>0.56200000000000006</v>
      </c>
      <c r="I1660" s="11">
        <v>7.6</v>
      </c>
    </row>
    <row r="1661" spans="1:9" x14ac:dyDescent="0.35">
      <c r="A1661" s="2" t="s">
        <v>204</v>
      </c>
      <c r="B1661" s="3">
        <v>44652</v>
      </c>
      <c r="C1661" s="2">
        <v>16</v>
      </c>
      <c r="D1661" s="2">
        <v>22679</v>
      </c>
      <c r="E1661" s="17">
        <v>49158.22</v>
      </c>
      <c r="F1661" s="11">
        <v>6.78</v>
      </c>
      <c r="G1661" s="9">
        <v>3334.1</v>
      </c>
      <c r="H1661" s="10">
        <v>0.56200000000000006</v>
      </c>
      <c r="I1661" s="11">
        <v>6.2</v>
      </c>
    </row>
    <row r="1662" spans="1:9" x14ac:dyDescent="0.35">
      <c r="A1662" s="2" t="s">
        <v>204</v>
      </c>
      <c r="B1662" s="3">
        <v>44682</v>
      </c>
      <c r="C1662" s="2">
        <v>14</v>
      </c>
      <c r="D1662" s="2">
        <v>24121</v>
      </c>
      <c r="E1662" s="17">
        <v>54799.77</v>
      </c>
      <c r="F1662" s="11">
        <v>6.4</v>
      </c>
      <c r="G1662" s="9">
        <v>3770.7</v>
      </c>
      <c r="H1662" s="10">
        <v>0.5</v>
      </c>
      <c r="I1662" s="11">
        <v>6.2</v>
      </c>
    </row>
    <row r="1663" spans="1:9" x14ac:dyDescent="0.35">
      <c r="A1663" s="2" t="s">
        <v>204</v>
      </c>
      <c r="B1663" s="3">
        <v>44713</v>
      </c>
      <c r="C1663" s="2">
        <v>14</v>
      </c>
      <c r="D1663" s="2">
        <v>19001</v>
      </c>
      <c r="E1663" s="17">
        <v>42733.11</v>
      </c>
      <c r="F1663" s="11">
        <v>6.26</v>
      </c>
      <c r="G1663" s="9">
        <v>3005.5</v>
      </c>
      <c r="H1663" s="10">
        <v>0.5</v>
      </c>
      <c r="I1663" s="11">
        <v>7.8</v>
      </c>
    </row>
    <row r="1664" spans="1:9" x14ac:dyDescent="0.35">
      <c r="A1664" s="2" t="s">
        <v>204</v>
      </c>
      <c r="B1664" s="3">
        <v>44743</v>
      </c>
      <c r="C1664" s="2">
        <v>27</v>
      </c>
      <c r="D1664" s="2">
        <v>36023</v>
      </c>
      <c r="E1664" s="17">
        <v>78287.990000000005</v>
      </c>
      <c r="F1664" s="11">
        <v>6.33</v>
      </c>
      <c r="G1664" s="9">
        <v>5692.3</v>
      </c>
      <c r="H1664" s="10">
        <v>0.48099999999999998</v>
      </c>
      <c r="I1664" s="11">
        <v>6.5</v>
      </c>
    </row>
    <row r="1665" spans="1:9" x14ac:dyDescent="0.35">
      <c r="A1665" s="2" t="s">
        <v>204</v>
      </c>
      <c r="B1665" s="3">
        <v>44774</v>
      </c>
      <c r="C1665" s="2">
        <v>20</v>
      </c>
      <c r="D1665" s="2">
        <v>27552</v>
      </c>
      <c r="E1665" s="17">
        <v>61739.7</v>
      </c>
      <c r="F1665" s="11">
        <v>6.58</v>
      </c>
      <c r="G1665" s="9">
        <v>4219.8999999999996</v>
      </c>
      <c r="H1665" s="10">
        <v>0.55000000000000004</v>
      </c>
      <c r="I1665" s="11">
        <v>7</v>
      </c>
    </row>
    <row r="1666" spans="1:9" x14ac:dyDescent="0.35">
      <c r="A1666" s="2" t="s">
        <v>204</v>
      </c>
      <c r="B1666" s="3">
        <v>44805</v>
      </c>
      <c r="C1666" s="2">
        <v>14</v>
      </c>
      <c r="D1666" s="2">
        <v>18664</v>
      </c>
      <c r="E1666" s="17">
        <v>40835.19</v>
      </c>
      <c r="F1666" s="11">
        <v>6.55</v>
      </c>
      <c r="G1666" s="9">
        <v>2881.2</v>
      </c>
      <c r="H1666" s="10">
        <v>0.42899999999999999</v>
      </c>
      <c r="I1666" s="11">
        <v>6.8</v>
      </c>
    </row>
    <row r="1667" spans="1:9" x14ac:dyDescent="0.35">
      <c r="A1667" s="2" t="s">
        <v>204</v>
      </c>
      <c r="B1667" s="3">
        <v>44835</v>
      </c>
      <c r="C1667" s="2">
        <v>20</v>
      </c>
      <c r="D1667" s="2">
        <v>27521</v>
      </c>
      <c r="E1667" s="17">
        <v>60974.26</v>
      </c>
      <c r="F1667" s="11">
        <v>6.51</v>
      </c>
      <c r="G1667" s="9">
        <v>4291.6000000000004</v>
      </c>
      <c r="H1667" s="10">
        <v>0.5</v>
      </c>
      <c r="I1667" s="11">
        <v>6.9</v>
      </c>
    </row>
    <row r="1668" spans="1:9" x14ac:dyDescent="0.35">
      <c r="A1668" s="2" t="s">
        <v>204</v>
      </c>
      <c r="B1668" s="3">
        <v>44866</v>
      </c>
      <c r="C1668" s="2">
        <v>26</v>
      </c>
      <c r="D1668" s="2">
        <v>33671</v>
      </c>
      <c r="E1668" s="17">
        <v>69496.45</v>
      </c>
      <c r="F1668" s="11">
        <v>6.62</v>
      </c>
      <c r="G1668" s="9">
        <v>5176.2</v>
      </c>
      <c r="H1668" s="10">
        <v>0.42299999999999999</v>
      </c>
      <c r="I1668" s="11">
        <v>6.6</v>
      </c>
    </row>
    <row r="1669" spans="1:9" x14ac:dyDescent="0.35">
      <c r="A1669" s="2" t="s">
        <v>204</v>
      </c>
      <c r="B1669" s="3">
        <v>44896</v>
      </c>
      <c r="C1669" s="2">
        <v>14</v>
      </c>
      <c r="D1669" s="2">
        <v>18565</v>
      </c>
      <c r="E1669" s="17">
        <v>39164.54</v>
      </c>
      <c r="F1669" s="11">
        <v>6.72</v>
      </c>
      <c r="G1669" s="9">
        <v>2779.1</v>
      </c>
      <c r="H1669" s="10">
        <v>0.5</v>
      </c>
      <c r="I1669" s="11">
        <v>7.2</v>
      </c>
    </row>
    <row r="1670" spans="1:9" x14ac:dyDescent="0.35">
      <c r="A1670" s="2" t="s">
        <v>204</v>
      </c>
      <c r="B1670" s="3">
        <v>44927</v>
      </c>
      <c r="C1670" s="2">
        <v>14</v>
      </c>
      <c r="D1670" s="2">
        <v>20550</v>
      </c>
      <c r="E1670" s="17">
        <v>41028.120000000003</v>
      </c>
      <c r="F1670" s="11">
        <v>6.54</v>
      </c>
      <c r="G1670" s="9">
        <v>3219.8</v>
      </c>
      <c r="H1670" s="10">
        <v>0.42899999999999999</v>
      </c>
      <c r="I1670" s="11">
        <v>6.5</v>
      </c>
    </row>
    <row r="1671" spans="1:9" x14ac:dyDescent="0.35">
      <c r="A1671" s="2" t="s">
        <v>204</v>
      </c>
      <c r="B1671" s="3">
        <v>44958</v>
      </c>
      <c r="C1671" s="2">
        <v>21</v>
      </c>
      <c r="D1671" s="2">
        <v>29440</v>
      </c>
      <c r="E1671" s="17">
        <v>59713.31</v>
      </c>
      <c r="F1671" s="11">
        <v>6.71</v>
      </c>
      <c r="G1671" s="9">
        <v>4412.7</v>
      </c>
      <c r="H1671" s="10">
        <v>0.47599999999999998</v>
      </c>
      <c r="I1671" s="11">
        <v>7</v>
      </c>
    </row>
    <row r="1672" spans="1:9" x14ac:dyDescent="0.35">
      <c r="A1672" s="2" t="s">
        <v>204</v>
      </c>
      <c r="B1672" s="3">
        <v>44986</v>
      </c>
      <c r="C1672" s="2">
        <v>18</v>
      </c>
      <c r="D1672" s="2">
        <v>27464</v>
      </c>
      <c r="E1672" s="17">
        <v>53824.97</v>
      </c>
      <c r="F1672" s="11">
        <v>6.65</v>
      </c>
      <c r="G1672" s="9">
        <v>4272.8</v>
      </c>
      <c r="H1672" s="10">
        <v>0.38900000000000001</v>
      </c>
      <c r="I1672" s="11">
        <v>7.5</v>
      </c>
    </row>
    <row r="1673" spans="1:9" x14ac:dyDescent="0.35">
      <c r="A1673" s="2" t="s">
        <v>204</v>
      </c>
      <c r="B1673" s="3">
        <v>45017</v>
      </c>
      <c r="C1673" s="2">
        <v>15</v>
      </c>
      <c r="D1673" s="2">
        <v>19732</v>
      </c>
      <c r="E1673" s="17">
        <v>45747.72</v>
      </c>
      <c r="F1673" s="11">
        <v>6.41</v>
      </c>
      <c r="G1673" s="9">
        <v>3035.3</v>
      </c>
      <c r="H1673" s="10">
        <v>0.26700000000000002</v>
      </c>
      <c r="I1673" s="11">
        <v>6.8</v>
      </c>
    </row>
    <row r="1674" spans="1:9" x14ac:dyDescent="0.35">
      <c r="A1674" s="2" t="s">
        <v>204</v>
      </c>
      <c r="B1674" s="3">
        <v>45047</v>
      </c>
      <c r="C1674" s="2">
        <v>16</v>
      </c>
      <c r="D1674" s="2">
        <v>21585</v>
      </c>
      <c r="E1674" s="17">
        <v>49442.92</v>
      </c>
      <c r="F1674" s="11">
        <v>6.34</v>
      </c>
      <c r="G1674" s="9">
        <v>3386</v>
      </c>
      <c r="H1674" s="10">
        <v>0.375</v>
      </c>
      <c r="I1674" s="11">
        <v>5.8</v>
      </c>
    </row>
    <row r="1675" spans="1:9" x14ac:dyDescent="0.35">
      <c r="A1675" s="2" t="s">
        <v>204</v>
      </c>
      <c r="B1675" s="3">
        <v>45078</v>
      </c>
      <c r="C1675" s="2">
        <v>13</v>
      </c>
      <c r="D1675" s="2">
        <v>21163</v>
      </c>
      <c r="E1675" s="17">
        <v>50465.43</v>
      </c>
      <c r="F1675" s="11">
        <v>6.63</v>
      </c>
      <c r="G1675" s="9">
        <v>3256.6</v>
      </c>
      <c r="H1675" s="10">
        <v>0.46200000000000002</v>
      </c>
      <c r="I1675" s="11">
        <v>6.7</v>
      </c>
    </row>
    <row r="1676" spans="1:9" x14ac:dyDescent="0.35">
      <c r="A1676" s="2" t="s">
        <v>204</v>
      </c>
      <c r="B1676" s="3">
        <v>45108</v>
      </c>
      <c r="C1676" s="2">
        <v>17</v>
      </c>
      <c r="D1676" s="2">
        <v>25094</v>
      </c>
      <c r="E1676" s="17">
        <v>53040.2</v>
      </c>
      <c r="F1676" s="11">
        <v>6.76</v>
      </c>
      <c r="G1676" s="9">
        <v>3712.5</v>
      </c>
      <c r="H1676" s="10">
        <v>0.41199999999999998</v>
      </c>
      <c r="I1676" s="11">
        <v>6.9</v>
      </c>
    </row>
    <row r="1677" spans="1:9" x14ac:dyDescent="0.35">
      <c r="A1677" s="2" t="s">
        <v>204</v>
      </c>
      <c r="B1677" s="3">
        <v>45139</v>
      </c>
      <c r="C1677" s="2">
        <v>17</v>
      </c>
      <c r="D1677" s="2">
        <v>27861</v>
      </c>
      <c r="E1677" s="17">
        <v>65632.13</v>
      </c>
      <c r="F1677" s="11">
        <v>6.73</v>
      </c>
      <c r="G1677" s="9">
        <v>4194.1000000000004</v>
      </c>
      <c r="H1677" s="10">
        <v>0.41199999999999998</v>
      </c>
      <c r="I1677" s="11">
        <v>6.1</v>
      </c>
    </row>
    <row r="1678" spans="1:9" x14ac:dyDescent="0.35">
      <c r="A1678" s="2" t="s">
        <v>204</v>
      </c>
      <c r="B1678" s="3">
        <v>45170</v>
      </c>
      <c r="C1678" s="2">
        <v>23</v>
      </c>
      <c r="D1678" s="2">
        <v>32831</v>
      </c>
      <c r="E1678" s="17">
        <v>70257.119999999995</v>
      </c>
      <c r="F1678" s="11">
        <v>6.47</v>
      </c>
      <c r="G1678" s="9">
        <v>5076</v>
      </c>
      <c r="H1678" s="10">
        <v>0.52200000000000002</v>
      </c>
      <c r="I1678" s="11">
        <v>5.9</v>
      </c>
    </row>
    <row r="1679" spans="1:9" x14ac:dyDescent="0.35">
      <c r="A1679" s="2" t="s">
        <v>204</v>
      </c>
      <c r="B1679" s="3">
        <v>45200</v>
      </c>
      <c r="C1679" s="2">
        <v>18</v>
      </c>
      <c r="D1679" s="2">
        <v>27061</v>
      </c>
      <c r="E1679" s="17">
        <v>60243.33</v>
      </c>
      <c r="F1679" s="11">
        <v>6.52</v>
      </c>
      <c r="G1679" s="9">
        <v>4202.3999999999996</v>
      </c>
      <c r="H1679" s="10">
        <v>0.5</v>
      </c>
      <c r="I1679" s="11">
        <v>7.1</v>
      </c>
    </row>
    <row r="1680" spans="1:9" x14ac:dyDescent="0.35">
      <c r="A1680" s="2" t="s">
        <v>204</v>
      </c>
      <c r="B1680" s="3">
        <v>45231</v>
      </c>
      <c r="C1680" s="2">
        <v>15</v>
      </c>
      <c r="D1680" s="2">
        <v>17530</v>
      </c>
      <c r="E1680" s="17">
        <v>35806.61</v>
      </c>
      <c r="F1680" s="11">
        <v>6.78</v>
      </c>
      <c r="G1680" s="9">
        <v>2574.3000000000002</v>
      </c>
      <c r="H1680" s="10">
        <v>0.46700000000000003</v>
      </c>
      <c r="I1680" s="11">
        <v>6.4</v>
      </c>
    </row>
    <row r="1681" spans="1:9" x14ac:dyDescent="0.35">
      <c r="A1681" s="2" t="s">
        <v>204</v>
      </c>
      <c r="B1681" s="3">
        <v>45261</v>
      </c>
      <c r="C1681" s="2">
        <v>19</v>
      </c>
      <c r="D1681" s="2">
        <v>32343</v>
      </c>
      <c r="E1681" s="17">
        <v>73678.02</v>
      </c>
      <c r="F1681" s="11">
        <v>6.5</v>
      </c>
      <c r="G1681" s="9">
        <v>4979</v>
      </c>
      <c r="H1681" s="10">
        <v>0.316</v>
      </c>
      <c r="I1681" s="11">
        <v>7.2</v>
      </c>
    </row>
    <row r="1682" spans="1:9" x14ac:dyDescent="0.35">
      <c r="A1682" s="2" t="s">
        <v>204</v>
      </c>
      <c r="B1682" s="3">
        <v>45292</v>
      </c>
      <c r="C1682" s="2">
        <v>20</v>
      </c>
      <c r="D1682" s="2">
        <v>27284</v>
      </c>
      <c r="E1682" s="17">
        <v>53157.45</v>
      </c>
      <c r="F1682" s="11">
        <v>6.5</v>
      </c>
      <c r="G1682" s="9">
        <v>4304.2</v>
      </c>
      <c r="H1682" s="10">
        <v>0.6</v>
      </c>
      <c r="I1682" s="11">
        <v>7.8</v>
      </c>
    </row>
    <row r="1683" spans="1:9" x14ac:dyDescent="0.35">
      <c r="A1683" s="2" t="s">
        <v>204</v>
      </c>
      <c r="B1683" s="3">
        <v>45323</v>
      </c>
      <c r="C1683" s="2">
        <v>23</v>
      </c>
      <c r="D1683" s="2">
        <v>31781</v>
      </c>
      <c r="E1683" s="17">
        <v>71358.25</v>
      </c>
      <c r="F1683" s="11">
        <v>6.4</v>
      </c>
      <c r="G1683" s="9">
        <v>5007.3</v>
      </c>
      <c r="H1683" s="10">
        <v>0.30399999999999999</v>
      </c>
      <c r="I1683" s="11">
        <v>7.3</v>
      </c>
    </row>
    <row r="1684" spans="1:9" x14ac:dyDescent="0.35">
      <c r="A1684" s="2" t="s">
        <v>204</v>
      </c>
      <c r="B1684" s="3">
        <v>45352</v>
      </c>
      <c r="C1684" s="2">
        <v>15</v>
      </c>
      <c r="D1684" s="2">
        <v>26465</v>
      </c>
      <c r="E1684" s="17">
        <v>59219.08</v>
      </c>
      <c r="F1684" s="11">
        <v>6.72</v>
      </c>
      <c r="G1684" s="9">
        <v>4001</v>
      </c>
      <c r="H1684" s="10">
        <v>0.26700000000000002</v>
      </c>
      <c r="I1684" s="11">
        <v>7.4</v>
      </c>
    </row>
    <row r="1685" spans="1:9" x14ac:dyDescent="0.35">
      <c r="A1685" s="2" t="s">
        <v>204</v>
      </c>
      <c r="B1685" s="3">
        <v>45383</v>
      </c>
      <c r="C1685" s="2">
        <v>20</v>
      </c>
      <c r="D1685" s="2">
        <v>30487</v>
      </c>
      <c r="E1685" s="17">
        <v>62686.8</v>
      </c>
      <c r="F1685" s="11">
        <v>6.25</v>
      </c>
      <c r="G1685" s="9">
        <v>4870.8999999999996</v>
      </c>
      <c r="H1685" s="10">
        <v>0.45</v>
      </c>
      <c r="I1685" s="11">
        <v>7.4</v>
      </c>
    </row>
    <row r="1686" spans="1:9" x14ac:dyDescent="0.35">
      <c r="A1686" s="2" t="s">
        <v>204</v>
      </c>
      <c r="B1686" s="3">
        <v>45413</v>
      </c>
      <c r="C1686" s="2">
        <v>12</v>
      </c>
      <c r="D1686" s="2">
        <v>18451</v>
      </c>
      <c r="E1686" s="17">
        <v>36807.300000000003</v>
      </c>
      <c r="F1686" s="11">
        <v>6.74</v>
      </c>
      <c r="G1686" s="9">
        <v>2739</v>
      </c>
      <c r="H1686" s="10">
        <v>0.58299999999999996</v>
      </c>
      <c r="I1686" s="11">
        <v>7.1</v>
      </c>
    </row>
    <row r="1687" spans="1:9" x14ac:dyDescent="0.35">
      <c r="A1687" s="2" t="s">
        <v>204</v>
      </c>
      <c r="B1687" s="3">
        <v>45444</v>
      </c>
      <c r="C1687" s="2">
        <v>20</v>
      </c>
      <c r="D1687" s="2">
        <v>23372</v>
      </c>
      <c r="E1687" s="17">
        <v>51102.89</v>
      </c>
      <c r="F1687" s="11">
        <v>6.43</v>
      </c>
      <c r="G1687" s="9">
        <v>3607.3</v>
      </c>
      <c r="H1687" s="10">
        <v>0.5</v>
      </c>
      <c r="I1687" s="11">
        <v>7.3</v>
      </c>
    </row>
    <row r="1688" spans="1:9" x14ac:dyDescent="0.35">
      <c r="A1688" s="2" t="s">
        <v>204</v>
      </c>
      <c r="B1688" s="3">
        <v>45474</v>
      </c>
      <c r="C1688" s="2">
        <v>14</v>
      </c>
      <c r="D1688" s="2">
        <v>20360</v>
      </c>
      <c r="E1688" s="17">
        <v>45779.11</v>
      </c>
      <c r="F1688" s="11">
        <v>6.51</v>
      </c>
      <c r="G1688" s="9">
        <v>3141.4</v>
      </c>
      <c r="H1688" s="10">
        <v>0.42899999999999999</v>
      </c>
      <c r="I1688" s="11">
        <v>6.6</v>
      </c>
    </row>
    <row r="1689" spans="1:9" x14ac:dyDescent="0.35">
      <c r="A1689" s="2" t="s">
        <v>204</v>
      </c>
      <c r="B1689" s="3">
        <v>45505</v>
      </c>
      <c r="C1689" s="2">
        <v>13</v>
      </c>
      <c r="D1689" s="2">
        <v>16951</v>
      </c>
      <c r="E1689" s="17">
        <v>38641.379999999997</v>
      </c>
      <c r="F1689" s="11">
        <v>6.45</v>
      </c>
      <c r="G1689" s="9">
        <v>2641.3</v>
      </c>
      <c r="H1689" s="10">
        <v>0.53800000000000003</v>
      </c>
      <c r="I1689" s="11">
        <v>8.5</v>
      </c>
    </row>
    <row r="1690" spans="1:9" x14ac:dyDescent="0.35">
      <c r="A1690" s="2" t="s">
        <v>204</v>
      </c>
      <c r="B1690" s="3">
        <v>45536</v>
      </c>
      <c r="C1690" s="2">
        <v>17</v>
      </c>
      <c r="D1690" s="2">
        <v>23676</v>
      </c>
      <c r="E1690" s="17">
        <v>52114.33</v>
      </c>
      <c r="F1690" s="11">
        <v>6.4</v>
      </c>
      <c r="G1690" s="9">
        <v>3725.3</v>
      </c>
      <c r="H1690" s="10">
        <v>0.29399999999999998</v>
      </c>
      <c r="I1690" s="11">
        <v>7.4</v>
      </c>
    </row>
    <row r="1691" spans="1:9" x14ac:dyDescent="0.35">
      <c r="A1691" s="2" t="s">
        <v>204</v>
      </c>
      <c r="B1691" s="3">
        <v>45566</v>
      </c>
      <c r="C1691" s="2">
        <v>18</v>
      </c>
      <c r="D1691" s="2">
        <v>21999</v>
      </c>
      <c r="E1691" s="17">
        <v>47568.33</v>
      </c>
      <c r="F1691" s="11">
        <v>6.48</v>
      </c>
      <c r="G1691" s="9">
        <v>3465.3</v>
      </c>
      <c r="H1691" s="10">
        <v>0.5</v>
      </c>
      <c r="I1691" s="11">
        <v>6.7</v>
      </c>
    </row>
    <row r="1692" spans="1:9" x14ac:dyDescent="0.35">
      <c r="A1692" s="2" t="s">
        <v>204</v>
      </c>
      <c r="B1692" s="3">
        <v>45597</v>
      </c>
      <c r="C1692" s="2">
        <v>20</v>
      </c>
      <c r="D1692" s="2">
        <v>29566</v>
      </c>
      <c r="E1692" s="17">
        <v>66745.06</v>
      </c>
      <c r="F1692" s="11">
        <v>6.57</v>
      </c>
      <c r="G1692" s="9">
        <v>4509.8999999999996</v>
      </c>
      <c r="H1692" s="10">
        <v>0.7</v>
      </c>
      <c r="I1692" s="11">
        <v>7.2</v>
      </c>
    </row>
    <row r="1693" spans="1:9" x14ac:dyDescent="0.35">
      <c r="A1693" s="2" t="s">
        <v>204</v>
      </c>
      <c r="B1693" s="3">
        <v>45627</v>
      </c>
      <c r="C1693" s="2">
        <v>25</v>
      </c>
      <c r="D1693" s="2">
        <v>35838</v>
      </c>
      <c r="E1693" s="17">
        <v>83210.66</v>
      </c>
      <c r="F1693" s="11">
        <v>6.8</v>
      </c>
      <c r="G1693" s="9">
        <v>5330.1</v>
      </c>
      <c r="H1693" s="10">
        <v>0.48</v>
      </c>
      <c r="I1693" s="11">
        <v>5.6</v>
      </c>
    </row>
    <row r="1694" spans="1:9" x14ac:dyDescent="0.35">
      <c r="A1694" s="2" t="s">
        <v>207</v>
      </c>
      <c r="B1694" s="3">
        <v>44562</v>
      </c>
      <c r="C1694" s="2">
        <v>22</v>
      </c>
      <c r="D1694" s="2">
        <v>34371</v>
      </c>
      <c r="E1694" s="17">
        <v>73259.100000000006</v>
      </c>
      <c r="F1694" s="11">
        <v>6.39</v>
      </c>
      <c r="G1694" s="9">
        <v>5544.3</v>
      </c>
      <c r="H1694" s="10">
        <v>0.5</v>
      </c>
      <c r="I1694" s="11">
        <v>7.5</v>
      </c>
    </row>
    <row r="1695" spans="1:9" x14ac:dyDescent="0.35">
      <c r="A1695" s="2" t="s">
        <v>207</v>
      </c>
      <c r="B1695" s="3">
        <v>44593</v>
      </c>
      <c r="C1695" s="2">
        <v>24</v>
      </c>
      <c r="D1695" s="2">
        <v>37209</v>
      </c>
      <c r="E1695" s="17">
        <v>79848.59</v>
      </c>
      <c r="F1695" s="11">
        <v>6.31</v>
      </c>
      <c r="G1695" s="9">
        <v>5885.4</v>
      </c>
      <c r="H1695" s="10">
        <v>0.45800000000000002</v>
      </c>
      <c r="I1695" s="11">
        <v>7.1</v>
      </c>
    </row>
    <row r="1696" spans="1:9" x14ac:dyDescent="0.35">
      <c r="A1696" s="2" t="s">
        <v>207</v>
      </c>
      <c r="B1696" s="3">
        <v>44621</v>
      </c>
      <c r="C1696" s="2">
        <v>26</v>
      </c>
      <c r="D1696" s="2">
        <v>40609</v>
      </c>
      <c r="E1696" s="17">
        <v>87372.93</v>
      </c>
      <c r="F1696" s="11">
        <v>6.51</v>
      </c>
      <c r="G1696" s="9">
        <v>6454.2</v>
      </c>
      <c r="H1696" s="10">
        <v>0.65400000000000003</v>
      </c>
      <c r="I1696" s="11">
        <v>4.9000000000000004</v>
      </c>
    </row>
    <row r="1697" spans="1:9" x14ac:dyDescent="0.35">
      <c r="A1697" s="2" t="s">
        <v>207</v>
      </c>
      <c r="B1697" s="3">
        <v>44652</v>
      </c>
      <c r="C1697" s="2">
        <v>15</v>
      </c>
      <c r="D1697" s="2">
        <v>22276</v>
      </c>
      <c r="E1697" s="17">
        <v>42753.120000000003</v>
      </c>
      <c r="F1697" s="11">
        <v>6.59</v>
      </c>
      <c r="G1697" s="9">
        <v>3372.7</v>
      </c>
      <c r="H1697" s="10">
        <v>0.33300000000000002</v>
      </c>
      <c r="I1697" s="11">
        <v>8</v>
      </c>
    </row>
    <row r="1698" spans="1:9" x14ac:dyDescent="0.35">
      <c r="A1698" s="2" t="s">
        <v>207</v>
      </c>
      <c r="B1698" s="3">
        <v>44682</v>
      </c>
      <c r="C1698" s="2">
        <v>19</v>
      </c>
      <c r="D1698" s="2">
        <v>30075</v>
      </c>
      <c r="E1698" s="17">
        <v>68638.17</v>
      </c>
      <c r="F1698" s="11">
        <v>6.67</v>
      </c>
      <c r="G1698" s="9">
        <v>4532</v>
      </c>
      <c r="H1698" s="10">
        <v>0.47399999999999998</v>
      </c>
      <c r="I1698" s="11">
        <v>7.4</v>
      </c>
    </row>
    <row r="1699" spans="1:9" x14ac:dyDescent="0.35">
      <c r="A1699" s="2" t="s">
        <v>207</v>
      </c>
      <c r="B1699" s="3">
        <v>44713</v>
      </c>
      <c r="C1699" s="2">
        <v>20</v>
      </c>
      <c r="D1699" s="2">
        <v>30353</v>
      </c>
      <c r="E1699" s="17">
        <v>65761.240000000005</v>
      </c>
      <c r="F1699" s="11">
        <v>6.5</v>
      </c>
      <c r="G1699" s="9">
        <v>4694.1000000000004</v>
      </c>
      <c r="H1699" s="10">
        <v>0.4</v>
      </c>
      <c r="I1699" s="11">
        <v>6.4</v>
      </c>
    </row>
    <row r="1700" spans="1:9" x14ac:dyDescent="0.35">
      <c r="A1700" s="2" t="s">
        <v>207</v>
      </c>
      <c r="B1700" s="3">
        <v>44743</v>
      </c>
      <c r="C1700" s="2">
        <v>18</v>
      </c>
      <c r="D1700" s="2">
        <v>29956</v>
      </c>
      <c r="E1700" s="17">
        <v>64440.63</v>
      </c>
      <c r="F1700" s="11">
        <v>6.61</v>
      </c>
      <c r="G1700" s="9">
        <v>4584.6000000000004</v>
      </c>
      <c r="H1700" s="10">
        <v>0.44400000000000001</v>
      </c>
      <c r="I1700" s="11">
        <v>6.5</v>
      </c>
    </row>
    <row r="1701" spans="1:9" x14ac:dyDescent="0.35">
      <c r="A1701" s="2" t="s">
        <v>207</v>
      </c>
      <c r="B1701" s="3">
        <v>44774</v>
      </c>
      <c r="C1701" s="2">
        <v>17</v>
      </c>
      <c r="D1701" s="2">
        <v>23337</v>
      </c>
      <c r="E1701" s="17">
        <v>51301.47</v>
      </c>
      <c r="F1701" s="11">
        <v>6.63</v>
      </c>
      <c r="G1701" s="9">
        <v>3502.7</v>
      </c>
      <c r="H1701" s="10">
        <v>0.41199999999999998</v>
      </c>
      <c r="I1701" s="11">
        <v>7.1</v>
      </c>
    </row>
    <row r="1702" spans="1:9" x14ac:dyDescent="0.35">
      <c r="A1702" s="2" t="s">
        <v>207</v>
      </c>
      <c r="B1702" s="3">
        <v>44805</v>
      </c>
      <c r="C1702" s="2">
        <v>15</v>
      </c>
      <c r="D1702" s="2">
        <v>25277</v>
      </c>
      <c r="E1702" s="17">
        <v>53122.51</v>
      </c>
      <c r="F1702" s="11">
        <v>6.4</v>
      </c>
      <c r="G1702" s="9">
        <v>4030.5</v>
      </c>
      <c r="H1702" s="10">
        <v>0.66700000000000004</v>
      </c>
      <c r="I1702" s="11">
        <v>7.2</v>
      </c>
    </row>
    <row r="1703" spans="1:9" x14ac:dyDescent="0.35">
      <c r="A1703" s="2" t="s">
        <v>207</v>
      </c>
      <c r="B1703" s="3">
        <v>44835</v>
      </c>
      <c r="C1703" s="2">
        <v>12</v>
      </c>
      <c r="D1703" s="2">
        <v>16053</v>
      </c>
      <c r="E1703" s="17">
        <v>37976.54</v>
      </c>
      <c r="F1703" s="11">
        <v>6.51</v>
      </c>
      <c r="G1703" s="9">
        <v>2514.1999999999998</v>
      </c>
      <c r="H1703" s="10">
        <v>0.58299999999999996</v>
      </c>
      <c r="I1703" s="11">
        <v>7.8</v>
      </c>
    </row>
    <row r="1704" spans="1:9" x14ac:dyDescent="0.35">
      <c r="A1704" s="2" t="s">
        <v>207</v>
      </c>
      <c r="B1704" s="3">
        <v>44866</v>
      </c>
      <c r="C1704" s="2">
        <v>12</v>
      </c>
      <c r="D1704" s="2">
        <v>18032</v>
      </c>
      <c r="E1704" s="17">
        <v>39804.06</v>
      </c>
      <c r="F1704" s="11">
        <v>6.28</v>
      </c>
      <c r="G1704" s="9">
        <v>2882.7</v>
      </c>
      <c r="H1704" s="10">
        <v>0.41699999999999998</v>
      </c>
      <c r="I1704" s="11">
        <v>7.2</v>
      </c>
    </row>
    <row r="1705" spans="1:9" x14ac:dyDescent="0.35">
      <c r="A1705" s="2" t="s">
        <v>207</v>
      </c>
      <c r="B1705" s="3">
        <v>44896</v>
      </c>
      <c r="C1705" s="2">
        <v>8</v>
      </c>
      <c r="D1705" s="2">
        <v>10028</v>
      </c>
      <c r="E1705" s="17">
        <v>22044.62</v>
      </c>
      <c r="F1705" s="11">
        <v>6.22</v>
      </c>
      <c r="G1705" s="9">
        <v>1648.3</v>
      </c>
      <c r="H1705" s="10">
        <v>0.25</v>
      </c>
      <c r="I1705" s="11">
        <v>6.5</v>
      </c>
    </row>
    <row r="1706" spans="1:9" x14ac:dyDescent="0.35">
      <c r="A1706" s="2" t="s">
        <v>207</v>
      </c>
      <c r="B1706" s="3">
        <v>44927</v>
      </c>
      <c r="C1706" s="2">
        <v>24</v>
      </c>
      <c r="D1706" s="2">
        <v>34041</v>
      </c>
      <c r="E1706" s="17">
        <v>77084.36</v>
      </c>
      <c r="F1706" s="11">
        <v>6.53</v>
      </c>
      <c r="G1706" s="9">
        <v>5342.4</v>
      </c>
      <c r="H1706" s="10">
        <v>0.33300000000000002</v>
      </c>
      <c r="I1706" s="11">
        <v>7.2</v>
      </c>
    </row>
    <row r="1707" spans="1:9" x14ac:dyDescent="0.35">
      <c r="A1707" s="2" t="s">
        <v>207</v>
      </c>
      <c r="B1707" s="3">
        <v>44958</v>
      </c>
      <c r="C1707" s="2">
        <v>13</v>
      </c>
      <c r="D1707" s="2">
        <v>15436</v>
      </c>
      <c r="E1707" s="17">
        <v>34711.14</v>
      </c>
      <c r="F1707" s="11">
        <v>6.55</v>
      </c>
      <c r="G1707" s="9">
        <v>2356.9</v>
      </c>
      <c r="H1707" s="10">
        <v>0.53800000000000003</v>
      </c>
      <c r="I1707" s="11">
        <v>6.4</v>
      </c>
    </row>
    <row r="1708" spans="1:9" x14ac:dyDescent="0.35">
      <c r="A1708" s="2" t="s">
        <v>207</v>
      </c>
      <c r="B1708" s="3">
        <v>44986</v>
      </c>
      <c r="C1708" s="2">
        <v>21</v>
      </c>
      <c r="D1708" s="2">
        <v>29982</v>
      </c>
      <c r="E1708" s="17">
        <v>62435.59</v>
      </c>
      <c r="F1708" s="11">
        <v>6.76</v>
      </c>
      <c r="G1708" s="9">
        <v>4473.1000000000004</v>
      </c>
      <c r="H1708" s="10">
        <v>0.52400000000000002</v>
      </c>
      <c r="I1708" s="11">
        <v>6.6</v>
      </c>
    </row>
    <row r="1709" spans="1:9" x14ac:dyDescent="0.35">
      <c r="A1709" s="2" t="s">
        <v>207</v>
      </c>
      <c r="B1709" s="3">
        <v>45017</v>
      </c>
      <c r="C1709" s="2">
        <v>23</v>
      </c>
      <c r="D1709" s="2">
        <v>38573</v>
      </c>
      <c r="E1709" s="17">
        <v>79856.039999999994</v>
      </c>
      <c r="F1709" s="11">
        <v>6.37</v>
      </c>
      <c r="G1709" s="9">
        <v>6061.6</v>
      </c>
      <c r="H1709" s="10">
        <v>0.47799999999999998</v>
      </c>
      <c r="I1709" s="11">
        <v>6.5</v>
      </c>
    </row>
    <row r="1710" spans="1:9" x14ac:dyDescent="0.35">
      <c r="A1710" s="2" t="s">
        <v>207</v>
      </c>
      <c r="B1710" s="3">
        <v>45047</v>
      </c>
      <c r="C1710" s="2">
        <v>17</v>
      </c>
      <c r="D1710" s="2">
        <v>20028</v>
      </c>
      <c r="E1710" s="17">
        <v>41988.12</v>
      </c>
      <c r="F1710" s="11">
        <v>6.49</v>
      </c>
      <c r="G1710" s="9">
        <v>3116.6</v>
      </c>
      <c r="H1710" s="10">
        <v>0.47099999999999997</v>
      </c>
      <c r="I1710" s="11">
        <v>6.8</v>
      </c>
    </row>
    <row r="1711" spans="1:9" x14ac:dyDescent="0.35">
      <c r="A1711" s="2" t="s">
        <v>207</v>
      </c>
      <c r="B1711" s="3">
        <v>45078</v>
      </c>
      <c r="C1711" s="2">
        <v>19</v>
      </c>
      <c r="D1711" s="2">
        <v>25837</v>
      </c>
      <c r="E1711" s="17">
        <v>52668.67</v>
      </c>
      <c r="F1711" s="11">
        <v>6.75</v>
      </c>
      <c r="G1711" s="9">
        <v>3785.3</v>
      </c>
      <c r="H1711" s="10">
        <v>0.57899999999999996</v>
      </c>
      <c r="I1711" s="11">
        <v>7.1</v>
      </c>
    </row>
    <row r="1712" spans="1:9" x14ac:dyDescent="0.35">
      <c r="A1712" s="2" t="s">
        <v>207</v>
      </c>
      <c r="B1712" s="3">
        <v>45108</v>
      </c>
      <c r="C1712" s="2">
        <v>15</v>
      </c>
      <c r="D1712" s="2">
        <v>22062</v>
      </c>
      <c r="E1712" s="17">
        <v>47435.85</v>
      </c>
      <c r="F1712" s="11">
        <v>6.4</v>
      </c>
      <c r="G1712" s="9">
        <v>3519</v>
      </c>
      <c r="H1712" s="10">
        <v>6.7000000000000004E-2</v>
      </c>
      <c r="I1712" s="11">
        <v>5.3</v>
      </c>
    </row>
    <row r="1713" spans="1:9" x14ac:dyDescent="0.35">
      <c r="A1713" s="2" t="s">
        <v>207</v>
      </c>
      <c r="B1713" s="3">
        <v>45139</v>
      </c>
      <c r="C1713" s="2">
        <v>11</v>
      </c>
      <c r="D1713" s="2">
        <v>14021</v>
      </c>
      <c r="E1713" s="17">
        <v>28944.65</v>
      </c>
      <c r="F1713" s="11">
        <v>6.56</v>
      </c>
      <c r="G1713" s="9">
        <v>2183.1</v>
      </c>
      <c r="H1713" s="10">
        <v>0.63600000000000001</v>
      </c>
      <c r="I1713" s="11">
        <v>7.4</v>
      </c>
    </row>
    <row r="1714" spans="1:9" x14ac:dyDescent="0.35">
      <c r="A1714" s="2" t="s">
        <v>207</v>
      </c>
      <c r="B1714" s="3">
        <v>45170</v>
      </c>
      <c r="C1714" s="2">
        <v>19</v>
      </c>
      <c r="D1714" s="2">
        <v>32722</v>
      </c>
      <c r="E1714" s="17">
        <v>71313.38</v>
      </c>
      <c r="F1714" s="11">
        <v>6.5</v>
      </c>
      <c r="G1714" s="9">
        <v>5078.5</v>
      </c>
      <c r="H1714" s="10">
        <v>0.42099999999999999</v>
      </c>
      <c r="I1714" s="11">
        <v>7.4</v>
      </c>
    </row>
    <row r="1715" spans="1:9" x14ac:dyDescent="0.35">
      <c r="A1715" s="2" t="s">
        <v>207</v>
      </c>
      <c r="B1715" s="3">
        <v>45200</v>
      </c>
      <c r="C1715" s="2">
        <v>18</v>
      </c>
      <c r="D1715" s="2">
        <v>22728</v>
      </c>
      <c r="E1715" s="17">
        <v>51903.62</v>
      </c>
      <c r="F1715" s="11">
        <v>6.42</v>
      </c>
      <c r="G1715" s="9">
        <v>3548.7</v>
      </c>
      <c r="H1715" s="10">
        <v>0.33300000000000002</v>
      </c>
      <c r="I1715" s="11">
        <v>5.7</v>
      </c>
    </row>
    <row r="1716" spans="1:9" x14ac:dyDescent="0.35">
      <c r="A1716" s="2" t="s">
        <v>207</v>
      </c>
      <c r="B1716" s="3">
        <v>45231</v>
      </c>
      <c r="C1716" s="2">
        <v>21</v>
      </c>
      <c r="D1716" s="2">
        <v>23119</v>
      </c>
      <c r="E1716" s="17">
        <v>49270.53</v>
      </c>
      <c r="F1716" s="11">
        <v>6.43</v>
      </c>
      <c r="G1716" s="9">
        <v>3562.4</v>
      </c>
      <c r="H1716" s="10">
        <v>0.33300000000000002</v>
      </c>
      <c r="I1716" s="11">
        <v>7.6</v>
      </c>
    </row>
    <row r="1717" spans="1:9" x14ac:dyDescent="0.35">
      <c r="A1717" s="2" t="s">
        <v>207</v>
      </c>
      <c r="B1717" s="3">
        <v>45261</v>
      </c>
      <c r="C1717" s="2">
        <v>21</v>
      </c>
      <c r="D1717" s="2">
        <v>31373</v>
      </c>
      <c r="E1717" s="17">
        <v>60976.83</v>
      </c>
      <c r="F1717" s="11">
        <v>6.37</v>
      </c>
      <c r="G1717" s="9">
        <v>5042.5</v>
      </c>
      <c r="H1717" s="10">
        <v>0.52400000000000002</v>
      </c>
      <c r="I1717" s="11">
        <v>7.3</v>
      </c>
    </row>
    <row r="1718" spans="1:9" x14ac:dyDescent="0.35">
      <c r="A1718" s="2" t="s">
        <v>207</v>
      </c>
      <c r="B1718" s="3">
        <v>45292</v>
      </c>
      <c r="C1718" s="2">
        <v>21</v>
      </c>
      <c r="D1718" s="2">
        <v>26882</v>
      </c>
      <c r="E1718" s="17">
        <v>62555.28</v>
      </c>
      <c r="F1718" s="11">
        <v>6.4</v>
      </c>
      <c r="G1718" s="9">
        <v>4230.8</v>
      </c>
      <c r="H1718" s="10">
        <v>0.61899999999999999</v>
      </c>
      <c r="I1718" s="11">
        <v>7.5</v>
      </c>
    </row>
    <row r="1719" spans="1:9" x14ac:dyDescent="0.35">
      <c r="A1719" s="2" t="s">
        <v>207</v>
      </c>
      <c r="B1719" s="3">
        <v>45323</v>
      </c>
      <c r="C1719" s="2">
        <v>15</v>
      </c>
      <c r="D1719" s="2">
        <v>20739</v>
      </c>
      <c r="E1719" s="17">
        <v>45274.77</v>
      </c>
      <c r="F1719" s="11">
        <v>6.23</v>
      </c>
      <c r="G1719" s="9">
        <v>3393.8</v>
      </c>
      <c r="H1719" s="10">
        <v>0.33300000000000002</v>
      </c>
      <c r="I1719" s="11">
        <v>7.2</v>
      </c>
    </row>
    <row r="1720" spans="1:9" x14ac:dyDescent="0.35">
      <c r="A1720" s="2" t="s">
        <v>207</v>
      </c>
      <c r="B1720" s="3">
        <v>45352</v>
      </c>
      <c r="C1720" s="2">
        <v>21</v>
      </c>
      <c r="D1720" s="2">
        <v>22318</v>
      </c>
      <c r="E1720" s="17">
        <v>46587.53</v>
      </c>
      <c r="F1720" s="11">
        <v>6.58</v>
      </c>
      <c r="G1720" s="9">
        <v>3451.8</v>
      </c>
      <c r="H1720" s="10">
        <v>0.47599999999999998</v>
      </c>
      <c r="I1720" s="11">
        <v>6.6</v>
      </c>
    </row>
    <row r="1721" spans="1:9" x14ac:dyDescent="0.35">
      <c r="A1721" s="2" t="s">
        <v>207</v>
      </c>
      <c r="B1721" s="3">
        <v>45383</v>
      </c>
      <c r="C1721" s="2">
        <v>16</v>
      </c>
      <c r="D1721" s="2">
        <v>20871</v>
      </c>
      <c r="E1721" s="17">
        <v>45550.19</v>
      </c>
      <c r="F1721" s="11">
        <v>6.29</v>
      </c>
      <c r="G1721" s="9">
        <v>3279.3</v>
      </c>
      <c r="H1721" s="10">
        <v>0.375</v>
      </c>
      <c r="I1721" s="11">
        <v>7.7</v>
      </c>
    </row>
    <row r="1722" spans="1:9" x14ac:dyDescent="0.35">
      <c r="A1722" s="2" t="s">
        <v>207</v>
      </c>
      <c r="B1722" s="3">
        <v>45413</v>
      </c>
      <c r="C1722" s="2">
        <v>25</v>
      </c>
      <c r="D1722" s="2">
        <v>37284</v>
      </c>
      <c r="E1722" s="17">
        <v>83493.25</v>
      </c>
      <c r="F1722" s="11">
        <v>6.37</v>
      </c>
      <c r="G1722" s="9">
        <v>5917.6</v>
      </c>
      <c r="H1722" s="10">
        <v>0.52</v>
      </c>
      <c r="I1722" s="11">
        <v>7.1</v>
      </c>
    </row>
    <row r="1723" spans="1:9" x14ac:dyDescent="0.35">
      <c r="A1723" s="2" t="s">
        <v>207</v>
      </c>
      <c r="B1723" s="3">
        <v>45444</v>
      </c>
      <c r="C1723" s="2">
        <v>23</v>
      </c>
      <c r="D1723" s="2">
        <v>35793</v>
      </c>
      <c r="E1723" s="17">
        <v>74446.47</v>
      </c>
      <c r="F1723" s="11">
        <v>6.6</v>
      </c>
      <c r="G1723" s="9">
        <v>5457.9</v>
      </c>
      <c r="H1723" s="10">
        <v>0.39100000000000001</v>
      </c>
      <c r="I1723" s="11">
        <v>7.8</v>
      </c>
    </row>
    <row r="1724" spans="1:9" x14ac:dyDescent="0.35">
      <c r="A1724" s="2" t="s">
        <v>207</v>
      </c>
      <c r="B1724" s="3">
        <v>45474</v>
      </c>
      <c r="C1724" s="2">
        <v>18</v>
      </c>
      <c r="D1724" s="2">
        <v>21508</v>
      </c>
      <c r="E1724" s="17">
        <v>48268.57</v>
      </c>
      <c r="F1724" s="11">
        <v>6.5</v>
      </c>
      <c r="G1724" s="9">
        <v>3423.9</v>
      </c>
      <c r="H1724" s="10">
        <v>0.27800000000000002</v>
      </c>
      <c r="I1724" s="11">
        <v>6.5</v>
      </c>
    </row>
    <row r="1725" spans="1:9" x14ac:dyDescent="0.35">
      <c r="A1725" s="2" t="s">
        <v>207</v>
      </c>
      <c r="B1725" s="3">
        <v>45505</v>
      </c>
      <c r="C1725" s="2">
        <v>17</v>
      </c>
      <c r="D1725" s="2">
        <v>25888</v>
      </c>
      <c r="E1725" s="17">
        <v>58359.16</v>
      </c>
      <c r="F1725" s="11">
        <v>6.55</v>
      </c>
      <c r="G1725" s="9">
        <v>3986</v>
      </c>
      <c r="H1725" s="10">
        <v>0.29399999999999998</v>
      </c>
      <c r="I1725" s="11">
        <v>6</v>
      </c>
    </row>
    <row r="1726" spans="1:9" x14ac:dyDescent="0.35">
      <c r="A1726" s="2" t="s">
        <v>207</v>
      </c>
      <c r="B1726" s="3">
        <v>45536</v>
      </c>
      <c r="C1726" s="2">
        <v>19</v>
      </c>
      <c r="D1726" s="2">
        <v>25896</v>
      </c>
      <c r="E1726" s="17">
        <v>52360.39</v>
      </c>
      <c r="F1726" s="11">
        <v>6.29</v>
      </c>
      <c r="G1726" s="9">
        <v>4176</v>
      </c>
      <c r="H1726" s="10">
        <v>0.47399999999999998</v>
      </c>
      <c r="I1726" s="11">
        <v>6.9</v>
      </c>
    </row>
    <row r="1727" spans="1:9" x14ac:dyDescent="0.35">
      <c r="A1727" s="2" t="s">
        <v>207</v>
      </c>
      <c r="B1727" s="3">
        <v>45566</v>
      </c>
      <c r="C1727" s="2">
        <v>19</v>
      </c>
      <c r="D1727" s="2">
        <v>24139</v>
      </c>
      <c r="E1727" s="17">
        <v>56236.24</v>
      </c>
      <c r="F1727" s="11">
        <v>6.68</v>
      </c>
      <c r="G1727" s="9">
        <v>3626.6</v>
      </c>
      <c r="H1727" s="10">
        <v>0.52600000000000002</v>
      </c>
      <c r="I1727" s="11">
        <v>6.4</v>
      </c>
    </row>
    <row r="1728" spans="1:9" x14ac:dyDescent="0.35">
      <c r="A1728" s="2" t="s">
        <v>207</v>
      </c>
      <c r="B1728" s="3">
        <v>45597</v>
      </c>
      <c r="C1728" s="2">
        <v>20</v>
      </c>
      <c r="D1728" s="2">
        <v>23244</v>
      </c>
      <c r="E1728" s="17">
        <v>49984.45</v>
      </c>
      <c r="F1728" s="11">
        <v>6.69</v>
      </c>
      <c r="G1728" s="9">
        <v>3624.9</v>
      </c>
      <c r="H1728" s="10">
        <v>0.35</v>
      </c>
      <c r="I1728" s="11">
        <v>6.5</v>
      </c>
    </row>
    <row r="1729" spans="1:9" x14ac:dyDescent="0.35">
      <c r="A1729" s="2" t="s">
        <v>207</v>
      </c>
      <c r="B1729" s="3">
        <v>45627</v>
      </c>
      <c r="C1729" s="2">
        <v>16</v>
      </c>
      <c r="D1729" s="2">
        <v>26328</v>
      </c>
      <c r="E1729" s="17">
        <v>58289.43</v>
      </c>
      <c r="F1729" s="11">
        <v>6.7</v>
      </c>
      <c r="G1729" s="9">
        <v>3915.6</v>
      </c>
      <c r="H1729" s="10">
        <v>0.5</v>
      </c>
      <c r="I1729" s="11">
        <v>7.6</v>
      </c>
    </row>
    <row r="1730" spans="1:9" x14ac:dyDescent="0.35">
      <c r="A1730" s="2" t="s">
        <v>210</v>
      </c>
      <c r="B1730" s="3">
        <v>44562</v>
      </c>
      <c r="C1730" s="2">
        <v>17</v>
      </c>
      <c r="D1730" s="2">
        <v>28932</v>
      </c>
      <c r="E1730" s="17">
        <v>64524.53</v>
      </c>
      <c r="F1730" s="11">
        <v>6.65</v>
      </c>
      <c r="G1730" s="9">
        <v>4357.3</v>
      </c>
      <c r="H1730" s="10">
        <v>0.23499999999999999</v>
      </c>
      <c r="I1730" s="11">
        <v>7.4</v>
      </c>
    </row>
    <row r="1731" spans="1:9" x14ac:dyDescent="0.35">
      <c r="A1731" s="2" t="s">
        <v>210</v>
      </c>
      <c r="B1731" s="3">
        <v>44593</v>
      </c>
      <c r="C1731" s="2">
        <v>17</v>
      </c>
      <c r="D1731" s="2">
        <v>25912</v>
      </c>
      <c r="E1731" s="17">
        <v>54537.14</v>
      </c>
      <c r="F1731" s="11">
        <v>6.1</v>
      </c>
      <c r="G1731" s="9">
        <v>4288.1000000000004</v>
      </c>
      <c r="H1731" s="10">
        <v>0.58799999999999997</v>
      </c>
      <c r="I1731" s="11">
        <v>7.6</v>
      </c>
    </row>
    <row r="1732" spans="1:9" x14ac:dyDescent="0.35">
      <c r="A1732" s="2" t="s">
        <v>210</v>
      </c>
      <c r="B1732" s="3">
        <v>44621</v>
      </c>
      <c r="C1732" s="2">
        <v>23</v>
      </c>
      <c r="D1732" s="2">
        <v>31763</v>
      </c>
      <c r="E1732" s="17">
        <v>70701.66</v>
      </c>
      <c r="F1732" s="11">
        <v>6.54</v>
      </c>
      <c r="G1732" s="9">
        <v>4915.1000000000004</v>
      </c>
      <c r="H1732" s="10">
        <v>0.39100000000000001</v>
      </c>
      <c r="I1732" s="11">
        <v>7.6</v>
      </c>
    </row>
    <row r="1733" spans="1:9" x14ac:dyDescent="0.35">
      <c r="A1733" s="2" t="s">
        <v>210</v>
      </c>
      <c r="B1733" s="3">
        <v>44652</v>
      </c>
      <c r="C1733" s="2">
        <v>21</v>
      </c>
      <c r="D1733" s="2">
        <v>33121</v>
      </c>
      <c r="E1733" s="17">
        <v>77694.38</v>
      </c>
      <c r="F1733" s="11">
        <v>6.76</v>
      </c>
      <c r="G1733" s="9">
        <v>4876.6000000000004</v>
      </c>
      <c r="H1733" s="10">
        <v>0.47599999999999998</v>
      </c>
      <c r="I1733" s="11">
        <v>7.3</v>
      </c>
    </row>
    <row r="1734" spans="1:9" x14ac:dyDescent="0.35">
      <c r="A1734" s="2" t="s">
        <v>210</v>
      </c>
      <c r="B1734" s="3">
        <v>44682</v>
      </c>
      <c r="C1734" s="2">
        <v>21</v>
      </c>
      <c r="D1734" s="2">
        <v>26565</v>
      </c>
      <c r="E1734" s="17">
        <v>63050.46</v>
      </c>
      <c r="F1734" s="11">
        <v>6.67</v>
      </c>
      <c r="G1734" s="9">
        <v>3989.6</v>
      </c>
      <c r="H1734" s="10">
        <v>0.42899999999999999</v>
      </c>
      <c r="I1734" s="11">
        <v>6.8</v>
      </c>
    </row>
    <row r="1735" spans="1:9" x14ac:dyDescent="0.35">
      <c r="A1735" s="2" t="s">
        <v>210</v>
      </c>
      <c r="B1735" s="3">
        <v>44713</v>
      </c>
      <c r="C1735" s="2">
        <v>10</v>
      </c>
      <c r="D1735" s="2">
        <v>15026</v>
      </c>
      <c r="E1735" s="17">
        <v>33283.300000000003</v>
      </c>
      <c r="F1735" s="11">
        <v>6.39</v>
      </c>
      <c r="G1735" s="9">
        <v>2381.4</v>
      </c>
      <c r="H1735" s="10">
        <v>0.6</v>
      </c>
      <c r="I1735" s="11">
        <v>6.2</v>
      </c>
    </row>
    <row r="1736" spans="1:9" x14ac:dyDescent="0.35">
      <c r="A1736" s="2" t="s">
        <v>210</v>
      </c>
      <c r="B1736" s="3">
        <v>44743</v>
      </c>
      <c r="C1736" s="2">
        <v>14</v>
      </c>
      <c r="D1736" s="2">
        <v>21454</v>
      </c>
      <c r="E1736" s="17">
        <v>40635.74</v>
      </c>
      <c r="F1736" s="11">
        <v>6.63</v>
      </c>
      <c r="G1736" s="9">
        <v>3242.2</v>
      </c>
      <c r="H1736" s="10">
        <v>0.42899999999999999</v>
      </c>
      <c r="I1736" s="11">
        <v>7.4</v>
      </c>
    </row>
    <row r="1737" spans="1:9" x14ac:dyDescent="0.35">
      <c r="A1737" s="2" t="s">
        <v>210</v>
      </c>
      <c r="B1737" s="3">
        <v>44774</v>
      </c>
      <c r="C1737" s="2">
        <v>17</v>
      </c>
      <c r="D1737" s="2">
        <v>18123</v>
      </c>
      <c r="E1737" s="17">
        <v>39452.92</v>
      </c>
      <c r="F1737" s="11">
        <v>6.63</v>
      </c>
      <c r="G1737" s="9">
        <v>2690</v>
      </c>
      <c r="H1737" s="10">
        <v>0.35299999999999998</v>
      </c>
      <c r="I1737" s="11">
        <v>7.7</v>
      </c>
    </row>
    <row r="1738" spans="1:9" x14ac:dyDescent="0.35">
      <c r="A1738" s="2" t="s">
        <v>210</v>
      </c>
      <c r="B1738" s="3">
        <v>44805</v>
      </c>
      <c r="C1738" s="2">
        <v>28</v>
      </c>
      <c r="D1738" s="2">
        <v>42143</v>
      </c>
      <c r="E1738" s="17">
        <v>81601.45</v>
      </c>
      <c r="F1738" s="11">
        <v>6.22</v>
      </c>
      <c r="G1738" s="9">
        <v>6771.1</v>
      </c>
      <c r="H1738" s="10">
        <v>0.35699999999999998</v>
      </c>
      <c r="I1738" s="11">
        <v>7.3</v>
      </c>
    </row>
    <row r="1739" spans="1:9" x14ac:dyDescent="0.35">
      <c r="A1739" s="2" t="s">
        <v>210</v>
      </c>
      <c r="B1739" s="3">
        <v>44835</v>
      </c>
      <c r="C1739" s="2">
        <v>19</v>
      </c>
      <c r="D1739" s="2">
        <v>22128</v>
      </c>
      <c r="E1739" s="17">
        <v>45833.919999999998</v>
      </c>
      <c r="F1739" s="11">
        <v>6.46</v>
      </c>
      <c r="G1739" s="9">
        <v>3423.2</v>
      </c>
      <c r="H1739" s="10">
        <v>0.36799999999999999</v>
      </c>
      <c r="I1739" s="11">
        <v>6.3</v>
      </c>
    </row>
    <row r="1740" spans="1:9" x14ac:dyDescent="0.35">
      <c r="A1740" s="2" t="s">
        <v>210</v>
      </c>
      <c r="B1740" s="3">
        <v>44866</v>
      </c>
      <c r="C1740" s="2">
        <v>18</v>
      </c>
      <c r="D1740" s="2">
        <v>29183</v>
      </c>
      <c r="E1740" s="17">
        <v>68241.48</v>
      </c>
      <c r="F1740" s="11">
        <v>6.54</v>
      </c>
      <c r="G1740" s="9">
        <v>4491.7</v>
      </c>
      <c r="H1740" s="10">
        <v>0.61099999999999999</v>
      </c>
      <c r="I1740" s="11">
        <v>6.4</v>
      </c>
    </row>
    <row r="1741" spans="1:9" x14ac:dyDescent="0.35">
      <c r="A1741" s="2" t="s">
        <v>210</v>
      </c>
      <c r="B1741" s="3">
        <v>44896</v>
      </c>
      <c r="C1741" s="2">
        <v>19</v>
      </c>
      <c r="D1741" s="2">
        <v>25910</v>
      </c>
      <c r="E1741" s="17">
        <v>50413.85</v>
      </c>
      <c r="F1741" s="11">
        <v>6.42</v>
      </c>
      <c r="G1741" s="9">
        <v>4154.8999999999996</v>
      </c>
      <c r="H1741" s="10">
        <v>0.47399999999999998</v>
      </c>
      <c r="I1741" s="11">
        <v>6.4</v>
      </c>
    </row>
    <row r="1742" spans="1:9" x14ac:dyDescent="0.35">
      <c r="A1742" s="2" t="s">
        <v>210</v>
      </c>
      <c r="B1742" s="3">
        <v>44927</v>
      </c>
      <c r="C1742" s="2">
        <v>23</v>
      </c>
      <c r="D1742" s="2">
        <v>30085</v>
      </c>
      <c r="E1742" s="17">
        <v>70668.78</v>
      </c>
      <c r="F1742" s="11">
        <v>6.51</v>
      </c>
      <c r="G1742" s="9">
        <v>4660.8999999999996</v>
      </c>
      <c r="H1742" s="10">
        <v>0.47799999999999998</v>
      </c>
      <c r="I1742" s="11">
        <v>6</v>
      </c>
    </row>
    <row r="1743" spans="1:9" x14ac:dyDescent="0.35">
      <c r="A1743" s="2" t="s">
        <v>210</v>
      </c>
      <c r="B1743" s="3">
        <v>44958</v>
      </c>
      <c r="C1743" s="2">
        <v>18</v>
      </c>
      <c r="D1743" s="2">
        <v>31556</v>
      </c>
      <c r="E1743" s="17">
        <v>67843.5</v>
      </c>
      <c r="F1743" s="11">
        <v>6.25</v>
      </c>
      <c r="G1743" s="9">
        <v>5027.7</v>
      </c>
      <c r="H1743" s="10">
        <v>0.44400000000000001</v>
      </c>
      <c r="I1743" s="11">
        <v>7</v>
      </c>
    </row>
    <row r="1744" spans="1:9" x14ac:dyDescent="0.35">
      <c r="A1744" s="2" t="s">
        <v>210</v>
      </c>
      <c r="B1744" s="3">
        <v>44986</v>
      </c>
      <c r="C1744" s="2">
        <v>17</v>
      </c>
      <c r="D1744" s="2">
        <v>31388</v>
      </c>
      <c r="E1744" s="17">
        <v>57594.25</v>
      </c>
      <c r="F1744" s="11">
        <v>6.47</v>
      </c>
      <c r="G1744" s="9">
        <v>4845</v>
      </c>
      <c r="H1744" s="10">
        <v>0.29399999999999998</v>
      </c>
      <c r="I1744" s="11">
        <v>7.5</v>
      </c>
    </row>
    <row r="1745" spans="1:9" x14ac:dyDescent="0.35">
      <c r="A1745" s="2" t="s">
        <v>210</v>
      </c>
      <c r="B1745" s="3">
        <v>45017</v>
      </c>
      <c r="C1745" s="2">
        <v>27</v>
      </c>
      <c r="D1745" s="2">
        <v>40236</v>
      </c>
      <c r="E1745" s="17">
        <v>83723.91</v>
      </c>
      <c r="F1745" s="11">
        <v>6.44</v>
      </c>
      <c r="G1745" s="9">
        <v>6409.8</v>
      </c>
      <c r="H1745" s="10">
        <v>0.37</v>
      </c>
      <c r="I1745" s="11">
        <v>7</v>
      </c>
    </row>
    <row r="1746" spans="1:9" x14ac:dyDescent="0.35">
      <c r="A1746" s="2" t="s">
        <v>210</v>
      </c>
      <c r="B1746" s="3">
        <v>45047</v>
      </c>
      <c r="C1746" s="2">
        <v>26</v>
      </c>
      <c r="D1746" s="2">
        <v>38266</v>
      </c>
      <c r="E1746" s="17">
        <v>81283.03</v>
      </c>
      <c r="F1746" s="11">
        <v>6.52</v>
      </c>
      <c r="G1746" s="9">
        <v>5850.4</v>
      </c>
      <c r="H1746" s="10">
        <v>0.5</v>
      </c>
      <c r="I1746" s="11">
        <v>7.3</v>
      </c>
    </row>
    <row r="1747" spans="1:9" x14ac:dyDescent="0.35">
      <c r="A1747" s="2" t="s">
        <v>210</v>
      </c>
      <c r="B1747" s="3">
        <v>45078</v>
      </c>
      <c r="C1747" s="2">
        <v>21</v>
      </c>
      <c r="D1747" s="2">
        <v>33056</v>
      </c>
      <c r="E1747" s="17">
        <v>72018.850000000006</v>
      </c>
      <c r="F1747" s="11">
        <v>6.68</v>
      </c>
      <c r="G1747" s="9">
        <v>4961.3</v>
      </c>
      <c r="H1747" s="10">
        <v>0.42899999999999999</v>
      </c>
      <c r="I1747" s="11">
        <v>6.7</v>
      </c>
    </row>
    <row r="1748" spans="1:9" x14ac:dyDescent="0.35">
      <c r="A1748" s="2" t="s">
        <v>210</v>
      </c>
      <c r="B1748" s="3">
        <v>45108</v>
      </c>
      <c r="C1748" s="2">
        <v>19</v>
      </c>
      <c r="D1748" s="2">
        <v>26516</v>
      </c>
      <c r="E1748" s="17">
        <v>61741.89</v>
      </c>
      <c r="F1748" s="11">
        <v>6.31</v>
      </c>
      <c r="G1748" s="9">
        <v>4258.6000000000004</v>
      </c>
      <c r="H1748" s="10">
        <v>0.47399999999999998</v>
      </c>
      <c r="I1748" s="11">
        <v>7</v>
      </c>
    </row>
    <row r="1749" spans="1:9" x14ac:dyDescent="0.35">
      <c r="A1749" s="2" t="s">
        <v>210</v>
      </c>
      <c r="B1749" s="3">
        <v>45139</v>
      </c>
      <c r="C1749" s="2">
        <v>20</v>
      </c>
      <c r="D1749" s="2">
        <v>31533</v>
      </c>
      <c r="E1749" s="17">
        <v>76722.34</v>
      </c>
      <c r="F1749" s="11">
        <v>6.45</v>
      </c>
      <c r="G1749" s="9">
        <v>4937.2</v>
      </c>
      <c r="H1749" s="10">
        <v>0.45</v>
      </c>
      <c r="I1749" s="11">
        <v>7.6</v>
      </c>
    </row>
    <row r="1750" spans="1:9" x14ac:dyDescent="0.35">
      <c r="A1750" s="2" t="s">
        <v>210</v>
      </c>
      <c r="B1750" s="3">
        <v>45170</v>
      </c>
      <c r="C1750" s="2">
        <v>18</v>
      </c>
      <c r="D1750" s="2">
        <v>20533</v>
      </c>
      <c r="E1750" s="17">
        <v>46582.47</v>
      </c>
      <c r="F1750" s="11">
        <v>6.51</v>
      </c>
      <c r="G1750" s="9">
        <v>3127.9</v>
      </c>
      <c r="H1750" s="10">
        <v>0.5</v>
      </c>
      <c r="I1750" s="11">
        <v>7.8</v>
      </c>
    </row>
    <row r="1751" spans="1:9" x14ac:dyDescent="0.35">
      <c r="A1751" s="2" t="s">
        <v>210</v>
      </c>
      <c r="B1751" s="3">
        <v>45200</v>
      </c>
      <c r="C1751" s="2">
        <v>20</v>
      </c>
      <c r="D1751" s="2">
        <v>31593</v>
      </c>
      <c r="E1751" s="17">
        <v>64033.04</v>
      </c>
      <c r="F1751" s="11">
        <v>6.58</v>
      </c>
      <c r="G1751" s="9">
        <v>4863</v>
      </c>
      <c r="H1751" s="10">
        <v>0.45</v>
      </c>
      <c r="I1751" s="11">
        <v>7.9</v>
      </c>
    </row>
    <row r="1752" spans="1:9" x14ac:dyDescent="0.35">
      <c r="A1752" s="2" t="s">
        <v>210</v>
      </c>
      <c r="B1752" s="3">
        <v>45231</v>
      </c>
      <c r="C1752" s="2">
        <v>24</v>
      </c>
      <c r="D1752" s="2">
        <v>27440</v>
      </c>
      <c r="E1752" s="17">
        <v>55783.16</v>
      </c>
      <c r="F1752" s="11">
        <v>6.6</v>
      </c>
      <c r="G1752" s="9">
        <v>4207.3999999999996</v>
      </c>
      <c r="H1752" s="10">
        <v>0.58299999999999996</v>
      </c>
      <c r="I1752" s="11">
        <v>5.6</v>
      </c>
    </row>
    <row r="1753" spans="1:9" x14ac:dyDescent="0.35">
      <c r="A1753" s="2" t="s">
        <v>210</v>
      </c>
      <c r="B1753" s="3">
        <v>45261</v>
      </c>
      <c r="C1753" s="2">
        <v>16</v>
      </c>
      <c r="D1753" s="2">
        <v>32324</v>
      </c>
      <c r="E1753" s="17">
        <v>79091.37</v>
      </c>
      <c r="F1753" s="11">
        <v>6.19</v>
      </c>
      <c r="G1753" s="9">
        <v>5273.3</v>
      </c>
      <c r="H1753" s="10">
        <v>0.375</v>
      </c>
      <c r="I1753" s="11">
        <v>7.5</v>
      </c>
    </row>
    <row r="1754" spans="1:9" x14ac:dyDescent="0.35">
      <c r="A1754" s="2" t="s">
        <v>210</v>
      </c>
      <c r="B1754" s="3">
        <v>45292</v>
      </c>
      <c r="C1754" s="2">
        <v>25</v>
      </c>
      <c r="D1754" s="2">
        <v>27600</v>
      </c>
      <c r="E1754" s="17">
        <v>58273.14</v>
      </c>
      <c r="F1754" s="11">
        <v>6.53</v>
      </c>
      <c r="G1754" s="9">
        <v>4212.5</v>
      </c>
      <c r="H1754" s="10">
        <v>0.36</v>
      </c>
      <c r="I1754" s="11">
        <v>7.1</v>
      </c>
    </row>
    <row r="1755" spans="1:9" x14ac:dyDescent="0.35">
      <c r="A1755" s="2" t="s">
        <v>210</v>
      </c>
      <c r="B1755" s="3">
        <v>45323</v>
      </c>
      <c r="C1755" s="2">
        <v>18</v>
      </c>
      <c r="D1755" s="2">
        <v>25453</v>
      </c>
      <c r="E1755" s="17">
        <v>53907.58</v>
      </c>
      <c r="F1755" s="11">
        <v>6.66</v>
      </c>
      <c r="G1755" s="9">
        <v>3800.9</v>
      </c>
      <c r="H1755" s="10">
        <v>0.55600000000000005</v>
      </c>
      <c r="I1755" s="11">
        <v>7</v>
      </c>
    </row>
    <row r="1756" spans="1:9" x14ac:dyDescent="0.35">
      <c r="A1756" s="2" t="s">
        <v>210</v>
      </c>
      <c r="B1756" s="3">
        <v>45352</v>
      </c>
      <c r="C1756" s="2">
        <v>15</v>
      </c>
      <c r="D1756" s="2">
        <v>19800</v>
      </c>
      <c r="E1756" s="17">
        <v>41566.519999999997</v>
      </c>
      <c r="F1756" s="11">
        <v>6.68</v>
      </c>
      <c r="G1756" s="9">
        <v>3034.2</v>
      </c>
      <c r="H1756" s="10">
        <v>0.73299999999999998</v>
      </c>
      <c r="I1756" s="11">
        <v>7.6</v>
      </c>
    </row>
    <row r="1757" spans="1:9" x14ac:dyDescent="0.35">
      <c r="A1757" s="2" t="s">
        <v>210</v>
      </c>
      <c r="B1757" s="3">
        <v>45383</v>
      </c>
      <c r="C1757" s="2">
        <v>22</v>
      </c>
      <c r="D1757" s="2">
        <v>38587</v>
      </c>
      <c r="E1757" s="17">
        <v>85928.34</v>
      </c>
      <c r="F1757" s="11">
        <v>6.5</v>
      </c>
      <c r="G1757" s="9">
        <v>6011.3</v>
      </c>
      <c r="H1757" s="10">
        <v>0.36399999999999999</v>
      </c>
      <c r="I1757" s="11">
        <v>7.5</v>
      </c>
    </row>
    <row r="1758" spans="1:9" x14ac:dyDescent="0.35">
      <c r="A1758" s="2" t="s">
        <v>210</v>
      </c>
      <c r="B1758" s="3">
        <v>45413</v>
      </c>
      <c r="C1758" s="2">
        <v>18</v>
      </c>
      <c r="D1758" s="2">
        <v>27197</v>
      </c>
      <c r="E1758" s="17">
        <v>59819.199999999997</v>
      </c>
      <c r="F1758" s="11">
        <v>6.7</v>
      </c>
      <c r="G1758" s="9">
        <v>4042.7</v>
      </c>
      <c r="H1758" s="10">
        <v>0.61099999999999999</v>
      </c>
      <c r="I1758" s="11">
        <v>7.8</v>
      </c>
    </row>
    <row r="1759" spans="1:9" x14ac:dyDescent="0.35">
      <c r="A1759" s="2" t="s">
        <v>210</v>
      </c>
      <c r="B1759" s="3">
        <v>45444</v>
      </c>
      <c r="C1759" s="2">
        <v>28</v>
      </c>
      <c r="D1759" s="2">
        <v>32314</v>
      </c>
      <c r="E1759" s="17">
        <v>68993.66</v>
      </c>
      <c r="F1759" s="11">
        <v>6.46</v>
      </c>
      <c r="G1759" s="9">
        <v>5075.1000000000004</v>
      </c>
      <c r="H1759" s="10">
        <v>0.53600000000000003</v>
      </c>
      <c r="I1759" s="11">
        <v>7.4</v>
      </c>
    </row>
    <row r="1760" spans="1:9" x14ac:dyDescent="0.35">
      <c r="A1760" s="2" t="s">
        <v>210</v>
      </c>
      <c r="B1760" s="3">
        <v>45474</v>
      </c>
      <c r="C1760" s="2">
        <v>23</v>
      </c>
      <c r="D1760" s="2">
        <v>35430</v>
      </c>
      <c r="E1760" s="17">
        <v>78144.14</v>
      </c>
      <c r="F1760" s="11">
        <v>6.47</v>
      </c>
      <c r="G1760" s="9">
        <v>5538.2</v>
      </c>
      <c r="H1760" s="10">
        <v>0.30399999999999999</v>
      </c>
      <c r="I1760" s="11">
        <v>6.7</v>
      </c>
    </row>
    <row r="1761" spans="1:9" x14ac:dyDescent="0.35">
      <c r="A1761" s="2" t="s">
        <v>210</v>
      </c>
      <c r="B1761" s="3">
        <v>45505</v>
      </c>
      <c r="C1761" s="2">
        <v>17</v>
      </c>
      <c r="D1761" s="2">
        <v>29441</v>
      </c>
      <c r="E1761" s="17">
        <v>65096.31</v>
      </c>
      <c r="F1761" s="11">
        <v>6.59</v>
      </c>
      <c r="G1761" s="9">
        <v>4494.1000000000004</v>
      </c>
      <c r="H1761" s="10">
        <v>0.76500000000000001</v>
      </c>
      <c r="I1761" s="11">
        <v>7.8</v>
      </c>
    </row>
    <row r="1762" spans="1:9" x14ac:dyDescent="0.35">
      <c r="A1762" s="2" t="s">
        <v>210</v>
      </c>
      <c r="B1762" s="3">
        <v>45536</v>
      </c>
      <c r="C1762" s="2">
        <v>23</v>
      </c>
      <c r="D1762" s="2">
        <v>29185</v>
      </c>
      <c r="E1762" s="17">
        <v>65428.32</v>
      </c>
      <c r="F1762" s="11">
        <v>6.6</v>
      </c>
      <c r="G1762" s="9">
        <v>4457</v>
      </c>
      <c r="H1762" s="10">
        <v>0.435</v>
      </c>
      <c r="I1762" s="11">
        <v>6.9</v>
      </c>
    </row>
    <row r="1763" spans="1:9" x14ac:dyDescent="0.35">
      <c r="A1763" s="2" t="s">
        <v>210</v>
      </c>
      <c r="B1763" s="3">
        <v>45566</v>
      </c>
      <c r="C1763" s="2">
        <v>27</v>
      </c>
      <c r="D1763" s="2">
        <v>35545</v>
      </c>
      <c r="E1763" s="17">
        <v>76627.490000000005</v>
      </c>
      <c r="F1763" s="11">
        <v>6.65</v>
      </c>
      <c r="G1763" s="9">
        <v>5395.2</v>
      </c>
      <c r="H1763" s="10">
        <v>0.40699999999999997</v>
      </c>
      <c r="I1763" s="11">
        <v>6.8</v>
      </c>
    </row>
    <row r="1764" spans="1:9" x14ac:dyDescent="0.35">
      <c r="A1764" s="2" t="s">
        <v>210</v>
      </c>
      <c r="B1764" s="3">
        <v>45597</v>
      </c>
      <c r="C1764" s="2">
        <v>17</v>
      </c>
      <c r="D1764" s="2">
        <v>34539</v>
      </c>
      <c r="E1764" s="17">
        <v>71507.95</v>
      </c>
      <c r="F1764" s="11">
        <v>6.63</v>
      </c>
      <c r="G1764" s="9">
        <v>5220.5</v>
      </c>
      <c r="H1764" s="10">
        <v>0.47099999999999997</v>
      </c>
      <c r="I1764" s="11">
        <v>5</v>
      </c>
    </row>
    <row r="1765" spans="1:9" x14ac:dyDescent="0.35">
      <c r="A1765" s="2" t="s">
        <v>210</v>
      </c>
      <c r="B1765" s="3">
        <v>45627</v>
      </c>
      <c r="C1765" s="2">
        <v>23</v>
      </c>
      <c r="D1765" s="2">
        <v>34967</v>
      </c>
      <c r="E1765" s="17">
        <v>72706.53</v>
      </c>
      <c r="F1765" s="11">
        <v>6.62</v>
      </c>
      <c r="G1765" s="9">
        <v>5297.1</v>
      </c>
      <c r="H1765" s="10">
        <v>0.34799999999999998</v>
      </c>
      <c r="I1765" s="11">
        <v>6.2</v>
      </c>
    </row>
    <row r="1766" spans="1:9" x14ac:dyDescent="0.35">
      <c r="A1766" s="2" t="s">
        <v>213</v>
      </c>
      <c r="B1766" s="3">
        <v>44562</v>
      </c>
      <c r="C1766" s="2">
        <v>21</v>
      </c>
      <c r="D1766" s="2">
        <v>31895</v>
      </c>
      <c r="E1766" s="17">
        <v>67584.41</v>
      </c>
      <c r="F1766" s="11">
        <v>6.4</v>
      </c>
      <c r="G1766" s="9">
        <v>4945.7</v>
      </c>
      <c r="H1766" s="10">
        <v>0.57099999999999995</v>
      </c>
      <c r="I1766" s="11">
        <v>7.8</v>
      </c>
    </row>
    <row r="1767" spans="1:9" x14ac:dyDescent="0.35">
      <c r="A1767" s="2" t="s">
        <v>213</v>
      </c>
      <c r="B1767" s="3">
        <v>44593</v>
      </c>
      <c r="C1767" s="2">
        <v>19</v>
      </c>
      <c r="D1767" s="2">
        <v>21327</v>
      </c>
      <c r="E1767" s="17">
        <v>44647.83</v>
      </c>
      <c r="F1767" s="11">
        <v>6.5</v>
      </c>
      <c r="G1767" s="9">
        <v>3320.8</v>
      </c>
      <c r="H1767" s="10">
        <v>0.26300000000000001</v>
      </c>
      <c r="I1767" s="11">
        <v>7.6</v>
      </c>
    </row>
    <row r="1768" spans="1:9" x14ac:dyDescent="0.35">
      <c r="A1768" s="2" t="s">
        <v>213</v>
      </c>
      <c r="B1768" s="3">
        <v>44621</v>
      </c>
      <c r="C1768" s="2">
        <v>16</v>
      </c>
      <c r="D1768" s="2">
        <v>24732</v>
      </c>
      <c r="E1768" s="17">
        <v>50025.26</v>
      </c>
      <c r="F1768" s="11">
        <v>6.52</v>
      </c>
      <c r="G1768" s="9">
        <v>3769.8</v>
      </c>
      <c r="H1768" s="10">
        <v>0.625</v>
      </c>
      <c r="I1768" s="11">
        <v>7</v>
      </c>
    </row>
    <row r="1769" spans="1:9" x14ac:dyDescent="0.35">
      <c r="A1769" s="2" t="s">
        <v>213</v>
      </c>
      <c r="B1769" s="3">
        <v>44652</v>
      </c>
      <c r="C1769" s="2">
        <v>13</v>
      </c>
      <c r="D1769" s="2">
        <v>13478</v>
      </c>
      <c r="E1769" s="17">
        <v>24608.26</v>
      </c>
      <c r="F1769" s="11">
        <v>6.51</v>
      </c>
      <c r="G1769" s="9">
        <v>2107</v>
      </c>
      <c r="H1769" s="10">
        <v>0.61499999999999999</v>
      </c>
      <c r="I1769" s="11">
        <v>5.5</v>
      </c>
    </row>
    <row r="1770" spans="1:9" x14ac:dyDescent="0.35">
      <c r="A1770" s="2" t="s">
        <v>213</v>
      </c>
      <c r="B1770" s="3">
        <v>44682</v>
      </c>
      <c r="C1770" s="2">
        <v>15</v>
      </c>
      <c r="D1770" s="2">
        <v>22834</v>
      </c>
      <c r="E1770" s="17">
        <v>49708.13</v>
      </c>
      <c r="F1770" s="11">
        <v>6.47</v>
      </c>
      <c r="G1770" s="9">
        <v>3575</v>
      </c>
      <c r="H1770" s="10">
        <v>0.26700000000000002</v>
      </c>
      <c r="I1770" s="11">
        <v>7.5</v>
      </c>
    </row>
    <row r="1771" spans="1:9" x14ac:dyDescent="0.35">
      <c r="A1771" s="2" t="s">
        <v>213</v>
      </c>
      <c r="B1771" s="3">
        <v>44713</v>
      </c>
      <c r="C1771" s="2">
        <v>19</v>
      </c>
      <c r="D1771" s="2">
        <v>24511</v>
      </c>
      <c r="E1771" s="17">
        <v>54905.58</v>
      </c>
      <c r="F1771" s="11">
        <v>6.74</v>
      </c>
      <c r="G1771" s="9">
        <v>3774.6</v>
      </c>
      <c r="H1771" s="10">
        <v>0.42099999999999999</v>
      </c>
      <c r="I1771" s="11">
        <v>7.2</v>
      </c>
    </row>
    <row r="1772" spans="1:9" x14ac:dyDescent="0.35">
      <c r="A1772" s="2" t="s">
        <v>213</v>
      </c>
      <c r="B1772" s="3">
        <v>44743</v>
      </c>
      <c r="C1772" s="2">
        <v>15</v>
      </c>
      <c r="D1772" s="2">
        <v>22564</v>
      </c>
      <c r="E1772" s="17">
        <v>45963.27</v>
      </c>
      <c r="F1772" s="11">
        <v>6.63</v>
      </c>
      <c r="G1772" s="9">
        <v>3466.3</v>
      </c>
      <c r="H1772" s="10">
        <v>0.46700000000000003</v>
      </c>
      <c r="I1772" s="11">
        <v>5.7</v>
      </c>
    </row>
    <row r="1773" spans="1:9" x14ac:dyDescent="0.35">
      <c r="A1773" s="2" t="s">
        <v>213</v>
      </c>
      <c r="B1773" s="3">
        <v>44774</v>
      </c>
      <c r="C1773" s="2">
        <v>11</v>
      </c>
      <c r="D1773" s="2">
        <v>12544</v>
      </c>
      <c r="E1773" s="17">
        <v>27769.84</v>
      </c>
      <c r="F1773" s="11">
        <v>6.45</v>
      </c>
      <c r="G1773" s="9">
        <v>1961.2</v>
      </c>
      <c r="H1773" s="10">
        <v>0.63600000000000001</v>
      </c>
      <c r="I1773" s="11">
        <v>8.5</v>
      </c>
    </row>
    <row r="1774" spans="1:9" x14ac:dyDescent="0.35">
      <c r="A1774" s="2" t="s">
        <v>213</v>
      </c>
      <c r="B1774" s="3">
        <v>44805</v>
      </c>
      <c r="C1774" s="2">
        <v>21</v>
      </c>
      <c r="D1774" s="2">
        <v>29489</v>
      </c>
      <c r="E1774" s="17">
        <v>61755.47</v>
      </c>
      <c r="F1774" s="11">
        <v>6.28</v>
      </c>
      <c r="G1774" s="9">
        <v>4765.8999999999996</v>
      </c>
      <c r="H1774" s="10">
        <v>0.42899999999999999</v>
      </c>
      <c r="I1774" s="11">
        <v>6.1</v>
      </c>
    </row>
    <row r="1775" spans="1:9" x14ac:dyDescent="0.35">
      <c r="A1775" s="2" t="s">
        <v>213</v>
      </c>
      <c r="B1775" s="3">
        <v>44835</v>
      </c>
      <c r="C1775" s="2">
        <v>19</v>
      </c>
      <c r="D1775" s="2">
        <v>29809</v>
      </c>
      <c r="E1775" s="17">
        <v>67244.91</v>
      </c>
      <c r="F1775" s="11">
        <v>6.3</v>
      </c>
      <c r="G1775" s="9">
        <v>4793.3999999999996</v>
      </c>
      <c r="H1775" s="10">
        <v>0.47399999999999998</v>
      </c>
      <c r="I1775" s="11">
        <v>5.8</v>
      </c>
    </row>
    <row r="1776" spans="1:9" x14ac:dyDescent="0.35">
      <c r="A1776" s="2" t="s">
        <v>213</v>
      </c>
      <c r="B1776" s="3">
        <v>44866</v>
      </c>
      <c r="C1776" s="2">
        <v>23</v>
      </c>
      <c r="D1776" s="2">
        <v>35944</v>
      </c>
      <c r="E1776" s="17">
        <v>81622.59</v>
      </c>
      <c r="F1776" s="11">
        <v>6.48</v>
      </c>
      <c r="G1776" s="9">
        <v>5620.4</v>
      </c>
      <c r="H1776" s="10">
        <v>0.52200000000000002</v>
      </c>
      <c r="I1776" s="11">
        <v>7.1</v>
      </c>
    </row>
    <row r="1777" spans="1:9" x14ac:dyDescent="0.35">
      <c r="A1777" s="2" t="s">
        <v>213</v>
      </c>
      <c r="B1777" s="3">
        <v>44896</v>
      </c>
      <c r="C1777" s="2">
        <v>14</v>
      </c>
      <c r="D1777" s="2">
        <v>18056</v>
      </c>
      <c r="E1777" s="17">
        <v>35638.080000000002</v>
      </c>
      <c r="F1777" s="11">
        <v>6.51</v>
      </c>
      <c r="G1777" s="9">
        <v>2825.8</v>
      </c>
      <c r="H1777" s="10">
        <v>0.5</v>
      </c>
      <c r="I1777" s="11">
        <v>7.4</v>
      </c>
    </row>
    <row r="1778" spans="1:9" x14ac:dyDescent="0.35">
      <c r="A1778" s="2" t="s">
        <v>213</v>
      </c>
      <c r="B1778" s="3">
        <v>44927</v>
      </c>
      <c r="C1778" s="2">
        <v>18</v>
      </c>
      <c r="D1778" s="2">
        <v>27766</v>
      </c>
      <c r="E1778" s="17">
        <v>59457.18</v>
      </c>
      <c r="F1778" s="11">
        <v>6.44</v>
      </c>
      <c r="G1778" s="9">
        <v>4384.2</v>
      </c>
      <c r="H1778" s="10">
        <v>0.44400000000000001</v>
      </c>
      <c r="I1778" s="11">
        <v>6.7</v>
      </c>
    </row>
    <row r="1779" spans="1:9" x14ac:dyDescent="0.35">
      <c r="A1779" s="2" t="s">
        <v>213</v>
      </c>
      <c r="B1779" s="3">
        <v>44958</v>
      </c>
      <c r="C1779" s="2">
        <v>16</v>
      </c>
      <c r="D1779" s="2">
        <v>17882</v>
      </c>
      <c r="E1779" s="17">
        <v>38203.65</v>
      </c>
      <c r="F1779" s="11">
        <v>6.69</v>
      </c>
      <c r="G1779" s="9">
        <v>2699.5</v>
      </c>
      <c r="H1779" s="10">
        <v>0.25</v>
      </c>
      <c r="I1779" s="11">
        <v>7.4</v>
      </c>
    </row>
    <row r="1780" spans="1:9" x14ac:dyDescent="0.35">
      <c r="A1780" s="2" t="s">
        <v>213</v>
      </c>
      <c r="B1780" s="3">
        <v>44986</v>
      </c>
      <c r="C1780" s="2">
        <v>19</v>
      </c>
      <c r="D1780" s="2">
        <v>26818</v>
      </c>
      <c r="E1780" s="17">
        <v>56358.32</v>
      </c>
      <c r="F1780" s="11">
        <v>6.4</v>
      </c>
      <c r="G1780" s="9">
        <v>4220.1000000000004</v>
      </c>
      <c r="H1780" s="10">
        <v>0.57899999999999996</v>
      </c>
      <c r="I1780" s="11">
        <v>8.4</v>
      </c>
    </row>
    <row r="1781" spans="1:9" x14ac:dyDescent="0.35">
      <c r="A1781" s="2" t="s">
        <v>213</v>
      </c>
      <c r="B1781" s="3">
        <v>45017</v>
      </c>
      <c r="C1781" s="2">
        <v>17</v>
      </c>
      <c r="D1781" s="2">
        <v>24899</v>
      </c>
      <c r="E1781" s="17">
        <v>53289.440000000002</v>
      </c>
      <c r="F1781" s="11">
        <v>6.48</v>
      </c>
      <c r="G1781" s="9">
        <v>3886.2</v>
      </c>
      <c r="H1781" s="10">
        <v>0.76500000000000001</v>
      </c>
      <c r="I1781" s="11">
        <v>6.9</v>
      </c>
    </row>
    <row r="1782" spans="1:9" x14ac:dyDescent="0.35">
      <c r="A1782" s="2" t="s">
        <v>213</v>
      </c>
      <c r="B1782" s="3">
        <v>45047</v>
      </c>
      <c r="C1782" s="2">
        <v>19</v>
      </c>
      <c r="D1782" s="2">
        <v>29468</v>
      </c>
      <c r="E1782" s="17">
        <v>68750.539999999994</v>
      </c>
      <c r="F1782" s="11">
        <v>6.37</v>
      </c>
      <c r="G1782" s="9">
        <v>4717</v>
      </c>
      <c r="H1782" s="10">
        <v>0.52600000000000002</v>
      </c>
      <c r="I1782" s="11">
        <v>7.5</v>
      </c>
    </row>
    <row r="1783" spans="1:9" x14ac:dyDescent="0.35">
      <c r="A1783" s="2" t="s">
        <v>213</v>
      </c>
      <c r="B1783" s="3">
        <v>45078</v>
      </c>
      <c r="C1783" s="2">
        <v>15</v>
      </c>
      <c r="D1783" s="2">
        <v>19916</v>
      </c>
      <c r="E1783" s="17">
        <v>45792.15</v>
      </c>
      <c r="F1783" s="11">
        <v>6.61</v>
      </c>
      <c r="G1783" s="9">
        <v>3036.6</v>
      </c>
      <c r="H1783" s="10">
        <v>0.4</v>
      </c>
      <c r="I1783" s="11">
        <v>6.7</v>
      </c>
    </row>
    <row r="1784" spans="1:9" x14ac:dyDescent="0.35">
      <c r="A1784" s="2" t="s">
        <v>213</v>
      </c>
      <c r="B1784" s="3">
        <v>45108</v>
      </c>
      <c r="C1784" s="2">
        <v>18</v>
      </c>
      <c r="D1784" s="2">
        <v>26682</v>
      </c>
      <c r="E1784" s="17">
        <v>61804.67</v>
      </c>
      <c r="F1784" s="11">
        <v>6.43</v>
      </c>
      <c r="G1784" s="9">
        <v>4159.6000000000004</v>
      </c>
      <c r="H1784" s="10">
        <v>0.66700000000000004</v>
      </c>
      <c r="I1784" s="11">
        <v>5.7</v>
      </c>
    </row>
    <row r="1785" spans="1:9" x14ac:dyDescent="0.35">
      <c r="A1785" s="2" t="s">
        <v>213</v>
      </c>
      <c r="B1785" s="3">
        <v>45139</v>
      </c>
      <c r="C1785" s="2">
        <v>19</v>
      </c>
      <c r="D1785" s="2">
        <v>25760</v>
      </c>
      <c r="E1785" s="17">
        <v>49388.88</v>
      </c>
      <c r="F1785" s="11">
        <v>6.42</v>
      </c>
      <c r="G1785" s="9">
        <v>4028.7</v>
      </c>
      <c r="H1785" s="10">
        <v>0.42099999999999999</v>
      </c>
      <c r="I1785" s="11">
        <v>6.2</v>
      </c>
    </row>
    <row r="1786" spans="1:9" x14ac:dyDescent="0.35">
      <c r="A1786" s="2" t="s">
        <v>213</v>
      </c>
      <c r="B1786" s="3">
        <v>45170</v>
      </c>
      <c r="C1786" s="2">
        <v>24</v>
      </c>
      <c r="D1786" s="2">
        <v>29417</v>
      </c>
      <c r="E1786" s="17">
        <v>68716.850000000006</v>
      </c>
      <c r="F1786" s="11">
        <v>6.45</v>
      </c>
      <c r="G1786" s="9">
        <v>4579.7</v>
      </c>
      <c r="H1786" s="10">
        <v>0.41699999999999998</v>
      </c>
      <c r="I1786" s="11">
        <v>6.9</v>
      </c>
    </row>
    <row r="1787" spans="1:9" x14ac:dyDescent="0.35">
      <c r="A1787" s="2" t="s">
        <v>213</v>
      </c>
      <c r="B1787" s="3">
        <v>45200</v>
      </c>
      <c r="C1787" s="2">
        <v>26</v>
      </c>
      <c r="D1787" s="2">
        <v>45683</v>
      </c>
      <c r="E1787" s="17">
        <v>95673.62</v>
      </c>
      <c r="F1787" s="11">
        <v>6.53</v>
      </c>
      <c r="G1787" s="9">
        <v>6972.1</v>
      </c>
      <c r="H1787" s="10">
        <v>0.34599999999999997</v>
      </c>
      <c r="I1787" s="11">
        <v>6.2</v>
      </c>
    </row>
    <row r="1788" spans="1:9" x14ac:dyDescent="0.35">
      <c r="A1788" s="2" t="s">
        <v>213</v>
      </c>
      <c r="B1788" s="3">
        <v>45231</v>
      </c>
      <c r="C1788" s="2">
        <v>22</v>
      </c>
      <c r="D1788" s="2">
        <v>33475</v>
      </c>
      <c r="E1788" s="17">
        <v>73364.11</v>
      </c>
      <c r="F1788" s="11">
        <v>6.44</v>
      </c>
      <c r="G1788" s="9">
        <v>5284.3</v>
      </c>
      <c r="H1788" s="10">
        <v>0.45500000000000002</v>
      </c>
      <c r="I1788" s="11">
        <v>7.5</v>
      </c>
    </row>
    <row r="1789" spans="1:9" x14ac:dyDescent="0.35">
      <c r="A1789" s="2" t="s">
        <v>213</v>
      </c>
      <c r="B1789" s="3">
        <v>45261</v>
      </c>
      <c r="C1789" s="2">
        <v>17</v>
      </c>
      <c r="D1789" s="2">
        <v>21034</v>
      </c>
      <c r="E1789" s="17">
        <v>51137.93</v>
      </c>
      <c r="F1789" s="11">
        <v>6.55</v>
      </c>
      <c r="G1789" s="9">
        <v>3238.9</v>
      </c>
      <c r="H1789" s="10">
        <v>0.41199999999999998</v>
      </c>
      <c r="I1789" s="11">
        <v>7.8</v>
      </c>
    </row>
    <row r="1790" spans="1:9" x14ac:dyDescent="0.35">
      <c r="A1790" s="2" t="s">
        <v>213</v>
      </c>
      <c r="B1790" s="3">
        <v>45292</v>
      </c>
      <c r="C1790" s="2">
        <v>28</v>
      </c>
      <c r="D1790" s="2">
        <v>37177</v>
      </c>
      <c r="E1790" s="17">
        <v>75742.009999999995</v>
      </c>
      <c r="F1790" s="11">
        <v>6.46</v>
      </c>
      <c r="G1790" s="9">
        <v>5900.1</v>
      </c>
      <c r="H1790" s="10">
        <v>0.39300000000000002</v>
      </c>
      <c r="I1790" s="11">
        <v>7.5</v>
      </c>
    </row>
    <row r="1791" spans="1:9" x14ac:dyDescent="0.35">
      <c r="A1791" s="2" t="s">
        <v>213</v>
      </c>
      <c r="B1791" s="3">
        <v>45323</v>
      </c>
      <c r="C1791" s="2">
        <v>16</v>
      </c>
      <c r="D1791" s="2">
        <v>16625</v>
      </c>
      <c r="E1791" s="17">
        <v>33750.559999999998</v>
      </c>
      <c r="F1791" s="11">
        <v>6.57</v>
      </c>
      <c r="G1791" s="9">
        <v>2578.4</v>
      </c>
      <c r="H1791" s="10">
        <v>0.375</v>
      </c>
      <c r="I1791" s="11">
        <v>6.6</v>
      </c>
    </row>
    <row r="1792" spans="1:9" x14ac:dyDescent="0.35">
      <c r="A1792" s="2" t="s">
        <v>213</v>
      </c>
      <c r="B1792" s="3">
        <v>45352</v>
      </c>
      <c r="C1792" s="2">
        <v>24</v>
      </c>
      <c r="D1792" s="2">
        <v>36390</v>
      </c>
      <c r="E1792" s="17">
        <v>81236.44</v>
      </c>
      <c r="F1792" s="11">
        <v>6.59</v>
      </c>
      <c r="G1792" s="9">
        <v>5528.3</v>
      </c>
      <c r="H1792" s="10">
        <v>0.33300000000000002</v>
      </c>
      <c r="I1792" s="11">
        <v>7.4</v>
      </c>
    </row>
    <row r="1793" spans="1:9" x14ac:dyDescent="0.35">
      <c r="A1793" s="2" t="s">
        <v>213</v>
      </c>
      <c r="B1793" s="3">
        <v>45383</v>
      </c>
      <c r="C1793" s="2">
        <v>13</v>
      </c>
      <c r="D1793" s="2">
        <v>21034</v>
      </c>
      <c r="E1793" s="17">
        <v>45586.64</v>
      </c>
      <c r="F1793" s="11">
        <v>6.48</v>
      </c>
      <c r="G1793" s="9">
        <v>3257.4</v>
      </c>
      <c r="H1793" s="10">
        <v>0.53800000000000003</v>
      </c>
      <c r="I1793" s="11">
        <v>7.8</v>
      </c>
    </row>
    <row r="1794" spans="1:9" x14ac:dyDescent="0.35">
      <c r="A1794" s="2" t="s">
        <v>213</v>
      </c>
      <c r="B1794" s="3">
        <v>45413</v>
      </c>
      <c r="C1794" s="2">
        <v>19</v>
      </c>
      <c r="D1794" s="2">
        <v>25940</v>
      </c>
      <c r="E1794" s="17">
        <v>50844.04</v>
      </c>
      <c r="F1794" s="11">
        <v>6.54</v>
      </c>
      <c r="G1794" s="9">
        <v>4020.3</v>
      </c>
      <c r="H1794" s="10">
        <v>0.47399999999999998</v>
      </c>
      <c r="I1794" s="11">
        <v>7.2</v>
      </c>
    </row>
    <row r="1795" spans="1:9" x14ac:dyDescent="0.35">
      <c r="A1795" s="2" t="s">
        <v>213</v>
      </c>
      <c r="B1795" s="3">
        <v>45444</v>
      </c>
      <c r="C1795" s="2">
        <v>14</v>
      </c>
      <c r="D1795" s="2">
        <v>21363</v>
      </c>
      <c r="E1795" s="17">
        <v>45705.62</v>
      </c>
      <c r="F1795" s="11">
        <v>6.68</v>
      </c>
      <c r="G1795" s="9">
        <v>3249.8</v>
      </c>
      <c r="H1795" s="10">
        <v>0.71399999999999997</v>
      </c>
      <c r="I1795" s="11">
        <v>7</v>
      </c>
    </row>
    <row r="1796" spans="1:9" x14ac:dyDescent="0.35">
      <c r="A1796" s="2" t="s">
        <v>213</v>
      </c>
      <c r="B1796" s="3">
        <v>45474</v>
      </c>
      <c r="C1796" s="2">
        <v>20</v>
      </c>
      <c r="D1796" s="2">
        <v>28890</v>
      </c>
      <c r="E1796" s="17">
        <v>64359.16</v>
      </c>
      <c r="F1796" s="11">
        <v>6.53</v>
      </c>
      <c r="G1796" s="9">
        <v>4433.3999999999996</v>
      </c>
      <c r="H1796" s="10">
        <v>0.4</v>
      </c>
      <c r="I1796" s="11">
        <v>7.4</v>
      </c>
    </row>
    <row r="1797" spans="1:9" x14ac:dyDescent="0.35">
      <c r="A1797" s="2" t="s">
        <v>213</v>
      </c>
      <c r="B1797" s="3">
        <v>45505</v>
      </c>
      <c r="C1797" s="2">
        <v>18</v>
      </c>
      <c r="D1797" s="2">
        <v>24225</v>
      </c>
      <c r="E1797" s="17">
        <v>55418.1</v>
      </c>
      <c r="F1797" s="11">
        <v>6.28</v>
      </c>
      <c r="G1797" s="9">
        <v>3897.5</v>
      </c>
      <c r="H1797" s="10">
        <v>0.61099999999999999</v>
      </c>
      <c r="I1797" s="11">
        <v>6.8</v>
      </c>
    </row>
    <row r="1798" spans="1:9" x14ac:dyDescent="0.35">
      <c r="A1798" s="2" t="s">
        <v>213</v>
      </c>
      <c r="B1798" s="3">
        <v>45536</v>
      </c>
      <c r="C1798" s="2">
        <v>17</v>
      </c>
      <c r="D1798" s="2">
        <v>20609</v>
      </c>
      <c r="E1798" s="17">
        <v>46250.05</v>
      </c>
      <c r="F1798" s="11">
        <v>6.42</v>
      </c>
      <c r="G1798" s="9">
        <v>3199.5</v>
      </c>
      <c r="H1798" s="10">
        <v>0.41199999999999998</v>
      </c>
      <c r="I1798" s="11">
        <v>6.3</v>
      </c>
    </row>
    <row r="1799" spans="1:9" x14ac:dyDescent="0.35">
      <c r="A1799" s="2" t="s">
        <v>213</v>
      </c>
      <c r="B1799" s="3">
        <v>45566</v>
      </c>
      <c r="C1799" s="2">
        <v>19</v>
      </c>
      <c r="D1799" s="2">
        <v>22166</v>
      </c>
      <c r="E1799" s="17">
        <v>45645.15</v>
      </c>
      <c r="F1799" s="11">
        <v>6.57</v>
      </c>
      <c r="G1799" s="9">
        <v>3394.5</v>
      </c>
      <c r="H1799" s="10">
        <v>0.52600000000000002</v>
      </c>
      <c r="I1799" s="11">
        <v>6.7</v>
      </c>
    </row>
    <row r="1800" spans="1:9" x14ac:dyDescent="0.35">
      <c r="A1800" s="2" t="s">
        <v>213</v>
      </c>
      <c r="B1800" s="3">
        <v>45597</v>
      </c>
      <c r="C1800" s="2">
        <v>14</v>
      </c>
      <c r="D1800" s="2">
        <v>23500</v>
      </c>
      <c r="E1800" s="17">
        <v>51143.48</v>
      </c>
      <c r="F1800" s="11">
        <v>6.41</v>
      </c>
      <c r="G1800" s="9">
        <v>3694</v>
      </c>
      <c r="H1800" s="10">
        <v>0.5</v>
      </c>
      <c r="I1800" s="11">
        <v>6.8</v>
      </c>
    </row>
    <row r="1801" spans="1:9" x14ac:dyDescent="0.35">
      <c r="A1801" s="2" t="s">
        <v>213</v>
      </c>
      <c r="B1801" s="3">
        <v>45627</v>
      </c>
      <c r="C1801" s="2">
        <v>24</v>
      </c>
      <c r="D1801" s="2">
        <v>36997</v>
      </c>
      <c r="E1801" s="17">
        <v>78899.86</v>
      </c>
      <c r="F1801" s="11">
        <v>6.25</v>
      </c>
      <c r="G1801" s="9">
        <v>6017.2</v>
      </c>
      <c r="H1801" s="10">
        <v>0.5</v>
      </c>
      <c r="I1801" s="11">
        <v>6.9</v>
      </c>
    </row>
    <row r="1802" spans="1:9" x14ac:dyDescent="0.35">
      <c r="A1802" s="2" t="s">
        <v>215</v>
      </c>
      <c r="B1802" s="3">
        <v>44562</v>
      </c>
      <c r="C1802" s="2">
        <v>22</v>
      </c>
      <c r="D1802" s="2">
        <v>25986</v>
      </c>
      <c r="E1802" s="17">
        <v>50985.65</v>
      </c>
      <c r="F1802" s="11">
        <v>6.31</v>
      </c>
      <c r="G1802" s="9">
        <v>4162</v>
      </c>
      <c r="H1802" s="10">
        <v>0.40899999999999997</v>
      </c>
      <c r="I1802" s="11">
        <v>7.6</v>
      </c>
    </row>
    <row r="1803" spans="1:9" x14ac:dyDescent="0.35">
      <c r="A1803" s="2" t="s">
        <v>215</v>
      </c>
      <c r="B1803" s="3">
        <v>44593</v>
      </c>
      <c r="C1803" s="2">
        <v>11</v>
      </c>
      <c r="D1803" s="2">
        <v>13193</v>
      </c>
      <c r="E1803" s="17">
        <v>26844.9</v>
      </c>
      <c r="F1803" s="11">
        <v>6.56</v>
      </c>
      <c r="G1803" s="9">
        <v>2012.4</v>
      </c>
      <c r="H1803" s="10">
        <v>0.72699999999999998</v>
      </c>
      <c r="I1803" s="11">
        <v>6.9</v>
      </c>
    </row>
    <row r="1804" spans="1:9" x14ac:dyDescent="0.35">
      <c r="A1804" s="2" t="s">
        <v>215</v>
      </c>
      <c r="B1804" s="3">
        <v>44621</v>
      </c>
      <c r="C1804" s="2">
        <v>22</v>
      </c>
      <c r="D1804" s="2">
        <v>32659</v>
      </c>
      <c r="E1804" s="17">
        <v>71979.039999999994</v>
      </c>
      <c r="F1804" s="11">
        <v>6.36</v>
      </c>
      <c r="G1804" s="9">
        <v>5193.3</v>
      </c>
      <c r="H1804" s="10">
        <v>0.27300000000000002</v>
      </c>
      <c r="I1804" s="11">
        <v>7.8</v>
      </c>
    </row>
    <row r="1805" spans="1:9" x14ac:dyDescent="0.35">
      <c r="A1805" s="2" t="s">
        <v>215</v>
      </c>
      <c r="B1805" s="3">
        <v>44652</v>
      </c>
      <c r="C1805" s="2">
        <v>20</v>
      </c>
      <c r="D1805" s="2">
        <v>28183</v>
      </c>
      <c r="E1805" s="17">
        <v>57364.09</v>
      </c>
      <c r="F1805" s="11">
        <v>6.6</v>
      </c>
      <c r="G1805" s="9">
        <v>4343.6000000000004</v>
      </c>
      <c r="H1805" s="10">
        <v>0.5</v>
      </c>
      <c r="I1805" s="11">
        <v>7.3</v>
      </c>
    </row>
    <row r="1806" spans="1:9" x14ac:dyDescent="0.35">
      <c r="A1806" s="2" t="s">
        <v>215</v>
      </c>
      <c r="B1806" s="3">
        <v>44682</v>
      </c>
      <c r="C1806" s="2">
        <v>24</v>
      </c>
      <c r="D1806" s="2">
        <v>32603</v>
      </c>
      <c r="E1806" s="17">
        <v>70160.66</v>
      </c>
      <c r="F1806" s="11">
        <v>6.59</v>
      </c>
      <c r="G1806" s="9">
        <v>4948.2</v>
      </c>
      <c r="H1806" s="10">
        <v>0.54200000000000004</v>
      </c>
      <c r="I1806" s="11">
        <v>8</v>
      </c>
    </row>
    <row r="1807" spans="1:9" x14ac:dyDescent="0.35">
      <c r="A1807" s="2" t="s">
        <v>215</v>
      </c>
      <c r="B1807" s="3">
        <v>44713</v>
      </c>
      <c r="C1807" s="2">
        <v>19</v>
      </c>
      <c r="D1807" s="2">
        <v>26360</v>
      </c>
      <c r="E1807" s="17">
        <v>58243.77</v>
      </c>
      <c r="F1807" s="11">
        <v>6.1</v>
      </c>
      <c r="G1807" s="9">
        <v>4350</v>
      </c>
      <c r="H1807" s="10">
        <v>0.52600000000000002</v>
      </c>
      <c r="I1807" s="11">
        <v>7.7</v>
      </c>
    </row>
    <row r="1808" spans="1:9" x14ac:dyDescent="0.35">
      <c r="A1808" s="2" t="s">
        <v>215</v>
      </c>
      <c r="B1808" s="3">
        <v>44743</v>
      </c>
      <c r="C1808" s="2">
        <v>18</v>
      </c>
      <c r="D1808" s="2">
        <v>27751</v>
      </c>
      <c r="E1808" s="17">
        <v>60637.05</v>
      </c>
      <c r="F1808" s="11">
        <v>6.75</v>
      </c>
      <c r="G1808" s="9">
        <v>4167.8999999999996</v>
      </c>
      <c r="H1808" s="10">
        <v>0.5</v>
      </c>
      <c r="I1808" s="11">
        <v>6.7</v>
      </c>
    </row>
    <row r="1809" spans="1:9" x14ac:dyDescent="0.35">
      <c r="A1809" s="2" t="s">
        <v>215</v>
      </c>
      <c r="B1809" s="3">
        <v>44774</v>
      </c>
      <c r="C1809" s="2">
        <v>16</v>
      </c>
      <c r="D1809" s="2">
        <v>18144</v>
      </c>
      <c r="E1809" s="17">
        <v>40510.79</v>
      </c>
      <c r="F1809" s="11">
        <v>6.73</v>
      </c>
      <c r="G1809" s="9">
        <v>2664.5</v>
      </c>
      <c r="H1809" s="10">
        <v>0.375</v>
      </c>
      <c r="I1809" s="11">
        <v>6.1</v>
      </c>
    </row>
    <row r="1810" spans="1:9" x14ac:dyDescent="0.35">
      <c r="A1810" s="2" t="s">
        <v>215</v>
      </c>
      <c r="B1810" s="3">
        <v>44805</v>
      </c>
      <c r="C1810" s="2">
        <v>18</v>
      </c>
      <c r="D1810" s="2">
        <v>20679</v>
      </c>
      <c r="E1810" s="17">
        <v>46600.85</v>
      </c>
      <c r="F1810" s="11">
        <v>6.67</v>
      </c>
      <c r="G1810" s="9">
        <v>3128.5</v>
      </c>
      <c r="H1810" s="10">
        <v>0.33300000000000002</v>
      </c>
      <c r="I1810" s="11">
        <v>6.9</v>
      </c>
    </row>
    <row r="1811" spans="1:9" x14ac:dyDescent="0.35">
      <c r="A1811" s="2" t="s">
        <v>215</v>
      </c>
      <c r="B1811" s="3">
        <v>44835</v>
      </c>
      <c r="C1811" s="2">
        <v>27</v>
      </c>
      <c r="D1811" s="2">
        <v>36753</v>
      </c>
      <c r="E1811" s="17">
        <v>79980.84</v>
      </c>
      <c r="F1811" s="11">
        <v>6.61</v>
      </c>
      <c r="G1811" s="9">
        <v>5576.2</v>
      </c>
      <c r="H1811" s="10">
        <v>0.48099999999999998</v>
      </c>
      <c r="I1811" s="11">
        <v>7.9</v>
      </c>
    </row>
    <row r="1812" spans="1:9" x14ac:dyDescent="0.35">
      <c r="A1812" s="2" t="s">
        <v>215</v>
      </c>
      <c r="B1812" s="3">
        <v>44866</v>
      </c>
      <c r="C1812" s="2">
        <v>17</v>
      </c>
      <c r="D1812" s="2">
        <v>23682</v>
      </c>
      <c r="E1812" s="17">
        <v>50435.09</v>
      </c>
      <c r="F1812" s="11">
        <v>6.75</v>
      </c>
      <c r="G1812" s="9">
        <v>3538.3</v>
      </c>
      <c r="H1812" s="10">
        <v>0.41199999999999998</v>
      </c>
      <c r="I1812" s="11">
        <v>6.6</v>
      </c>
    </row>
    <row r="1813" spans="1:9" x14ac:dyDescent="0.35">
      <c r="A1813" s="2" t="s">
        <v>215</v>
      </c>
      <c r="B1813" s="3">
        <v>44896</v>
      </c>
      <c r="C1813" s="2">
        <v>15</v>
      </c>
      <c r="D1813" s="2">
        <v>20841</v>
      </c>
      <c r="E1813" s="17">
        <v>46175.02</v>
      </c>
      <c r="F1813" s="11">
        <v>6.57</v>
      </c>
      <c r="G1813" s="9">
        <v>3239.3</v>
      </c>
      <c r="H1813" s="10">
        <v>0.46700000000000003</v>
      </c>
      <c r="I1813" s="11">
        <v>7.2</v>
      </c>
    </row>
    <row r="1814" spans="1:9" x14ac:dyDescent="0.35">
      <c r="A1814" s="2" t="s">
        <v>215</v>
      </c>
      <c r="B1814" s="3">
        <v>44927</v>
      </c>
      <c r="C1814" s="2">
        <v>12</v>
      </c>
      <c r="D1814" s="2">
        <v>14942</v>
      </c>
      <c r="E1814" s="17">
        <v>31649.52</v>
      </c>
      <c r="F1814" s="11">
        <v>6.25</v>
      </c>
      <c r="G1814" s="9">
        <v>2415.3000000000002</v>
      </c>
      <c r="H1814" s="10">
        <v>0.25</v>
      </c>
      <c r="I1814" s="11">
        <v>6.8</v>
      </c>
    </row>
    <row r="1815" spans="1:9" x14ac:dyDescent="0.35">
      <c r="A1815" s="2" t="s">
        <v>215</v>
      </c>
      <c r="B1815" s="3">
        <v>44958</v>
      </c>
      <c r="C1815" s="2">
        <v>20</v>
      </c>
      <c r="D1815" s="2">
        <v>30468</v>
      </c>
      <c r="E1815" s="17">
        <v>64223.03</v>
      </c>
      <c r="F1815" s="11">
        <v>6.55</v>
      </c>
      <c r="G1815" s="9">
        <v>4665.5</v>
      </c>
      <c r="H1815" s="10">
        <v>0.45</v>
      </c>
      <c r="I1815" s="11">
        <v>7.8</v>
      </c>
    </row>
    <row r="1816" spans="1:9" x14ac:dyDescent="0.35">
      <c r="A1816" s="2" t="s">
        <v>215</v>
      </c>
      <c r="B1816" s="3">
        <v>44986</v>
      </c>
      <c r="C1816" s="2">
        <v>27</v>
      </c>
      <c r="D1816" s="2">
        <v>42386</v>
      </c>
      <c r="E1816" s="17">
        <v>89971.6</v>
      </c>
      <c r="F1816" s="11">
        <v>6.59</v>
      </c>
      <c r="G1816" s="9">
        <v>6483.3</v>
      </c>
      <c r="H1816" s="10">
        <v>0.33300000000000002</v>
      </c>
      <c r="I1816" s="11">
        <v>7.5</v>
      </c>
    </row>
    <row r="1817" spans="1:9" x14ac:dyDescent="0.35">
      <c r="A1817" s="2" t="s">
        <v>215</v>
      </c>
      <c r="B1817" s="3">
        <v>45017</v>
      </c>
      <c r="C1817" s="2">
        <v>20</v>
      </c>
      <c r="D1817" s="2">
        <v>25906</v>
      </c>
      <c r="E1817" s="17">
        <v>57415.37</v>
      </c>
      <c r="F1817" s="11">
        <v>6.41</v>
      </c>
      <c r="G1817" s="9">
        <v>4076.5</v>
      </c>
      <c r="H1817" s="10">
        <v>0.25</v>
      </c>
      <c r="I1817" s="11">
        <v>5.7</v>
      </c>
    </row>
    <row r="1818" spans="1:9" x14ac:dyDescent="0.35">
      <c r="A1818" s="2" t="s">
        <v>215</v>
      </c>
      <c r="B1818" s="3">
        <v>45047</v>
      </c>
      <c r="C1818" s="2">
        <v>15</v>
      </c>
      <c r="D1818" s="2">
        <v>25645</v>
      </c>
      <c r="E1818" s="17">
        <v>56176.15</v>
      </c>
      <c r="F1818" s="11">
        <v>6.67</v>
      </c>
      <c r="G1818" s="9">
        <v>3869.2</v>
      </c>
      <c r="H1818" s="10">
        <v>0.46700000000000003</v>
      </c>
      <c r="I1818" s="11">
        <v>8.1</v>
      </c>
    </row>
    <row r="1819" spans="1:9" x14ac:dyDescent="0.35">
      <c r="A1819" s="2" t="s">
        <v>215</v>
      </c>
      <c r="B1819" s="3">
        <v>45078</v>
      </c>
      <c r="C1819" s="2">
        <v>19</v>
      </c>
      <c r="D1819" s="2">
        <v>30712</v>
      </c>
      <c r="E1819" s="17">
        <v>68196.31</v>
      </c>
      <c r="F1819" s="11">
        <v>6.54</v>
      </c>
      <c r="G1819" s="9">
        <v>4737.2</v>
      </c>
      <c r="H1819" s="10">
        <v>0.42099999999999999</v>
      </c>
      <c r="I1819" s="11">
        <v>6.5</v>
      </c>
    </row>
    <row r="1820" spans="1:9" x14ac:dyDescent="0.35">
      <c r="A1820" s="2" t="s">
        <v>215</v>
      </c>
      <c r="B1820" s="3">
        <v>45108</v>
      </c>
      <c r="C1820" s="2">
        <v>23</v>
      </c>
      <c r="D1820" s="2">
        <v>32021</v>
      </c>
      <c r="E1820" s="17">
        <v>66969.62</v>
      </c>
      <c r="F1820" s="11">
        <v>6.48</v>
      </c>
      <c r="G1820" s="9">
        <v>4913.8</v>
      </c>
      <c r="H1820" s="10">
        <v>0.39100000000000001</v>
      </c>
      <c r="I1820" s="11">
        <v>7.5</v>
      </c>
    </row>
    <row r="1821" spans="1:9" x14ac:dyDescent="0.35">
      <c r="A1821" s="2" t="s">
        <v>215</v>
      </c>
      <c r="B1821" s="3">
        <v>45139</v>
      </c>
      <c r="C1821" s="2">
        <v>14</v>
      </c>
      <c r="D1821" s="2">
        <v>24418</v>
      </c>
      <c r="E1821" s="17">
        <v>49497.66</v>
      </c>
      <c r="F1821" s="11">
        <v>6.64</v>
      </c>
      <c r="G1821" s="9">
        <v>3650.4</v>
      </c>
      <c r="H1821" s="10">
        <v>0.28599999999999998</v>
      </c>
      <c r="I1821" s="11">
        <v>6.9</v>
      </c>
    </row>
    <row r="1822" spans="1:9" x14ac:dyDescent="0.35">
      <c r="A1822" s="2" t="s">
        <v>215</v>
      </c>
      <c r="B1822" s="3">
        <v>45170</v>
      </c>
      <c r="C1822" s="2">
        <v>19</v>
      </c>
      <c r="D1822" s="2">
        <v>24335</v>
      </c>
      <c r="E1822" s="17">
        <v>55547.95</v>
      </c>
      <c r="F1822" s="11">
        <v>6.55</v>
      </c>
      <c r="G1822" s="9">
        <v>3682.9</v>
      </c>
      <c r="H1822" s="10">
        <v>0.42099999999999999</v>
      </c>
      <c r="I1822" s="11">
        <v>6.6</v>
      </c>
    </row>
    <row r="1823" spans="1:9" x14ac:dyDescent="0.35">
      <c r="A1823" s="2" t="s">
        <v>215</v>
      </c>
      <c r="B1823" s="3">
        <v>45200</v>
      </c>
      <c r="C1823" s="2">
        <v>18</v>
      </c>
      <c r="D1823" s="2">
        <v>25246</v>
      </c>
      <c r="E1823" s="17">
        <v>53670.78</v>
      </c>
      <c r="F1823" s="11">
        <v>6.52</v>
      </c>
      <c r="G1823" s="9">
        <v>3902.3</v>
      </c>
      <c r="H1823" s="10">
        <v>0.44400000000000001</v>
      </c>
      <c r="I1823" s="11">
        <v>7.5</v>
      </c>
    </row>
    <row r="1824" spans="1:9" x14ac:dyDescent="0.35">
      <c r="A1824" s="2" t="s">
        <v>215</v>
      </c>
      <c r="B1824" s="3">
        <v>45231</v>
      </c>
      <c r="C1824" s="2">
        <v>14</v>
      </c>
      <c r="D1824" s="2">
        <v>18581</v>
      </c>
      <c r="E1824" s="17">
        <v>39426.1</v>
      </c>
      <c r="F1824" s="11">
        <v>6.41</v>
      </c>
      <c r="G1824" s="9">
        <v>2881.6</v>
      </c>
      <c r="H1824" s="10">
        <v>0.214</v>
      </c>
      <c r="I1824" s="11">
        <v>7.2</v>
      </c>
    </row>
    <row r="1825" spans="1:9" x14ac:dyDescent="0.35">
      <c r="A1825" s="2" t="s">
        <v>215</v>
      </c>
      <c r="B1825" s="3">
        <v>45261</v>
      </c>
      <c r="C1825" s="2">
        <v>16</v>
      </c>
      <c r="D1825" s="2">
        <v>24081</v>
      </c>
      <c r="E1825" s="17">
        <v>53467.17</v>
      </c>
      <c r="F1825" s="11">
        <v>6.6</v>
      </c>
      <c r="G1825" s="9">
        <v>3613.3</v>
      </c>
      <c r="H1825" s="10">
        <v>0.438</v>
      </c>
      <c r="I1825" s="11">
        <v>6.2</v>
      </c>
    </row>
    <row r="1826" spans="1:9" x14ac:dyDescent="0.35">
      <c r="A1826" s="2" t="s">
        <v>215</v>
      </c>
      <c r="B1826" s="3">
        <v>45292</v>
      </c>
      <c r="C1826" s="2">
        <v>23</v>
      </c>
      <c r="D1826" s="2">
        <v>30137</v>
      </c>
      <c r="E1826" s="17">
        <v>64272.39</v>
      </c>
      <c r="F1826" s="11">
        <v>6.66</v>
      </c>
      <c r="G1826" s="9">
        <v>4527.3</v>
      </c>
      <c r="H1826" s="10">
        <v>0.52200000000000002</v>
      </c>
      <c r="I1826" s="11">
        <v>6.7</v>
      </c>
    </row>
    <row r="1827" spans="1:9" x14ac:dyDescent="0.35">
      <c r="A1827" s="2" t="s">
        <v>215</v>
      </c>
      <c r="B1827" s="3">
        <v>45323</v>
      </c>
      <c r="C1827" s="2">
        <v>17</v>
      </c>
      <c r="D1827" s="2">
        <v>20151</v>
      </c>
      <c r="E1827" s="17">
        <v>45790.58</v>
      </c>
      <c r="F1827" s="11">
        <v>6.7</v>
      </c>
      <c r="G1827" s="9">
        <v>2991.6</v>
      </c>
      <c r="H1827" s="10">
        <v>0.47099999999999997</v>
      </c>
      <c r="I1827" s="11">
        <v>7.4</v>
      </c>
    </row>
    <row r="1828" spans="1:9" x14ac:dyDescent="0.35">
      <c r="A1828" s="2" t="s">
        <v>215</v>
      </c>
      <c r="B1828" s="3">
        <v>45352</v>
      </c>
      <c r="C1828" s="2">
        <v>17</v>
      </c>
      <c r="D1828" s="2">
        <v>21040</v>
      </c>
      <c r="E1828" s="17">
        <v>41952.78</v>
      </c>
      <c r="F1828" s="11">
        <v>6.5</v>
      </c>
      <c r="G1828" s="9">
        <v>3299.6</v>
      </c>
      <c r="H1828" s="10">
        <v>0.41199999999999998</v>
      </c>
      <c r="I1828" s="11">
        <v>7.2</v>
      </c>
    </row>
    <row r="1829" spans="1:9" x14ac:dyDescent="0.35">
      <c r="A1829" s="2" t="s">
        <v>215</v>
      </c>
      <c r="B1829" s="3">
        <v>45383</v>
      </c>
      <c r="C1829" s="2">
        <v>18</v>
      </c>
      <c r="D1829" s="2">
        <v>23961</v>
      </c>
      <c r="E1829" s="17">
        <v>50839.95</v>
      </c>
      <c r="F1829" s="11">
        <v>6.8</v>
      </c>
      <c r="G1829" s="9">
        <v>3471.8</v>
      </c>
      <c r="H1829" s="10">
        <v>0.5</v>
      </c>
      <c r="I1829" s="11">
        <v>7.9</v>
      </c>
    </row>
    <row r="1830" spans="1:9" x14ac:dyDescent="0.35">
      <c r="A1830" s="2" t="s">
        <v>215</v>
      </c>
      <c r="B1830" s="3">
        <v>45413</v>
      </c>
      <c r="C1830" s="2">
        <v>21</v>
      </c>
      <c r="D1830" s="2">
        <v>30416</v>
      </c>
      <c r="E1830" s="17">
        <v>68748.460000000006</v>
      </c>
      <c r="F1830" s="11">
        <v>6.57</v>
      </c>
      <c r="G1830" s="9">
        <v>4617.3999999999996</v>
      </c>
      <c r="H1830" s="10">
        <v>0.19</v>
      </c>
      <c r="I1830" s="11">
        <v>6.3</v>
      </c>
    </row>
    <row r="1831" spans="1:9" x14ac:dyDescent="0.35">
      <c r="A1831" s="2" t="s">
        <v>215</v>
      </c>
      <c r="B1831" s="3">
        <v>45444</v>
      </c>
      <c r="C1831" s="2">
        <v>15</v>
      </c>
      <c r="D1831" s="2">
        <v>12277</v>
      </c>
      <c r="E1831" s="17">
        <v>25460.29</v>
      </c>
      <c r="F1831" s="11">
        <v>6.6</v>
      </c>
      <c r="G1831" s="9">
        <v>1844.4</v>
      </c>
      <c r="H1831" s="10">
        <v>0.6</v>
      </c>
      <c r="I1831" s="11">
        <v>6.7</v>
      </c>
    </row>
    <row r="1832" spans="1:9" x14ac:dyDescent="0.35">
      <c r="A1832" s="2" t="s">
        <v>215</v>
      </c>
      <c r="B1832" s="3">
        <v>45474</v>
      </c>
      <c r="C1832" s="2">
        <v>21</v>
      </c>
      <c r="D1832" s="2">
        <v>28656</v>
      </c>
      <c r="E1832" s="17">
        <v>58605.9</v>
      </c>
      <c r="F1832" s="11">
        <v>6.59</v>
      </c>
      <c r="G1832" s="9">
        <v>4421.8</v>
      </c>
      <c r="H1832" s="10">
        <v>0.33300000000000002</v>
      </c>
      <c r="I1832" s="11">
        <v>8.1</v>
      </c>
    </row>
    <row r="1833" spans="1:9" x14ac:dyDescent="0.35">
      <c r="A1833" s="2" t="s">
        <v>215</v>
      </c>
      <c r="B1833" s="3">
        <v>45505</v>
      </c>
      <c r="C1833" s="2">
        <v>20</v>
      </c>
      <c r="D1833" s="2">
        <v>21806</v>
      </c>
      <c r="E1833" s="17">
        <v>44730.69</v>
      </c>
      <c r="F1833" s="11">
        <v>6.24</v>
      </c>
      <c r="G1833" s="9">
        <v>3456.5</v>
      </c>
      <c r="H1833" s="10">
        <v>0.4</v>
      </c>
      <c r="I1833" s="11">
        <v>6.8</v>
      </c>
    </row>
    <row r="1834" spans="1:9" x14ac:dyDescent="0.35">
      <c r="A1834" s="2" t="s">
        <v>215</v>
      </c>
      <c r="B1834" s="3">
        <v>45536</v>
      </c>
      <c r="C1834" s="2">
        <v>20</v>
      </c>
      <c r="D1834" s="2">
        <v>29836</v>
      </c>
      <c r="E1834" s="17">
        <v>63919.41</v>
      </c>
      <c r="F1834" s="11">
        <v>6.39</v>
      </c>
      <c r="G1834" s="9">
        <v>4695</v>
      </c>
      <c r="H1834" s="10">
        <v>0.3</v>
      </c>
      <c r="I1834" s="11">
        <v>6.2</v>
      </c>
    </row>
    <row r="1835" spans="1:9" x14ac:dyDescent="0.35">
      <c r="A1835" s="2" t="s">
        <v>215</v>
      </c>
      <c r="B1835" s="3">
        <v>45566</v>
      </c>
      <c r="C1835" s="2">
        <v>18</v>
      </c>
      <c r="D1835" s="2">
        <v>29613</v>
      </c>
      <c r="E1835" s="17">
        <v>62789.7</v>
      </c>
      <c r="F1835" s="11">
        <v>6.44</v>
      </c>
      <c r="G1835" s="9">
        <v>4662.3999999999996</v>
      </c>
      <c r="H1835" s="10">
        <v>0.61099999999999999</v>
      </c>
      <c r="I1835" s="11">
        <v>7</v>
      </c>
    </row>
    <row r="1836" spans="1:9" x14ac:dyDescent="0.35">
      <c r="A1836" s="2" t="s">
        <v>215</v>
      </c>
      <c r="B1836" s="3">
        <v>45597</v>
      </c>
      <c r="C1836" s="2">
        <v>21</v>
      </c>
      <c r="D1836" s="2">
        <v>30234</v>
      </c>
      <c r="E1836" s="17">
        <v>66952.39</v>
      </c>
      <c r="F1836" s="11">
        <v>6.56</v>
      </c>
      <c r="G1836" s="9">
        <v>4663.5</v>
      </c>
      <c r="H1836" s="10">
        <v>0.47599999999999998</v>
      </c>
      <c r="I1836" s="11">
        <v>6.4</v>
      </c>
    </row>
    <row r="1837" spans="1:9" x14ac:dyDescent="0.35">
      <c r="A1837" s="2" t="s">
        <v>215</v>
      </c>
      <c r="B1837" s="3">
        <v>45627</v>
      </c>
      <c r="C1837" s="2">
        <v>21</v>
      </c>
      <c r="D1837" s="2">
        <v>35688</v>
      </c>
      <c r="E1837" s="17">
        <v>77141.100000000006</v>
      </c>
      <c r="F1837" s="11">
        <v>6.66</v>
      </c>
      <c r="G1837" s="9">
        <v>5374</v>
      </c>
      <c r="H1837" s="10">
        <v>0.57099999999999995</v>
      </c>
      <c r="I1837" s="11">
        <v>6.4</v>
      </c>
    </row>
    <row r="1838" spans="1:9" x14ac:dyDescent="0.35">
      <c r="A1838" s="2" t="s">
        <v>217</v>
      </c>
      <c r="B1838" s="3">
        <v>44562</v>
      </c>
      <c r="C1838" s="2">
        <v>26</v>
      </c>
      <c r="D1838" s="2">
        <v>34273</v>
      </c>
      <c r="E1838" s="17">
        <v>74148.710000000006</v>
      </c>
      <c r="F1838" s="11">
        <v>6.48</v>
      </c>
      <c r="G1838" s="9">
        <v>5389</v>
      </c>
      <c r="H1838" s="10">
        <v>0.65400000000000003</v>
      </c>
      <c r="I1838" s="11">
        <v>7.7</v>
      </c>
    </row>
    <row r="1839" spans="1:9" x14ac:dyDescent="0.35">
      <c r="A1839" s="2" t="s">
        <v>217</v>
      </c>
      <c r="B1839" s="3">
        <v>44593</v>
      </c>
      <c r="C1839" s="2">
        <v>28</v>
      </c>
      <c r="D1839" s="2">
        <v>40075</v>
      </c>
      <c r="E1839" s="17">
        <v>84825.44</v>
      </c>
      <c r="F1839" s="11">
        <v>6.4</v>
      </c>
      <c r="G1839" s="9">
        <v>6340.2</v>
      </c>
      <c r="H1839" s="10">
        <v>0.46400000000000002</v>
      </c>
      <c r="I1839" s="11">
        <v>7.5</v>
      </c>
    </row>
    <row r="1840" spans="1:9" x14ac:dyDescent="0.35">
      <c r="A1840" s="2" t="s">
        <v>217</v>
      </c>
      <c r="B1840" s="3">
        <v>44621</v>
      </c>
      <c r="C1840" s="2">
        <v>22</v>
      </c>
      <c r="D1840" s="2">
        <v>29161</v>
      </c>
      <c r="E1840" s="17">
        <v>61166.74</v>
      </c>
      <c r="F1840" s="11">
        <v>6.39</v>
      </c>
      <c r="G1840" s="9">
        <v>4626.8</v>
      </c>
      <c r="H1840" s="10">
        <v>0.45500000000000002</v>
      </c>
      <c r="I1840" s="11">
        <v>6.9</v>
      </c>
    </row>
    <row r="1841" spans="1:9" x14ac:dyDescent="0.35">
      <c r="A1841" s="2" t="s">
        <v>217</v>
      </c>
      <c r="B1841" s="3">
        <v>44652</v>
      </c>
      <c r="C1841" s="2">
        <v>23</v>
      </c>
      <c r="D1841" s="2">
        <v>31431</v>
      </c>
      <c r="E1841" s="17">
        <v>68943.61</v>
      </c>
      <c r="F1841" s="11">
        <v>6.48</v>
      </c>
      <c r="G1841" s="9">
        <v>5013.7</v>
      </c>
      <c r="H1841" s="10">
        <v>0.34799999999999998</v>
      </c>
      <c r="I1841" s="11">
        <v>7.5</v>
      </c>
    </row>
    <row r="1842" spans="1:9" x14ac:dyDescent="0.35">
      <c r="A1842" s="2" t="s">
        <v>217</v>
      </c>
      <c r="B1842" s="3">
        <v>44682</v>
      </c>
      <c r="C1842" s="2">
        <v>13</v>
      </c>
      <c r="D1842" s="2">
        <v>18985</v>
      </c>
      <c r="E1842" s="17">
        <v>43805.04</v>
      </c>
      <c r="F1842" s="11">
        <v>6.35</v>
      </c>
      <c r="G1842" s="9">
        <v>3004.9</v>
      </c>
      <c r="H1842" s="10">
        <v>0.38500000000000001</v>
      </c>
      <c r="I1842" s="11">
        <v>6.1</v>
      </c>
    </row>
    <row r="1843" spans="1:9" x14ac:dyDescent="0.35">
      <c r="A1843" s="2" t="s">
        <v>217</v>
      </c>
      <c r="B1843" s="3">
        <v>44713</v>
      </c>
      <c r="C1843" s="2">
        <v>22</v>
      </c>
      <c r="D1843" s="2">
        <v>34622</v>
      </c>
      <c r="E1843" s="17">
        <v>79102.58</v>
      </c>
      <c r="F1843" s="11">
        <v>6.51</v>
      </c>
      <c r="G1843" s="9">
        <v>5283.6</v>
      </c>
      <c r="H1843" s="10">
        <v>0.59099999999999997</v>
      </c>
      <c r="I1843" s="11">
        <v>6.8</v>
      </c>
    </row>
    <row r="1844" spans="1:9" x14ac:dyDescent="0.35">
      <c r="A1844" s="2" t="s">
        <v>217</v>
      </c>
      <c r="B1844" s="3">
        <v>44743</v>
      </c>
      <c r="C1844" s="2">
        <v>21</v>
      </c>
      <c r="D1844" s="2">
        <v>27021</v>
      </c>
      <c r="E1844" s="17">
        <v>56218.47</v>
      </c>
      <c r="F1844" s="11">
        <v>6.72</v>
      </c>
      <c r="G1844" s="9">
        <v>4017.2</v>
      </c>
      <c r="H1844" s="10">
        <v>0.47599999999999998</v>
      </c>
      <c r="I1844" s="11">
        <v>7.8</v>
      </c>
    </row>
    <row r="1845" spans="1:9" x14ac:dyDescent="0.35">
      <c r="A1845" s="2" t="s">
        <v>217</v>
      </c>
      <c r="B1845" s="3">
        <v>44774</v>
      </c>
      <c r="C1845" s="2">
        <v>20</v>
      </c>
      <c r="D1845" s="2">
        <v>30538</v>
      </c>
      <c r="E1845" s="17">
        <v>64032.68</v>
      </c>
      <c r="F1845" s="11">
        <v>6.41</v>
      </c>
      <c r="G1845" s="9">
        <v>4808.8</v>
      </c>
      <c r="H1845" s="10">
        <v>0.4</v>
      </c>
      <c r="I1845" s="11">
        <v>7.5</v>
      </c>
    </row>
    <row r="1846" spans="1:9" x14ac:dyDescent="0.35">
      <c r="A1846" s="2" t="s">
        <v>217</v>
      </c>
      <c r="B1846" s="3">
        <v>44805</v>
      </c>
      <c r="C1846" s="2">
        <v>13</v>
      </c>
      <c r="D1846" s="2">
        <v>21352</v>
      </c>
      <c r="E1846" s="17">
        <v>42709.75</v>
      </c>
      <c r="F1846" s="11">
        <v>6.36</v>
      </c>
      <c r="G1846" s="9">
        <v>3336.7</v>
      </c>
      <c r="H1846" s="10">
        <v>0.53800000000000003</v>
      </c>
      <c r="I1846" s="11">
        <v>7.5</v>
      </c>
    </row>
    <row r="1847" spans="1:9" x14ac:dyDescent="0.35">
      <c r="A1847" s="2" t="s">
        <v>217</v>
      </c>
      <c r="B1847" s="3">
        <v>44835</v>
      </c>
      <c r="C1847" s="2">
        <v>17</v>
      </c>
      <c r="D1847" s="2">
        <v>26054</v>
      </c>
      <c r="E1847" s="17">
        <v>55246.1</v>
      </c>
      <c r="F1847" s="11">
        <v>6.42</v>
      </c>
      <c r="G1847" s="9">
        <v>4135</v>
      </c>
      <c r="H1847" s="10">
        <v>0.41199999999999998</v>
      </c>
      <c r="I1847" s="11">
        <v>6.5</v>
      </c>
    </row>
    <row r="1848" spans="1:9" x14ac:dyDescent="0.35">
      <c r="A1848" s="2" t="s">
        <v>217</v>
      </c>
      <c r="B1848" s="3">
        <v>44866</v>
      </c>
      <c r="C1848" s="2">
        <v>17</v>
      </c>
      <c r="D1848" s="2">
        <v>19104</v>
      </c>
      <c r="E1848" s="17">
        <v>41466.44</v>
      </c>
      <c r="F1848" s="11">
        <v>6.48</v>
      </c>
      <c r="G1848" s="9">
        <v>3013</v>
      </c>
      <c r="H1848" s="10">
        <v>0.47099999999999997</v>
      </c>
      <c r="I1848" s="11">
        <v>6.9</v>
      </c>
    </row>
    <row r="1849" spans="1:9" x14ac:dyDescent="0.35">
      <c r="A1849" s="2" t="s">
        <v>217</v>
      </c>
      <c r="B1849" s="3">
        <v>44896</v>
      </c>
      <c r="C1849" s="2">
        <v>22</v>
      </c>
      <c r="D1849" s="2">
        <v>27858</v>
      </c>
      <c r="E1849" s="17">
        <v>60335.45</v>
      </c>
      <c r="F1849" s="11">
        <v>6.46</v>
      </c>
      <c r="G1849" s="9">
        <v>4409.8999999999996</v>
      </c>
      <c r="H1849" s="10">
        <v>0.318</v>
      </c>
      <c r="I1849" s="11">
        <v>7.9</v>
      </c>
    </row>
    <row r="1850" spans="1:9" x14ac:dyDescent="0.35">
      <c r="A1850" s="2" t="s">
        <v>217</v>
      </c>
      <c r="B1850" s="3">
        <v>44927</v>
      </c>
      <c r="C1850" s="2">
        <v>21</v>
      </c>
      <c r="D1850" s="2">
        <v>28721</v>
      </c>
      <c r="E1850" s="17">
        <v>60117.34</v>
      </c>
      <c r="F1850" s="11">
        <v>6.69</v>
      </c>
      <c r="G1850" s="9">
        <v>4252.3</v>
      </c>
      <c r="H1850" s="10">
        <v>0.42899999999999999</v>
      </c>
      <c r="I1850" s="11">
        <v>7.2</v>
      </c>
    </row>
    <row r="1851" spans="1:9" x14ac:dyDescent="0.35">
      <c r="A1851" s="2" t="s">
        <v>217</v>
      </c>
      <c r="B1851" s="3">
        <v>44958</v>
      </c>
      <c r="C1851" s="2">
        <v>16</v>
      </c>
      <c r="D1851" s="2">
        <v>22320</v>
      </c>
      <c r="E1851" s="17">
        <v>52898.43</v>
      </c>
      <c r="F1851" s="11">
        <v>6.6</v>
      </c>
      <c r="G1851" s="9">
        <v>3457.6</v>
      </c>
      <c r="H1851" s="10">
        <v>0.375</v>
      </c>
      <c r="I1851" s="11">
        <v>6.9</v>
      </c>
    </row>
    <row r="1852" spans="1:9" x14ac:dyDescent="0.35">
      <c r="A1852" s="2" t="s">
        <v>217</v>
      </c>
      <c r="B1852" s="3">
        <v>44986</v>
      </c>
      <c r="C1852" s="2">
        <v>17</v>
      </c>
      <c r="D1852" s="2">
        <v>22512</v>
      </c>
      <c r="E1852" s="17">
        <v>50664.28</v>
      </c>
      <c r="F1852" s="11">
        <v>6.66</v>
      </c>
      <c r="G1852" s="9">
        <v>3437.4</v>
      </c>
      <c r="H1852" s="10">
        <v>0.35299999999999998</v>
      </c>
      <c r="I1852" s="11">
        <v>7.6</v>
      </c>
    </row>
    <row r="1853" spans="1:9" x14ac:dyDescent="0.35">
      <c r="A1853" s="2" t="s">
        <v>217</v>
      </c>
      <c r="B1853" s="3">
        <v>45017</v>
      </c>
      <c r="C1853" s="2">
        <v>15</v>
      </c>
      <c r="D1853" s="2">
        <v>18006</v>
      </c>
      <c r="E1853" s="17">
        <v>36749.57</v>
      </c>
      <c r="F1853" s="11">
        <v>6.45</v>
      </c>
      <c r="G1853" s="9">
        <v>2866.5</v>
      </c>
      <c r="H1853" s="10">
        <v>0.13300000000000001</v>
      </c>
      <c r="I1853" s="11">
        <v>6.9</v>
      </c>
    </row>
    <row r="1854" spans="1:9" x14ac:dyDescent="0.35">
      <c r="A1854" s="2" t="s">
        <v>217</v>
      </c>
      <c r="B1854" s="3">
        <v>45047</v>
      </c>
      <c r="C1854" s="2">
        <v>19</v>
      </c>
      <c r="D1854" s="2">
        <v>26251</v>
      </c>
      <c r="E1854" s="17">
        <v>58873.52</v>
      </c>
      <c r="F1854" s="11">
        <v>6.41</v>
      </c>
      <c r="G1854" s="9">
        <v>4154.8</v>
      </c>
      <c r="H1854" s="10">
        <v>0.42099999999999999</v>
      </c>
      <c r="I1854" s="11">
        <v>7.3</v>
      </c>
    </row>
    <row r="1855" spans="1:9" x14ac:dyDescent="0.35">
      <c r="A1855" s="2" t="s">
        <v>217</v>
      </c>
      <c r="B1855" s="3">
        <v>45078</v>
      </c>
      <c r="C1855" s="2">
        <v>18</v>
      </c>
      <c r="D1855" s="2">
        <v>31687</v>
      </c>
      <c r="E1855" s="17">
        <v>67787.210000000006</v>
      </c>
      <c r="F1855" s="11">
        <v>6.44</v>
      </c>
      <c r="G1855" s="9">
        <v>5061.8</v>
      </c>
      <c r="H1855" s="10">
        <v>0.61099999999999999</v>
      </c>
      <c r="I1855" s="11">
        <v>7.1</v>
      </c>
    </row>
    <row r="1856" spans="1:9" x14ac:dyDescent="0.35">
      <c r="A1856" s="2" t="s">
        <v>217</v>
      </c>
      <c r="B1856" s="3">
        <v>45108</v>
      </c>
      <c r="C1856" s="2">
        <v>17</v>
      </c>
      <c r="D1856" s="2">
        <v>27981</v>
      </c>
      <c r="E1856" s="17">
        <v>66870.55</v>
      </c>
      <c r="F1856" s="11">
        <v>6.91</v>
      </c>
      <c r="G1856" s="9">
        <v>4064</v>
      </c>
      <c r="H1856" s="10">
        <v>0.47099999999999997</v>
      </c>
      <c r="I1856" s="11">
        <v>6.7</v>
      </c>
    </row>
    <row r="1857" spans="1:9" x14ac:dyDescent="0.35">
      <c r="A1857" s="2" t="s">
        <v>217</v>
      </c>
      <c r="B1857" s="3">
        <v>45139</v>
      </c>
      <c r="C1857" s="2">
        <v>16</v>
      </c>
      <c r="D1857" s="2">
        <v>17661</v>
      </c>
      <c r="E1857" s="17">
        <v>36240.21</v>
      </c>
      <c r="F1857" s="11">
        <v>6.53</v>
      </c>
      <c r="G1857" s="9">
        <v>2734.1</v>
      </c>
      <c r="H1857" s="10">
        <v>0.312</v>
      </c>
      <c r="I1857" s="11">
        <v>8.1999999999999993</v>
      </c>
    </row>
    <row r="1858" spans="1:9" x14ac:dyDescent="0.35">
      <c r="A1858" s="2" t="s">
        <v>217</v>
      </c>
      <c r="B1858" s="3">
        <v>45170</v>
      </c>
      <c r="C1858" s="2">
        <v>16</v>
      </c>
      <c r="D1858" s="2">
        <v>22268</v>
      </c>
      <c r="E1858" s="17">
        <v>48795</v>
      </c>
      <c r="F1858" s="11">
        <v>6.73</v>
      </c>
      <c r="G1858" s="9">
        <v>3344.4</v>
      </c>
      <c r="H1858" s="10">
        <v>0.375</v>
      </c>
      <c r="I1858" s="11">
        <v>6.4</v>
      </c>
    </row>
    <row r="1859" spans="1:9" x14ac:dyDescent="0.35">
      <c r="A1859" s="2" t="s">
        <v>217</v>
      </c>
      <c r="B1859" s="3">
        <v>45200</v>
      </c>
      <c r="C1859" s="2">
        <v>21</v>
      </c>
      <c r="D1859" s="2">
        <v>30197</v>
      </c>
      <c r="E1859" s="17">
        <v>64446.89</v>
      </c>
      <c r="F1859" s="11">
        <v>6.53</v>
      </c>
      <c r="G1859" s="9">
        <v>4657.3999999999996</v>
      </c>
      <c r="H1859" s="10">
        <v>0.57099999999999995</v>
      </c>
      <c r="I1859" s="11">
        <v>7</v>
      </c>
    </row>
    <row r="1860" spans="1:9" x14ac:dyDescent="0.35">
      <c r="A1860" s="2" t="s">
        <v>217</v>
      </c>
      <c r="B1860" s="3">
        <v>45231</v>
      </c>
      <c r="C1860" s="2">
        <v>18</v>
      </c>
      <c r="D1860" s="2">
        <v>32096</v>
      </c>
      <c r="E1860" s="17">
        <v>67399.11</v>
      </c>
      <c r="F1860" s="11">
        <v>6.45</v>
      </c>
      <c r="G1860" s="9">
        <v>5093.8999999999996</v>
      </c>
      <c r="H1860" s="10">
        <v>0.55600000000000005</v>
      </c>
      <c r="I1860" s="11">
        <v>6.3</v>
      </c>
    </row>
    <row r="1861" spans="1:9" x14ac:dyDescent="0.35">
      <c r="A1861" s="2" t="s">
        <v>217</v>
      </c>
      <c r="B1861" s="3">
        <v>45261</v>
      </c>
      <c r="C1861" s="2">
        <v>16</v>
      </c>
      <c r="D1861" s="2">
        <v>26668</v>
      </c>
      <c r="E1861" s="17">
        <v>62969.08</v>
      </c>
      <c r="F1861" s="11">
        <v>6.22</v>
      </c>
      <c r="G1861" s="9">
        <v>4295.6000000000004</v>
      </c>
      <c r="H1861" s="10">
        <v>0.5</v>
      </c>
      <c r="I1861" s="11">
        <v>7.7</v>
      </c>
    </row>
    <row r="1862" spans="1:9" x14ac:dyDescent="0.35">
      <c r="A1862" s="2" t="s">
        <v>217</v>
      </c>
      <c r="B1862" s="3">
        <v>45292</v>
      </c>
      <c r="C1862" s="2">
        <v>11</v>
      </c>
      <c r="D1862" s="2">
        <v>18564</v>
      </c>
      <c r="E1862" s="17">
        <v>44811.37</v>
      </c>
      <c r="F1862" s="11">
        <v>6.55</v>
      </c>
      <c r="G1862" s="9">
        <v>2835</v>
      </c>
      <c r="H1862" s="10">
        <v>0.36399999999999999</v>
      </c>
      <c r="I1862" s="11">
        <v>6.9</v>
      </c>
    </row>
    <row r="1863" spans="1:9" x14ac:dyDescent="0.35">
      <c r="A1863" s="2" t="s">
        <v>217</v>
      </c>
      <c r="B1863" s="3">
        <v>45323</v>
      </c>
      <c r="C1863" s="2">
        <v>22</v>
      </c>
      <c r="D1863" s="2">
        <v>36671</v>
      </c>
      <c r="E1863" s="17">
        <v>80295.649999999994</v>
      </c>
      <c r="F1863" s="11">
        <v>6.47</v>
      </c>
      <c r="G1863" s="9">
        <v>5706.7</v>
      </c>
      <c r="H1863" s="10">
        <v>0.22700000000000001</v>
      </c>
      <c r="I1863" s="11">
        <v>6.6</v>
      </c>
    </row>
    <row r="1864" spans="1:9" x14ac:dyDescent="0.35">
      <c r="A1864" s="2" t="s">
        <v>217</v>
      </c>
      <c r="B1864" s="3">
        <v>45352</v>
      </c>
      <c r="C1864" s="2">
        <v>33</v>
      </c>
      <c r="D1864" s="2">
        <v>37764</v>
      </c>
      <c r="E1864" s="17">
        <v>77136.509999999995</v>
      </c>
      <c r="F1864" s="11">
        <v>6.52</v>
      </c>
      <c r="G1864" s="9">
        <v>5945.9</v>
      </c>
      <c r="H1864" s="10">
        <v>0.54500000000000004</v>
      </c>
      <c r="I1864" s="11">
        <v>6</v>
      </c>
    </row>
    <row r="1865" spans="1:9" x14ac:dyDescent="0.35">
      <c r="A1865" s="2" t="s">
        <v>217</v>
      </c>
      <c r="B1865" s="3">
        <v>45383</v>
      </c>
      <c r="C1865" s="2">
        <v>24</v>
      </c>
      <c r="D1865" s="2">
        <v>33899</v>
      </c>
      <c r="E1865" s="17">
        <v>77143.03</v>
      </c>
      <c r="F1865" s="11">
        <v>6.62</v>
      </c>
      <c r="G1865" s="9">
        <v>5203.7</v>
      </c>
      <c r="H1865" s="10">
        <v>0.41699999999999998</v>
      </c>
      <c r="I1865" s="11">
        <v>7</v>
      </c>
    </row>
    <row r="1866" spans="1:9" x14ac:dyDescent="0.35">
      <c r="A1866" s="2" t="s">
        <v>217</v>
      </c>
      <c r="B1866" s="3">
        <v>45413</v>
      </c>
      <c r="C1866" s="2">
        <v>17</v>
      </c>
      <c r="D1866" s="2">
        <v>20980</v>
      </c>
      <c r="E1866" s="17">
        <v>43949.71</v>
      </c>
      <c r="F1866" s="11">
        <v>6.71</v>
      </c>
      <c r="G1866" s="9">
        <v>3157.7</v>
      </c>
      <c r="H1866" s="10">
        <v>0.41199999999999998</v>
      </c>
      <c r="I1866" s="11">
        <v>7.4</v>
      </c>
    </row>
    <row r="1867" spans="1:9" x14ac:dyDescent="0.35">
      <c r="A1867" s="2" t="s">
        <v>217</v>
      </c>
      <c r="B1867" s="3">
        <v>45444</v>
      </c>
      <c r="C1867" s="2">
        <v>20</v>
      </c>
      <c r="D1867" s="2">
        <v>32816</v>
      </c>
      <c r="E1867" s="17">
        <v>71090.59</v>
      </c>
      <c r="F1867" s="11">
        <v>6.74</v>
      </c>
      <c r="G1867" s="9">
        <v>4784.6000000000004</v>
      </c>
      <c r="H1867" s="10">
        <v>0.4</v>
      </c>
      <c r="I1867" s="11">
        <v>6.9</v>
      </c>
    </row>
    <row r="1868" spans="1:9" x14ac:dyDescent="0.35">
      <c r="A1868" s="2" t="s">
        <v>217</v>
      </c>
      <c r="B1868" s="3">
        <v>45474</v>
      </c>
      <c r="C1868" s="2">
        <v>13</v>
      </c>
      <c r="D1868" s="2">
        <v>17470</v>
      </c>
      <c r="E1868" s="17">
        <v>35619.11</v>
      </c>
      <c r="F1868" s="11">
        <v>6.46</v>
      </c>
      <c r="G1868" s="9">
        <v>2741</v>
      </c>
      <c r="H1868" s="10">
        <v>0.61499999999999999</v>
      </c>
      <c r="I1868" s="11">
        <v>6.1</v>
      </c>
    </row>
    <row r="1869" spans="1:9" x14ac:dyDescent="0.35">
      <c r="A1869" s="2" t="s">
        <v>217</v>
      </c>
      <c r="B1869" s="3">
        <v>45505</v>
      </c>
      <c r="C1869" s="2">
        <v>20</v>
      </c>
      <c r="D1869" s="2">
        <v>24970</v>
      </c>
      <c r="E1869" s="17">
        <v>52973.93</v>
      </c>
      <c r="F1869" s="11">
        <v>6.44</v>
      </c>
      <c r="G1869" s="9">
        <v>3904.9</v>
      </c>
      <c r="H1869" s="10">
        <v>0.4</v>
      </c>
      <c r="I1869" s="11">
        <v>7.4</v>
      </c>
    </row>
    <row r="1870" spans="1:9" x14ac:dyDescent="0.35">
      <c r="A1870" s="2" t="s">
        <v>217</v>
      </c>
      <c r="B1870" s="3">
        <v>45536</v>
      </c>
      <c r="C1870" s="2">
        <v>16</v>
      </c>
      <c r="D1870" s="2">
        <v>24958</v>
      </c>
      <c r="E1870" s="17">
        <v>51029.86</v>
      </c>
      <c r="F1870" s="11">
        <v>6.56</v>
      </c>
      <c r="G1870" s="9">
        <v>3816.3</v>
      </c>
      <c r="H1870" s="10">
        <v>0.438</v>
      </c>
      <c r="I1870" s="11">
        <v>5.3</v>
      </c>
    </row>
    <row r="1871" spans="1:9" x14ac:dyDescent="0.35">
      <c r="A1871" s="2" t="s">
        <v>217</v>
      </c>
      <c r="B1871" s="3">
        <v>45566</v>
      </c>
      <c r="C1871" s="2">
        <v>23</v>
      </c>
      <c r="D1871" s="2">
        <v>29207</v>
      </c>
      <c r="E1871" s="17">
        <v>60291.58</v>
      </c>
      <c r="F1871" s="11">
        <v>6.65</v>
      </c>
      <c r="G1871" s="9">
        <v>4411.3</v>
      </c>
      <c r="H1871" s="10">
        <v>0.52200000000000002</v>
      </c>
      <c r="I1871" s="11">
        <v>8.3000000000000007</v>
      </c>
    </row>
    <row r="1872" spans="1:9" x14ac:dyDescent="0.35">
      <c r="A1872" s="2" t="s">
        <v>217</v>
      </c>
      <c r="B1872" s="3">
        <v>45597</v>
      </c>
      <c r="C1872" s="2">
        <v>27</v>
      </c>
      <c r="D1872" s="2">
        <v>41572</v>
      </c>
      <c r="E1872" s="17">
        <v>80073.59</v>
      </c>
      <c r="F1872" s="11">
        <v>6.34</v>
      </c>
      <c r="G1872" s="9">
        <v>6673.3</v>
      </c>
      <c r="H1872" s="10">
        <v>0.44400000000000001</v>
      </c>
      <c r="I1872" s="11">
        <v>7.2</v>
      </c>
    </row>
    <row r="1873" spans="1:9" x14ac:dyDescent="0.35">
      <c r="A1873" s="2" t="s">
        <v>217</v>
      </c>
      <c r="B1873" s="3">
        <v>45627</v>
      </c>
      <c r="C1873" s="2">
        <v>18</v>
      </c>
      <c r="D1873" s="2">
        <v>20391</v>
      </c>
      <c r="E1873" s="17">
        <v>45529.53</v>
      </c>
      <c r="F1873" s="11">
        <v>6.55</v>
      </c>
      <c r="G1873" s="9">
        <v>3196.1</v>
      </c>
      <c r="H1873" s="10">
        <v>0.77800000000000002</v>
      </c>
      <c r="I1873" s="11">
        <v>6.4</v>
      </c>
    </row>
    <row r="1874" spans="1:9" x14ac:dyDescent="0.35">
      <c r="A1874" s="2" t="s">
        <v>220</v>
      </c>
      <c r="B1874" s="3">
        <v>44562</v>
      </c>
      <c r="C1874" s="2">
        <v>18</v>
      </c>
      <c r="D1874" s="2">
        <v>22853</v>
      </c>
      <c r="E1874" s="17">
        <v>49536.57</v>
      </c>
      <c r="F1874" s="11">
        <v>6.78</v>
      </c>
      <c r="G1874" s="9">
        <v>3402.3</v>
      </c>
      <c r="H1874" s="10">
        <v>0.44400000000000001</v>
      </c>
      <c r="I1874" s="11">
        <v>6.4</v>
      </c>
    </row>
    <row r="1875" spans="1:9" x14ac:dyDescent="0.35">
      <c r="A1875" s="2" t="s">
        <v>220</v>
      </c>
      <c r="B1875" s="3">
        <v>44593</v>
      </c>
      <c r="C1875" s="2">
        <v>18</v>
      </c>
      <c r="D1875" s="2">
        <v>27369</v>
      </c>
      <c r="E1875" s="17">
        <v>58850.19</v>
      </c>
      <c r="F1875" s="11">
        <v>6.5</v>
      </c>
      <c r="G1875" s="9">
        <v>4216.3999999999996</v>
      </c>
      <c r="H1875" s="10">
        <v>0.33300000000000002</v>
      </c>
      <c r="I1875" s="11">
        <v>6.5</v>
      </c>
    </row>
    <row r="1876" spans="1:9" x14ac:dyDescent="0.35">
      <c r="A1876" s="2" t="s">
        <v>220</v>
      </c>
      <c r="B1876" s="3">
        <v>44621</v>
      </c>
      <c r="C1876" s="2">
        <v>17</v>
      </c>
      <c r="D1876" s="2">
        <v>19359</v>
      </c>
      <c r="E1876" s="17">
        <v>38396.25</v>
      </c>
      <c r="F1876" s="11">
        <v>6.48</v>
      </c>
      <c r="G1876" s="9">
        <v>2993.9</v>
      </c>
      <c r="H1876" s="10">
        <v>0.58799999999999997</v>
      </c>
      <c r="I1876" s="11">
        <v>6.7</v>
      </c>
    </row>
    <row r="1877" spans="1:9" x14ac:dyDescent="0.35">
      <c r="A1877" s="2" t="s">
        <v>220</v>
      </c>
      <c r="B1877" s="3">
        <v>44652</v>
      </c>
      <c r="C1877" s="2">
        <v>20</v>
      </c>
      <c r="D1877" s="2">
        <v>27901</v>
      </c>
      <c r="E1877" s="17">
        <v>61618.94</v>
      </c>
      <c r="F1877" s="11">
        <v>6.46</v>
      </c>
      <c r="G1877" s="9">
        <v>4416</v>
      </c>
      <c r="H1877" s="10">
        <v>0.6</v>
      </c>
      <c r="I1877" s="11">
        <v>6.8</v>
      </c>
    </row>
    <row r="1878" spans="1:9" x14ac:dyDescent="0.35">
      <c r="A1878" s="2" t="s">
        <v>220</v>
      </c>
      <c r="B1878" s="3">
        <v>44682</v>
      </c>
      <c r="C1878" s="2">
        <v>22</v>
      </c>
      <c r="D1878" s="2">
        <v>34674</v>
      </c>
      <c r="E1878" s="17">
        <v>75725.13</v>
      </c>
      <c r="F1878" s="11">
        <v>6.53</v>
      </c>
      <c r="G1878" s="9">
        <v>5375.1</v>
      </c>
      <c r="H1878" s="10">
        <v>0.40899999999999997</v>
      </c>
      <c r="I1878" s="11">
        <v>7.8</v>
      </c>
    </row>
    <row r="1879" spans="1:9" x14ac:dyDescent="0.35">
      <c r="A1879" s="2" t="s">
        <v>220</v>
      </c>
      <c r="B1879" s="3">
        <v>44713</v>
      </c>
      <c r="C1879" s="2">
        <v>20</v>
      </c>
      <c r="D1879" s="2">
        <v>30436</v>
      </c>
      <c r="E1879" s="17">
        <v>61445.99</v>
      </c>
      <c r="F1879" s="11">
        <v>6.7</v>
      </c>
      <c r="G1879" s="9">
        <v>4585.8999999999996</v>
      </c>
      <c r="H1879" s="10">
        <v>0.35</v>
      </c>
      <c r="I1879" s="11">
        <v>7</v>
      </c>
    </row>
    <row r="1880" spans="1:9" x14ac:dyDescent="0.35">
      <c r="A1880" s="2" t="s">
        <v>220</v>
      </c>
      <c r="B1880" s="3">
        <v>44743</v>
      </c>
      <c r="C1880" s="2">
        <v>28</v>
      </c>
      <c r="D1880" s="2">
        <v>43413</v>
      </c>
      <c r="E1880" s="17">
        <v>93147.05</v>
      </c>
      <c r="F1880" s="11">
        <v>6.53</v>
      </c>
      <c r="G1880" s="9">
        <v>6841.4</v>
      </c>
      <c r="H1880" s="10">
        <v>0.53600000000000003</v>
      </c>
      <c r="I1880" s="11">
        <v>7.9</v>
      </c>
    </row>
    <row r="1881" spans="1:9" x14ac:dyDescent="0.35">
      <c r="A1881" s="2" t="s">
        <v>220</v>
      </c>
      <c r="B1881" s="3">
        <v>44774</v>
      </c>
      <c r="C1881" s="2">
        <v>17</v>
      </c>
      <c r="D1881" s="2">
        <v>25122</v>
      </c>
      <c r="E1881" s="17">
        <v>57387.33</v>
      </c>
      <c r="F1881" s="11">
        <v>6.3</v>
      </c>
      <c r="G1881" s="9">
        <v>4027.2</v>
      </c>
      <c r="H1881" s="10">
        <v>0.58799999999999997</v>
      </c>
      <c r="I1881" s="11">
        <v>6.1</v>
      </c>
    </row>
    <row r="1882" spans="1:9" x14ac:dyDescent="0.35">
      <c r="A1882" s="2" t="s">
        <v>220</v>
      </c>
      <c r="B1882" s="3">
        <v>44805</v>
      </c>
      <c r="C1882" s="2">
        <v>15</v>
      </c>
      <c r="D1882" s="2">
        <v>19132</v>
      </c>
      <c r="E1882" s="17">
        <v>39866.559999999998</v>
      </c>
      <c r="F1882" s="11">
        <v>6.39</v>
      </c>
      <c r="G1882" s="9">
        <v>2990.4</v>
      </c>
      <c r="H1882" s="10">
        <v>0.33300000000000002</v>
      </c>
      <c r="I1882" s="11">
        <v>6.8</v>
      </c>
    </row>
    <row r="1883" spans="1:9" x14ac:dyDescent="0.35">
      <c r="A1883" s="2" t="s">
        <v>220</v>
      </c>
      <c r="B1883" s="3">
        <v>44835</v>
      </c>
      <c r="C1883" s="2">
        <v>24</v>
      </c>
      <c r="D1883" s="2">
        <v>26307</v>
      </c>
      <c r="E1883" s="17">
        <v>58191.95</v>
      </c>
      <c r="F1883" s="11">
        <v>6.58</v>
      </c>
      <c r="G1883" s="9">
        <v>4012</v>
      </c>
      <c r="H1883" s="10">
        <v>0.5</v>
      </c>
      <c r="I1883" s="11">
        <v>7.7</v>
      </c>
    </row>
    <row r="1884" spans="1:9" x14ac:dyDescent="0.35">
      <c r="A1884" s="2" t="s">
        <v>220</v>
      </c>
      <c r="B1884" s="3">
        <v>44866</v>
      </c>
      <c r="C1884" s="2">
        <v>25</v>
      </c>
      <c r="D1884" s="2">
        <v>40741</v>
      </c>
      <c r="E1884" s="17">
        <v>83984.6</v>
      </c>
      <c r="F1884" s="11">
        <v>6.47</v>
      </c>
      <c r="G1884" s="9">
        <v>6334.3</v>
      </c>
      <c r="H1884" s="10">
        <v>0.32</v>
      </c>
      <c r="I1884" s="11">
        <v>7.1</v>
      </c>
    </row>
    <row r="1885" spans="1:9" x14ac:dyDescent="0.35">
      <c r="A1885" s="2" t="s">
        <v>220</v>
      </c>
      <c r="B1885" s="3">
        <v>44896</v>
      </c>
      <c r="C1885" s="2">
        <v>13</v>
      </c>
      <c r="D1885" s="2">
        <v>17399</v>
      </c>
      <c r="E1885" s="17">
        <v>33612.660000000003</v>
      </c>
      <c r="F1885" s="11">
        <v>6.37</v>
      </c>
      <c r="G1885" s="9">
        <v>2727.8</v>
      </c>
      <c r="H1885" s="10">
        <v>0.38500000000000001</v>
      </c>
      <c r="I1885" s="11">
        <v>6.6</v>
      </c>
    </row>
    <row r="1886" spans="1:9" x14ac:dyDescent="0.35">
      <c r="A1886" s="2" t="s">
        <v>220</v>
      </c>
      <c r="B1886" s="3">
        <v>44927</v>
      </c>
      <c r="C1886" s="2">
        <v>19</v>
      </c>
      <c r="D1886" s="2">
        <v>32590</v>
      </c>
      <c r="E1886" s="17">
        <v>71179.88</v>
      </c>
      <c r="F1886" s="11">
        <v>6.48</v>
      </c>
      <c r="G1886" s="9">
        <v>5057.7</v>
      </c>
      <c r="H1886" s="10">
        <v>0.42099999999999999</v>
      </c>
      <c r="I1886" s="11">
        <v>6.3</v>
      </c>
    </row>
    <row r="1887" spans="1:9" x14ac:dyDescent="0.35">
      <c r="A1887" s="2" t="s">
        <v>220</v>
      </c>
      <c r="B1887" s="3">
        <v>44958</v>
      </c>
      <c r="C1887" s="2">
        <v>18</v>
      </c>
      <c r="D1887" s="2">
        <v>20098</v>
      </c>
      <c r="E1887" s="17">
        <v>45503.11</v>
      </c>
      <c r="F1887" s="11">
        <v>6.37</v>
      </c>
      <c r="G1887" s="9">
        <v>3151.6</v>
      </c>
      <c r="H1887" s="10">
        <v>0.27800000000000002</v>
      </c>
      <c r="I1887" s="11">
        <v>6.3</v>
      </c>
    </row>
    <row r="1888" spans="1:9" x14ac:dyDescent="0.35">
      <c r="A1888" s="2" t="s">
        <v>220</v>
      </c>
      <c r="B1888" s="3">
        <v>44986</v>
      </c>
      <c r="C1888" s="2">
        <v>15</v>
      </c>
      <c r="D1888" s="2">
        <v>21357</v>
      </c>
      <c r="E1888" s="17">
        <v>44866.2</v>
      </c>
      <c r="F1888" s="11">
        <v>6.21</v>
      </c>
      <c r="G1888" s="9">
        <v>3591.6</v>
      </c>
      <c r="H1888" s="10">
        <v>0.4</v>
      </c>
      <c r="I1888" s="11">
        <v>6.1</v>
      </c>
    </row>
    <row r="1889" spans="1:9" x14ac:dyDescent="0.35">
      <c r="A1889" s="2" t="s">
        <v>220</v>
      </c>
      <c r="B1889" s="3">
        <v>45017</v>
      </c>
      <c r="C1889" s="2">
        <v>22</v>
      </c>
      <c r="D1889" s="2">
        <v>24984</v>
      </c>
      <c r="E1889" s="17">
        <v>52210.29</v>
      </c>
      <c r="F1889" s="11">
        <v>6.49</v>
      </c>
      <c r="G1889" s="9">
        <v>3948.8</v>
      </c>
      <c r="H1889" s="10">
        <v>0.45500000000000002</v>
      </c>
      <c r="I1889" s="11">
        <v>6.9</v>
      </c>
    </row>
    <row r="1890" spans="1:9" x14ac:dyDescent="0.35">
      <c r="A1890" s="2" t="s">
        <v>220</v>
      </c>
      <c r="B1890" s="3">
        <v>45047</v>
      </c>
      <c r="C1890" s="2">
        <v>15</v>
      </c>
      <c r="D1890" s="2">
        <v>18527</v>
      </c>
      <c r="E1890" s="17">
        <v>37950.370000000003</v>
      </c>
      <c r="F1890" s="11">
        <v>6.46</v>
      </c>
      <c r="G1890" s="9">
        <v>2863.5</v>
      </c>
      <c r="H1890" s="10">
        <v>0.73299999999999998</v>
      </c>
      <c r="I1890" s="11">
        <v>7.1</v>
      </c>
    </row>
    <row r="1891" spans="1:9" x14ac:dyDescent="0.35">
      <c r="A1891" s="2" t="s">
        <v>220</v>
      </c>
      <c r="B1891" s="3">
        <v>45078</v>
      </c>
      <c r="C1891" s="2">
        <v>20</v>
      </c>
      <c r="D1891" s="2">
        <v>25870</v>
      </c>
      <c r="E1891" s="17">
        <v>52667.18</v>
      </c>
      <c r="F1891" s="11">
        <v>6.7</v>
      </c>
      <c r="G1891" s="9">
        <v>3860.2</v>
      </c>
      <c r="H1891" s="10">
        <v>0.45</v>
      </c>
      <c r="I1891" s="11">
        <v>5.8</v>
      </c>
    </row>
    <row r="1892" spans="1:9" x14ac:dyDescent="0.35">
      <c r="A1892" s="2" t="s">
        <v>220</v>
      </c>
      <c r="B1892" s="3">
        <v>45108</v>
      </c>
      <c r="C1892" s="2">
        <v>19</v>
      </c>
      <c r="D1892" s="2">
        <v>21304</v>
      </c>
      <c r="E1892" s="17">
        <v>43992.72</v>
      </c>
      <c r="F1892" s="11">
        <v>6.37</v>
      </c>
      <c r="G1892" s="9">
        <v>3392.5</v>
      </c>
      <c r="H1892" s="10">
        <v>0.63200000000000001</v>
      </c>
      <c r="I1892" s="11">
        <v>7.4</v>
      </c>
    </row>
    <row r="1893" spans="1:9" x14ac:dyDescent="0.35">
      <c r="A1893" s="2" t="s">
        <v>220</v>
      </c>
      <c r="B1893" s="3">
        <v>45139</v>
      </c>
      <c r="C1893" s="2">
        <v>18</v>
      </c>
      <c r="D1893" s="2">
        <v>33371</v>
      </c>
      <c r="E1893" s="17">
        <v>67940.600000000006</v>
      </c>
      <c r="F1893" s="11">
        <v>6.43</v>
      </c>
      <c r="G1893" s="9">
        <v>5185.8999999999996</v>
      </c>
      <c r="H1893" s="10">
        <v>0.38900000000000001</v>
      </c>
      <c r="I1893" s="11">
        <v>6.4</v>
      </c>
    </row>
    <row r="1894" spans="1:9" x14ac:dyDescent="0.35">
      <c r="A1894" s="2" t="s">
        <v>220</v>
      </c>
      <c r="B1894" s="3">
        <v>45170</v>
      </c>
      <c r="C1894" s="2">
        <v>17</v>
      </c>
      <c r="D1894" s="2">
        <v>24000</v>
      </c>
      <c r="E1894" s="17">
        <v>53492.93</v>
      </c>
      <c r="F1894" s="11">
        <v>6.54</v>
      </c>
      <c r="G1894" s="9">
        <v>3661.9</v>
      </c>
      <c r="H1894" s="10">
        <v>0.41199999999999998</v>
      </c>
      <c r="I1894" s="11">
        <v>7.1</v>
      </c>
    </row>
    <row r="1895" spans="1:9" x14ac:dyDescent="0.35">
      <c r="A1895" s="2" t="s">
        <v>220</v>
      </c>
      <c r="B1895" s="3">
        <v>45200</v>
      </c>
      <c r="C1895" s="2">
        <v>19</v>
      </c>
      <c r="D1895" s="2">
        <v>29784</v>
      </c>
      <c r="E1895" s="17">
        <v>59179.81</v>
      </c>
      <c r="F1895" s="11">
        <v>6.5</v>
      </c>
      <c r="G1895" s="9">
        <v>4586.5</v>
      </c>
      <c r="H1895" s="10">
        <v>0.36799999999999999</v>
      </c>
      <c r="I1895" s="11">
        <v>7.6</v>
      </c>
    </row>
    <row r="1896" spans="1:9" x14ac:dyDescent="0.35">
      <c r="A1896" s="2" t="s">
        <v>220</v>
      </c>
      <c r="B1896" s="3">
        <v>45231</v>
      </c>
      <c r="C1896" s="2">
        <v>22</v>
      </c>
      <c r="D1896" s="2">
        <v>30541</v>
      </c>
      <c r="E1896" s="17">
        <v>67560.570000000007</v>
      </c>
      <c r="F1896" s="11">
        <v>6.54</v>
      </c>
      <c r="G1896" s="9">
        <v>4701.3999999999996</v>
      </c>
      <c r="H1896" s="10">
        <v>0.54500000000000004</v>
      </c>
      <c r="I1896" s="11">
        <v>7.5</v>
      </c>
    </row>
    <row r="1897" spans="1:9" x14ac:dyDescent="0.35">
      <c r="A1897" s="2" t="s">
        <v>220</v>
      </c>
      <c r="B1897" s="3">
        <v>45261</v>
      </c>
      <c r="C1897" s="2">
        <v>23</v>
      </c>
      <c r="D1897" s="2">
        <v>30976</v>
      </c>
      <c r="E1897" s="17">
        <v>62799.18</v>
      </c>
      <c r="F1897" s="11">
        <v>6.8</v>
      </c>
      <c r="G1897" s="9">
        <v>4536</v>
      </c>
      <c r="H1897" s="10">
        <v>0.435</v>
      </c>
      <c r="I1897" s="11">
        <v>6.5</v>
      </c>
    </row>
    <row r="1898" spans="1:9" x14ac:dyDescent="0.35">
      <c r="A1898" s="2" t="s">
        <v>220</v>
      </c>
      <c r="B1898" s="3">
        <v>45292</v>
      </c>
      <c r="C1898" s="2">
        <v>15</v>
      </c>
      <c r="D1898" s="2">
        <v>23410</v>
      </c>
      <c r="E1898" s="17">
        <v>48405.74</v>
      </c>
      <c r="F1898" s="11">
        <v>6.36</v>
      </c>
      <c r="G1898" s="9">
        <v>3597.3</v>
      </c>
      <c r="H1898" s="10">
        <v>0.46700000000000003</v>
      </c>
      <c r="I1898" s="11">
        <v>8</v>
      </c>
    </row>
    <row r="1899" spans="1:9" x14ac:dyDescent="0.35">
      <c r="A1899" s="2" t="s">
        <v>220</v>
      </c>
      <c r="B1899" s="3">
        <v>45323</v>
      </c>
      <c r="C1899" s="2">
        <v>21</v>
      </c>
      <c r="D1899" s="2">
        <v>31031</v>
      </c>
      <c r="E1899" s="17">
        <v>70039.100000000006</v>
      </c>
      <c r="F1899" s="11">
        <v>6.31</v>
      </c>
      <c r="G1899" s="9">
        <v>4931.8999999999996</v>
      </c>
      <c r="H1899" s="10">
        <v>0.52400000000000002</v>
      </c>
      <c r="I1899" s="11">
        <v>7.1</v>
      </c>
    </row>
    <row r="1900" spans="1:9" x14ac:dyDescent="0.35">
      <c r="A1900" s="2" t="s">
        <v>220</v>
      </c>
      <c r="B1900" s="3">
        <v>45352</v>
      </c>
      <c r="C1900" s="2">
        <v>28</v>
      </c>
      <c r="D1900" s="2">
        <v>45156</v>
      </c>
      <c r="E1900" s="17">
        <v>92917.98</v>
      </c>
      <c r="F1900" s="11">
        <v>6.61</v>
      </c>
      <c r="G1900" s="9">
        <v>6904.8</v>
      </c>
      <c r="H1900" s="10">
        <v>0.53600000000000003</v>
      </c>
      <c r="I1900" s="11">
        <v>8.5</v>
      </c>
    </row>
    <row r="1901" spans="1:9" x14ac:dyDescent="0.35">
      <c r="A1901" s="2" t="s">
        <v>220</v>
      </c>
      <c r="B1901" s="3">
        <v>45383</v>
      </c>
      <c r="C1901" s="2">
        <v>12</v>
      </c>
      <c r="D1901" s="2">
        <v>14322</v>
      </c>
      <c r="E1901" s="17">
        <v>32044.68</v>
      </c>
      <c r="F1901" s="11">
        <v>6.44</v>
      </c>
      <c r="G1901" s="9">
        <v>2202.6</v>
      </c>
      <c r="H1901" s="10">
        <v>0.5</v>
      </c>
      <c r="I1901" s="11">
        <v>7</v>
      </c>
    </row>
    <row r="1902" spans="1:9" x14ac:dyDescent="0.35">
      <c r="A1902" s="2" t="s">
        <v>220</v>
      </c>
      <c r="B1902" s="3">
        <v>45413</v>
      </c>
      <c r="C1902" s="2">
        <v>25</v>
      </c>
      <c r="D1902" s="2">
        <v>39281</v>
      </c>
      <c r="E1902" s="17">
        <v>86289.16</v>
      </c>
      <c r="F1902" s="11">
        <v>6.6</v>
      </c>
      <c r="G1902" s="9">
        <v>5997.7</v>
      </c>
      <c r="H1902" s="10">
        <v>0.44</v>
      </c>
      <c r="I1902" s="11">
        <v>5.9</v>
      </c>
    </row>
    <row r="1903" spans="1:9" x14ac:dyDescent="0.35">
      <c r="A1903" s="2" t="s">
        <v>220</v>
      </c>
      <c r="B1903" s="3">
        <v>45444</v>
      </c>
      <c r="C1903" s="2">
        <v>22</v>
      </c>
      <c r="D1903" s="2">
        <v>31345</v>
      </c>
      <c r="E1903" s="17">
        <v>70906.289999999994</v>
      </c>
      <c r="F1903" s="11">
        <v>6.53</v>
      </c>
      <c r="G1903" s="9">
        <v>4817.8</v>
      </c>
      <c r="H1903" s="10">
        <v>0.40899999999999997</v>
      </c>
      <c r="I1903" s="11">
        <v>7.4</v>
      </c>
    </row>
    <row r="1904" spans="1:9" x14ac:dyDescent="0.35">
      <c r="A1904" s="2" t="s">
        <v>220</v>
      </c>
      <c r="B1904" s="3">
        <v>45474</v>
      </c>
      <c r="C1904" s="2">
        <v>15</v>
      </c>
      <c r="D1904" s="2">
        <v>18523</v>
      </c>
      <c r="E1904" s="17">
        <v>39294.449999999997</v>
      </c>
      <c r="F1904" s="11">
        <v>6.61</v>
      </c>
      <c r="G1904" s="9">
        <v>2817.3</v>
      </c>
      <c r="H1904" s="10">
        <v>0.33300000000000002</v>
      </c>
      <c r="I1904" s="11">
        <v>5.8</v>
      </c>
    </row>
    <row r="1905" spans="1:9" x14ac:dyDescent="0.35">
      <c r="A1905" s="2" t="s">
        <v>220</v>
      </c>
      <c r="B1905" s="3">
        <v>45505</v>
      </c>
      <c r="C1905" s="2">
        <v>21</v>
      </c>
      <c r="D1905" s="2">
        <v>31321</v>
      </c>
      <c r="E1905" s="17">
        <v>66936.75</v>
      </c>
      <c r="F1905" s="11">
        <v>6.45</v>
      </c>
      <c r="G1905" s="9">
        <v>4920.8999999999996</v>
      </c>
      <c r="H1905" s="10">
        <v>0.47599999999999998</v>
      </c>
      <c r="I1905" s="11">
        <v>7.6</v>
      </c>
    </row>
    <row r="1906" spans="1:9" x14ac:dyDescent="0.35">
      <c r="A1906" s="2" t="s">
        <v>220</v>
      </c>
      <c r="B1906" s="3">
        <v>45536</v>
      </c>
      <c r="C1906" s="2">
        <v>22</v>
      </c>
      <c r="D1906" s="2">
        <v>30525</v>
      </c>
      <c r="E1906" s="17">
        <v>60875.01</v>
      </c>
      <c r="F1906" s="11">
        <v>6.43</v>
      </c>
      <c r="G1906" s="9">
        <v>4750.2</v>
      </c>
      <c r="H1906" s="10">
        <v>0.27300000000000002</v>
      </c>
      <c r="I1906" s="11">
        <v>8.1</v>
      </c>
    </row>
    <row r="1907" spans="1:9" x14ac:dyDescent="0.35">
      <c r="A1907" s="2" t="s">
        <v>220</v>
      </c>
      <c r="B1907" s="3">
        <v>45566</v>
      </c>
      <c r="C1907" s="2">
        <v>11</v>
      </c>
      <c r="D1907" s="2">
        <v>11000</v>
      </c>
      <c r="E1907" s="17">
        <v>24608.18</v>
      </c>
      <c r="F1907" s="11">
        <v>6.63</v>
      </c>
      <c r="G1907" s="9">
        <v>1725.5</v>
      </c>
      <c r="H1907" s="10">
        <v>0.72699999999999998</v>
      </c>
      <c r="I1907" s="11">
        <v>7.4</v>
      </c>
    </row>
    <row r="1908" spans="1:9" x14ac:dyDescent="0.35">
      <c r="A1908" s="2" t="s">
        <v>220</v>
      </c>
      <c r="B1908" s="3">
        <v>45597</v>
      </c>
      <c r="C1908" s="2">
        <v>23</v>
      </c>
      <c r="D1908" s="2">
        <v>33450</v>
      </c>
      <c r="E1908" s="17">
        <v>67976.710000000006</v>
      </c>
      <c r="F1908" s="11">
        <v>6.58</v>
      </c>
      <c r="G1908" s="9">
        <v>5172.3</v>
      </c>
      <c r="H1908" s="10">
        <v>0.435</v>
      </c>
      <c r="I1908" s="11">
        <v>7.1</v>
      </c>
    </row>
    <row r="1909" spans="1:9" x14ac:dyDescent="0.35">
      <c r="A1909" s="2" t="s">
        <v>220</v>
      </c>
      <c r="B1909" s="3">
        <v>45627</v>
      </c>
      <c r="C1909" s="2">
        <v>18</v>
      </c>
      <c r="D1909" s="2">
        <v>22533</v>
      </c>
      <c r="E1909" s="17">
        <v>47667.43</v>
      </c>
      <c r="F1909" s="11">
        <v>6.52</v>
      </c>
      <c r="G1909" s="9">
        <v>3576.9</v>
      </c>
      <c r="H1909" s="10">
        <v>0.5</v>
      </c>
      <c r="I1909" s="11">
        <v>6.4</v>
      </c>
    </row>
    <row r="1910" spans="1:9" x14ac:dyDescent="0.35">
      <c r="A1910" s="2" t="s">
        <v>222</v>
      </c>
      <c r="B1910" s="3">
        <v>44562</v>
      </c>
      <c r="C1910" s="2">
        <v>18</v>
      </c>
      <c r="D1910" s="2">
        <v>19983</v>
      </c>
      <c r="E1910" s="17">
        <v>40399.699999999997</v>
      </c>
      <c r="F1910" s="11">
        <v>6.39</v>
      </c>
      <c r="G1910" s="9">
        <v>3065.9</v>
      </c>
      <c r="H1910" s="10">
        <v>0.66700000000000004</v>
      </c>
      <c r="I1910" s="11">
        <v>5.9</v>
      </c>
    </row>
    <row r="1911" spans="1:9" x14ac:dyDescent="0.35">
      <c r="A1911" s="2" t="s">
        <v>222</v>
      </c>
      <c r="B1911" s="3">
        <v>44593</v>
      </c>
      <c r="C1911" s="2">
        <v>18</v>
      </c>
      <c r="D1911" s="2">
        <v>26406</v>
      </c>
      <c r="E1911" s="17">
        <v>57480.99</v>
      </c>
      <c r="F1911" s="11">
        <v>6.64</v>
      </c>
      <c r="G1911" s="9">
        <v>4054.9</v>
      </c>
      <c r="H1911" s="10">
        <v>0.5</v>
      </c>
      <c r="I1911" s="11">
        <v>6</v>
      </c>
    </row>
    <row r="1912" spans="1:9" x14ac:dyDescent="0.35">
      <c r="A1912" s="2" t="s">
        <v>222</v>
      </c>
      <c r="B1912" s="3">
        <v>44621</v>
      </c>
      <c r="C1912" s="2">
        <v>15</v>
      </c>
      <c r="D1912" s="2">
        <v>19066</v>
      </c>
      <c r="E1912" s="17">
        <v>41491.72</v>
      </c>
      <c r="F1912" s="11">
        <v>6.65</v>
      </c>
      <c r="G1912" s="9">
        <v>2909.3</v>
      </c>
      <c r="H1912" s="10">
        <v>0.6</v>
      </c>
      <c r="I1912" s="11">
        <v>7.2</v>
      </c>
    </row>
    <row r="1913" spans="1:9" x14ac:dyDescent="0.35">
      <c r="A1913" s="2" t="s">
        <v>222</v>
      </c>
      <c r="B1913" s="3">
        <v>44652</v>
      </c>
      <c r="C1913" s="2">
        <v>19</v>
      </c>
      <c r="D1913" s="2">
        <v>27819</v>
      </c>
      <c r="E1913" s="17">
        <v>61459.69</v>
      </c>
      <c r="F1913" s="11">
        <v>6.61</v>
      </c>
      <c r="G1913" s="9">
        <v>4272.3999999999996</v>
      </c>
      <c r="H1913" s="10">
        <v>0.47399999999999998</v>
      </c>
      <c r="I1913" s="11">
        <v>7.5</v>
      </c>
    </row>
    <row r="1914" spans="1:9" x14ac:dyDescent="0.35">
      <c r="A1914" s="2" t="s">
        <v>222</v>
      </c>
      <c r="B1914" s="3">
        <v>44682</v>
      </c>
      <c r="C1914" s="2">
        <v>19</v>
      </c>
      <c r="D1914" s="2">
        <v>24282</v>
      </c>
      <c r="E1914" s="17">
        <v>54723.92</v>
      </c>
      <c r="F1914" s="11">
        <v>6.4</v>
      </c>
      <c r="G1914" s="9">
        <v>3717.3</v>
      </c>
      <c r="H1914" s="10">
        <v>0.42099999999999999</v>
      </c>
      <c r="I1914" s="11">
        <v>7.2</v>
      </c>
    </row>
    <row r="1915" spans="1:9" x14ac:dyDescent="0.35">
      <c r="A1915" s="2" t="s">
        <v>222</v>
      </c>
      <c r="B1915" s="3">
        <v>44713</v>
      </c>
      <c r="C1915" s="2">
        <v>19</v>
      </c>
      <c r="D1915" s="2">
        <v>25314</v>
      </c>
      <c r="E1915" s="17">
        <v>48231.519999999997</v>
      </c>
      <c r="F1915" s="11">
        <v>6.61</v>
      </c>
      <c r="G1915" s="9">
        <v>3836.9</v>
      </c>
      <c r="H1915" s="10">
        <v>0.57899999999999996</v>
      </c>
      <c r="I1915" s="11">
        <v>7</v>
      </c>
    </row>
    <row r="1916" spans="1:9" x14ac:dyDescent="0.35">
      <c r="A1916" s="2" t="s">
        <v>222</v>
      </c>
      <c r="B1916" s="3">
        <v>44743</v>
      </c>
      <c r="C1916" s="2">
        <v>18</v>
      </c>
      <c r="D1916" s="2">
        <v>25827</v>
      </c>
      <c r="E1916" s="17">
        <v>56656.24</v>
      </c>
      <c r="F1916" s="11">
        <v>6.59</v>
      </c>
      <c r="G1916" s="9">
        <v>3933.9</v>
      </c>
      <c r="H1916" s="10">
        <v>0.38900000000000001</v>
      </c>
      <c r="I1916" s="11">
        <v>6.6</v>
      </c>
    </row>
    <row r="1917" spans="1:9" x14ac:dyDescent="0.35">
      <c r="A1917" s="2" t="s">
        <v>222</v>
      </c>
      <c r="B1917" s="3">
        <v>44774</v>
      </c>
      <c r="C1917" s="2">
        <v>11</v>
      </c>
      <c r="D1917" s="2">
        <v>15242</v>
      </c>
      <c r="E1917" s="17">
        <v>36443.64</v>
      </c>
      <c r="F1917" s="11">
        <v>6.42</v>
      </c>
      <c r="G1917" s="9">
        <v>2394.6999999999998</v>
      </c>
      <c r="H1917" s="10">
        <v>0.45500000000000002</v>
      </c>
      <c r="I1917" s="11">
        <v>6.9</v>
      </c>
    </row>
    <row r="1918" spans="1:9" x14ac:dyDescent="0.35">
      <c r="A1918" s="2" t="s">
        <v>222</v>
      </c>
      <c r="B1918" s="3">
        <v>44805</v>
      </c>
      <c r="C1918" s="2">
        <v>25</v>
      </c>
      <c r="D1918" s="2">
        <v>43351</v>
      </c>
      <c r="E1918" s="17">
        <v>92624.18</v>
      </c>
      <c r="F1918" s="11">
        <v>6.66</v>
      </c>
      <c r="G1918" s="9">
        <v>6626</v>
      </c>
      <c r="H1918" s="10">
        <v>0.52</v>
      </c>
      <c r="I1918" s="11">
        <v>6.8</v>
      </c>
    </row>
    <row r="1919" spans="1:9" x14ac:dyDescent="0.35">
      <c r="A1919" s="2" t="s">
        <v>222</v>
      </c>
      <c r="B1919" s="3">
        <v>44835</v>
      </c>
      <c r="C1919" s="2">
        <v>15</v>
      </c>
      <c r="D1919" s="2">
        <v>22604</v>
      </c>
      <c r="E1919" s="17">
        <v>50106.31</v>
      </c>
      <c r="F1919" s="11">
        <v>6.51</v>
      </c>
      <c r="G1919" s="9">
        <v>3450.4</v>
      </c>
      <c r="H1919" s="10">
        <v>0.4</v>
      </c>
      <c r="I1919" s="11">
        <v>6.1</v>
      </c>
    </row>
    <row r="1920" spans="1:9" x14ac:dyDescent="0.35">
      <c r="A1920" s="2" t="s">
        <v>222</v>
      </c>
      <c r="B1920" s="3">
        <v>44866</v>
      </c>
      <c r="C1920" s="2">
        <v>14</v>
      </c>
      <c r="D1920" s="2">
        <v>23065</v>
      </c>
      <c r="E1920" s="17">
        <v>50318.63</v>
      </c>
      <c r="F1920" s="11">
        <v>6.54</v>
      </c>
      <c r="G1920" s="9">
        <v>3484.3</v>
      </c>
      <c r="H1920" s="10">
        <v>0.35699999999999998</v>
      </c>
      <c r="I1920" s="11">
        <v>8</v>
      </c>
    </row>
    <row r="1921" spans="1:9" x14ac:dyDescent="0.35">
      <c r="A1921" s="2" t="s">
        <v>222</v>
      </c>
      <c r="B1921" s="3">
        <v>44896</v>
      </c>
      <c r="C1921" s="2">
        <v>12</v>
      </c>
      <c r="D1921" s="2">
        <v>20104</v>
      </c>
      <c r="E1921" s="17">
        <v>43397.84</v>
      </c>
      <c r="F1921" s="11">
        <v>6.5</v>
      </c>
      <c r="G1921" s="9">
        <v>3151.8</v>
      </c>
      <c r="H1921" s="10">
        <v>0.33300000000000002</v>
      </c>
      <c r="I1921" s="11">
        <v>6.7</v>
      </c>
    </row>
    <row r="1922" spans="1:9" x14ac:dyDescent="0.35">
      <c r="A1922" s="2" t="s">
        <v>222</v>
      </c>
      <c r="B1922" s="3">
        <v>44927</v>
      </c>
      <c r="C1922" s="2">
        <v>16</v>
      </c>
      <c r="D1922" s="2">
        <v>23664</v>
      </c>
      <c r="E1922" s="17">
        <v>47398.239999999998</v>
      </c>
      <c r="F1922" s="11">
        <v>6.6</v>
      </c>
      <c r="G1922" s="9">
        <v>3594.4</v>
      </c>
      <c r="H1922" s="10">
        <v>0.312</v>
      </c>
      <c r="I1922" s="11">
        <v>7.6</v>
      </c>
    </row>
    <row r="1923" spans="1:9" x14ac:dyDescent="0.35">
      <c r="A1923" s="2" t="s">
        <v>222</v>
      </c>
      <c r="B1923" s="3">
        <v>44958</v>
      </c>
      <c r="C1923" s="2">
        <v>13</v>
      </c>
      <c r="D1923" s="2">
        <v>21684</v>
      </c>
      <c r="E1923" s="17">
        <v>48522.76</v>
      </c>
      <c r="F1923" s="11">
        <v>6.31</v>
      </c>
      <c r="G1923" s="9">
        <v>3387.1</v>
      </c>
      <c r="H1923" s="10">
        <v>0.53800000000000003</v>
      </c>
      <c r="I1923" s="11">
        <v>5.4</v>
      </c>
    </row>
    <row r="1924" spans="1:9" x14ac:dyDescent="0.35">
      <c r="A1924" s="2" t="s">
        <v>222</v>
      </c>
      <c r="B1924" s="3">
        <v>44986</v>
      </c>
      <c r="C1924" s="2">
        <v>17</v>
      </c>
      <c r="D1924" s="2">
        <v>21546</v>
      </c>
      <c r="E1924" s="17">
        <v>45746.15</v>
      </c>
      <c r="F1924" s="11">
        <v>6.55</v>
      </c>
      <c r="G1924" s="9">
        <v>3267.6</v>
      </c>
      <c r="H1924" s="10">
        <v>0.17599999999999999</v>
      </c>
      <c r="I1924" s="11">
        <v>6.7</v>
      </c>
    </row>
    <row r="1925" spans="1:9" x14ac:dyDescent="0.35">
      <c r="A1925" s="2" t="s">
        <v>222</v>
      </c>
      <c r="B1925" s="3">
        <v>45017</v>
      </c>
      <c r="C1925" s="2">
        <v>16</v>
      </c>
      <c r="D1925" s="2">
        <v>24271</v>
      </c>
      <c r="E1925" s="17">
        <v>50652.76</v>
      </c>
      <c r="F1925" s="11">
        <v>6.76</v>
      </c>
      <c r="G1925" s="9">
        <v>3613.7</v>
      </c>
      <c r="H1925" s="10">
        <v>0.5</v>
      </c>
      <c r="I1925" s="11">
        <v>7.1</v>
      </c>
    </row>
    <row r="1926" spans="1:9" x14ac:dyDescent="0.35">
      <c r="A1926" s="2" t="s">
        <v>222</v>
      </c>
      <c r="B1926" s="3">
        <v>45047</v>
      </c>
      <c r="C1926" s="2">
        <v>22</v>
      </c>
      <c r="D1926" s="2">
        <v>28213</v>
      </c>
      <c r="E1926" s="17">
        <v>61193.65</v>
      </c>
      <c r="F1926" s="11">
        <v>6.68</v>
      </c>
      <c r="G1926" s="9">
        <v>4272.5</v>
      </c>
      <c r="H1926" s="10">
        <v>0.45500000000000002</v>
      </c>
      <c r="I1926" s="11">
        <v>6.8</v>
      </c>
    </row>
    <row r="1927" spans="1:9" x14ac:dyDescent="0.35">
      <c r="A1927" s="2" t="s">
        <v>222</v>
      </c>
      <c r="B1927" s="3">
        <v>45078</v>
      </c>
      <c r="C1927" s="2">
        <v>13</v>
      </c>
      <c r="D1927" s="2">
        <v>23906</v>
      </c>
      <c r="E1927" s="17">
        <v>54866.28</v>
      </c>
      <c r="F1927" s="11">
        <v>6.42</v>
      </c>
      <c r="G1927" s="9">
        <v>3751.3</v>
      </c>
      <c r="H1927" s="10">
        <v>0.53800000000000003</v>
      </c>
      <c r="I1927" s="11">
        <v>8.3000000000000007</v>
      </c>
    </row>
    <row r="1928" spans="1:9" x14ac:dyDescent="0.35">
      <c r="A1928" s="2" t="s">
        <v>222</v>
      </c>
      <c r="B1928" s="3">
        <v>45108</v>
      </c>
      <c r="C1928" s="2">
        <v>12</v>
      </c>
      <c r="D1928" s="2">
        <v>18536</v>
      </c>
      <c r="E1928" s="17">
        <v>38200.6</v>
      </c>
      <c r="F1928" s="11">
        <v>6.72</v>
      </c>
      <c r="G1928" s="9">
        <v>2763.6</v>
      </c>
      <c r="H1928" s="10">
        <v>0.5</v>
      </c>
      <c r="I1928" s="11">
        <v>8.1</v>
      </c>
    </row>
    <row r="1929" spans="1:9" x14ac:dyDescent="0.35">
      <c r="A1929" s="2" t="s">
        <v>222</v>
      </c>
      <c r="B1929" s="3">
        <v>45139</v>
      </c>
      <c r="C1929" s="2">
        <v>20</v>
      </c>
      <c r="D1929" s="2">
        <v>24670</v>
      </c>
      <c r="E1929" s="17">
        <v>54103.78</v>
      </c>
      <c r="F1929" s="11">
        <v>6.41</v>
      </c>
      <c r="G1929" s="9">
        <v>3862.8</v>
      </c>
      <c r="H1929" s="10">
        <v>0.4</v>
      </c>
      <c r="I1929" s="11">
        <v>7.3</v>
      </c>
    </row>
    <row r="1930" spans="1:9" x14ac:dyDescent="0.35">
      <c r="A1930" s="2" t="s">
        <v>222</v>
      </c>
      <c r="B1930" s="3">
        <v>45170</v>
      </c>
      <c r="C1930" s="2">
        <v>15</v>
      </c>
      <c r="D1930" s="2">
        <v>27472</v>
      </c>
      <c r="E1930" s="17">
        <v>54510.23</v>
      </c>
      <c r="F1930" s="11">
        <v>6.54</v>
      </c>
      <c r="G1930" s="9">
        <v>4232.2</v>
      </c>
      <c r="H1930" s="10">
        <v>0.6</v>
      </c>
      <c r="I1930" s="11">
        <v>7.2</v>
      </c>
    </row>
    <row r="1931" spans="1:9" x14ac:dyDescent="0.35">
      <c r="A1931" s="2" t="s">
        <v>222</v>
      </c>
      <c r="B1931" s="3">
        <v>45200</v>
      </c>
      <c r="C1931" s="2">
        <v>11</v>
      </c>
      <c r="D1931" s="2">
        <v>16772</v>
      </c>
      <c r="E1931" s="17">
        <v>35210.910000000003</v>
      </c>
      <c r="F1931" s="11">
        <v>6.54</v>
      </c>
      <c r="G1931" s="9">
        <v>2513.8000000000002</v>
      </c>
      <c r="H1931" s="10">
        <v>0.182</v>
      </c>
      <c r="I1931" s="11">
        <v>5</v>
      </c>
    </row>
    <row r="1932" spans="1:9" x14ac:dyDescent="0.35">
      <c r="A1932" s="2" t="s">
        <v>222</v>
      </c>
      <c r="B1932" s="3">
        <v>45231</v>
      </c>
      <c r="C1932" s="2">
        <v>16</v>
      </c>
      <c r="D1932" s="2">
        <v>20864</v>
      </c>
      <c r="E1932" s="17">
        <v>45445.26</v>
      </c>
      <c r="F1932" s="11">
        <v>6.39</v>
      </c>
      <c r="G1932" s="9">
        <v>3269.4</v>
      </c>
      <c r="H1932" s="10">
        <v>0.312</v>
      </c>
      <c r="I1932" s="11">
        <v>7.5</v>
      </c>
    </row>
    <row r="1933" spans="1:9" x14ac:dyDescent="0.35">
      <c r="A1933" s="2" t="s">
        <v>222</v>
      </c>
      <c r="B1933" s="3">
        <v>45261</v>
      </c>
      <c r="C1933" s="2">
        <v>16</v>
      </c>
      <c r="D1933" s="2">
        <v>23676</v>
      </c>
      <c r="E1933" s="17">
        <v>49995.67</v>
      </c>
      <c r="F1933" s="11">
        <v>6.42</v>
      </c>
      <c r="G1933" s="9">
        <v>3763.4</v>
      </c>
      <c r="H1933" s="10">
        <v>0.5</v>
      </c>
      <c r="I1933" s="11">
        <v>6.7</v>
      </c>
    </row>
    <row r="1934" spans="1:9" x14ac:dyDescent="0.35">
      <c r="A1934" s="2" t="s">
        <v>222</v>
      </c>
      <c r="B1934" s="3">
        <v>45292</v>
      </c>
      <c r="C1934" s="2">
        <v>21</v>
      </c>
      <c r="D1934" s="2">
        <v>25149</v>
      </c>
      <c r="E1934" s="17">
        <v>51506.35</v>
      </c>
      <c r="F1934" s="11">
        <v>6.53</v>
      </c>
      <c r="G1934" s="9">
        <v>3846.7</v>
      </c>
      <c r="H1934" s="10">
        <v>0.57099999999999995</v>
      </c>
      <c r="I1934" s="11">
        <v>6.6</v>
      </c>
    </row>
    <row r="1935" spans="1:9" x14ac:dyDescent="0.35">
      <c r="A1935" s="2" t="s">
        <v>222</v>
      </c>
      <c r="B1935" s="3">
        <v>45323</v>
      </c>
      <c r="C1935" s="2">
        <v>11</v>
      </c>
      <c r="D1935" s="2">
        <v>13241</v>
      </c>
      <c r="E1935" s="17">
        <v>25126.33</v>
      </c>
      <c r="F1935" s="11">
        <v>6.38</v>
      </c>
      <c r="G1935" s="9">
        <v>2102.6999999999998</v>
      </c>
      <c r="H1935" s="10">
        <v>0.36399999999999999</v>
      </c>
      <c r="I1935" s="11">
        <v>6.1</v>
      </c>
    </row>
    <row r="1936" spans="1:9" x14ac:dyDescent="0.35">
      <c r="A1936" s="2" t="s">
        <v>222</v>
      </c>
      <c r="B1936" s="3">
        <v>45352</v>
      </c>
      <c r="C1936" s="2">
        <v>14</v>
      </c>
      <c r="D1936" s="2">
        <v>21876</v>
      </c>
      <c r="E1936" s="17">
        <v>43305.01</v>
      </c>
      <c r="F1936" s="11">
        <v>6.22</v>
      </c>
      <c r="G1936" s="9">
        <v>3574.5</v>
      </c>
      <c r="H1936" s="10">
        <v>0.35699999999999998</v>
      </c>
      <c r="I1936" s="11">
        <v>7</v>
      </c>
    </row>
    <row r="1937" spans="1:9" x14ac:dyDescent="0.35">
      <c r="A1937" s="2" t="s">
        <v>222</v>
      </c>
      <c r="B1937" s="3">
        <v>45383</v>
      </c>
      <c r="C1937" s="2">
        <v>23</v>
      </c>
      <c r="D1937" s="2">
        <v>37801</v>
      </c>
      <c r="E1937" s="17">
        <v>81854.59</v>
      </c>
      <c r="F1937" s="11">
        <v>6.54</v>
      </c>
      <c r="G1937" s="9">
        <v>5784</v>
      </c>
      <c r="H1937" s="10">
        <v>0.34799999999999998</v>
      </c>
      <c r="I1937" s="11">
        <v>6.1</v>
      </c>
    </row>
    <row r="1938" spans="1:9" x14ac:dyDescent="0.35">
      <c r="A1938" s="2" t="s">
        <v>222</v>
      </c>
      <c r="B1938" s="3">
        <v>45413</v>
      </c>
      <c r="C1938" s="2">
        <v>11</v>
      </c>
      <c r="D1938" s="2">
        <v>15632</v>
      </c>
      <c r="E1938" s="17">
        <v>31569.96</v>
      </c>
      <c r="F1938" s="11">
        <v>6.3</v>
      </c>
      <c r="G1938" s="9">
        <v>2488.6999999999998</v>
      </c>
      <c r="H1938" s="10">
        <v>0.45500000000000002</v>
      </c>
      <c r="I1938" s="11">
        <v>5.0999999999999996</v>
      </c>
    </row>
    <row r="1939" spans="1:9" x14ac:dyDescent="0.35">
      <c r="A1939" s="2" t="s">
        <v>222</v>
      </c>
      <c r="B1939" s="3">
        <v>45444</v>
      </c>
      <c r="C1939" s="2">
        <v>20</v>
      </c>
      <c r="D1939" s="2">
        <v>27703</v>
      </c>
      <c r="E1939" s="17">
        <v>56126.95</v>
      </c>
      <c r="F1939" s="11">
        <v>6.48</v>
      </c>
      <c r="G1939" s="9">
        <v>4291.1000000000004</v>
      </c>
      <c r="H1939" s="10">
        <v>0.35</v>
      </c>
      <c r="I1939" s="11">
        <v>6.9</v>
      </c>
    </row>
    <row r="1940" spans="1:9" x14ac:dyDescent="0.35">
      <c r="A1940" s="2" t="s">
        <v>222</v>
      </c>
      <c r="B1940" s="3">
        <v>45474</v>
      </c>
      <c r="C1940" s="2">
        <v>18</v>
      </c>
      <c r="D1940" s="2">
        <v>20538</v>
      </c>
      <c r="E1940" s="17">
        <v>45506.41</v>
      </c>
      <c r="F1940" s="11">
        <v>6.54</v>
      </c>
      <c r="G1940" s="9">
        <v>3220.2</v>
      </c>
      <c r="H1940" s="10">
        <v>0.38900000000000001</v>
      </c>
      <c r="I1940" s="11">
        <v>8.1999999999999993</v>
      </c>
    </row>
    <row r="1941" spans="1:9" x14ac:dyDescent="0.35">
      <c r="A1941" s="2" t="s">
        <v>222</v>
      </c>
      <c r="B1941" s="3">
        <v>45505</v>
      </c>
      <c r="C1941" s="2">
        <v>19</v>
      </c>
      <c r="D1941" s="2">
        <v>25651</v>
      </c>
      <c r="E1941" s="17">
        <v>51938.400000000001</v>
      </c>
      <c r="F1941" s="11">
        <v>6.51</v>
      </c>
      <c r="G1941" s="9">
        <v>4141.2</v>
      </c>
      <c r="H1941" s="10">
        <v>0.47399999999999998</v>
      </c>
      <c r="I1941" s="11">
        <v>7.7</v>
      </c>
    </row>
    <row r="1942" spans="1:9" x14ac:dyDescent="0.35">
      <c r="A1942" s="2" t="s">
        <v>222</v>
      </c>
      <c r="B1942" s="3">
        <v>45536</v>
      </c>
      <c r="C1942" s="2">
        <v>18</v>
      </c>
      <c r="D1942" s="2">
        <v>30062</v>
      </c>
      <c r="E1942" s="17">
        <v>57814.1</v>
      </c>
      <c r="F1942" s="11">
        <v>6.55</v>
      </c>
      <c r="G1942" s="9">
        <v>4647.8999999999996</v>
      </c>
      <c r="H1942" s="10">
        <v>0.33300000000000002</v>
      </c>
      <c r="I1942" s="11">
        <v>6.3</v>
      </c>
    </row>
    <row r="1943" spans="1:9" x14ac:dyDescent="0.35">
      <c r="A1943" s="2" t="s">
        <v>222</v>
      </c>
      <c r="B1943" s="3">
        <v>45566</v>
      </c>
      <c r="C1943" s="2">
        <v>18</v>
      </c>
      <c r="D1943" s="2">
        <v>29742</v>
      </c>
      <c r="E1943" s="17">
        <v>66707.240000000005</v>
      </c>
      <c r="F1943" s="11">
        <v>6.58</v>
      </c>
      <c r="G1943" s="9">
        <v>4556</v>
      </c>
      <c r="H1943" s="10">
        <v>0.33300000000000002</v>
      </c>
      <c r="I1943" s="11">
        <v>6.8</v>
      </c>
    </row>
    <row r="1944" spans="1:9" x14ac:dyDescent="0.35">
      <c r="A1944" s="2" t="s">
        <v>222</v>
      </c>
      <c r="B1944" s="3">
        <v>45597</v>
      </c>
      <c r="C1944" s="2">
        <v>23</v>
      </c>
      <c r="D1944" s="2">
        <v>22641</v>
      </c>
      <c r="E1944" s="17">
        <v>43594.59</v>
      </c>
      <c r="F1944" s="11">
        <v>6.47</v>
      </c>
      <c r="G1944" s="9">
        <v>3531</v>
      </c>
      <c r="H1944" s="10">
        <v>0.17399999999999999</v>
      </c>
      <c r="I1944" s="11">
        <v>5.8</v>
      </c>
    </row>
    <row r="1945" spans="1:9" x14ac:dyDescent="0.35">
      <c r="A1945" s="2" t="s">
        <v>222</v>
      </c>
      <c r="B1945" s="3">
        <v>45627</v>
      </c>
      <c r="C1945" s="2">
        <v>24</v>
      </c>
      <c r="D1945" s="2">
        <v>36273</v>
      </c>
      <c r="E1945" s="17">
        <v>85159.79</v>
      </c>
      <c r="F1945" s="11">
        <v>6.62</v>
      </c>
      <c r="G1945" s="9">
        <v>5447.6</v>
      </c>
      <c r="H1945" s="10">
        <v>0.125</v>
      </c>
      <c r="I1945" s="11">
        <v>7.9</v>
      </c>
    </row>
    <row r="1946" spans="1:9" x14ac:dyDescent="0.35">
      <c r="A1946" s="2" t="s">
        <v>224</v>
      </c>
      <c r="B1946" s="3">
        <v>44562</v>
      </c>
      <c r="C1946" s="2">
        <v>20</v>
      </c>
      <c r="D1946" s="2">
        <v>35353</v>
      </c>
      <c r="E1946" s="17">
        <v>76665.64</v>
      </c>
      <c r="F1946" s="11">
        <v>6.3</v>
      </c>
      <c r="G1946" s="9">
        <v>5646.3</v>
      </c>
      <c r="H1946" s="10">
        <v>0.45</v>
      </c>
      <c r="I1946" s="11">
        <v>6.8</v>
      </c>
    </row>
    <row r="1947" spans="1:9" x14ac:dyDescent="0.35">
      <c r="A1947" s="2" t="s">
        <v>224</v>
      </c>
      <c r="B1947" s="3">
        <v>44593</v>
      </c>
      <c r="C1947" s="2">
        <v>15</v>
      </c>
      <c r="D1947" s="2">
        <v>22805</v>
      </c>
      <c r="E1947" s="17">
        <v>47013.4</v>
      </c>
      <c r="F1947" s="11">
        <v>6.86</v>
      </c>
      <c r="G1947" s="9">
        <v>3358.2</v>
      </c>
      <c r="H1947" s="10">
        <v>0.13300000000000001</v>
      </c>
      <c r="I1947" s="11">
        <v>6.9</v>
      </c>
    </row>
    <row r="1948" spans="1:9" x14ac:dyDescent="0.35">
      <c r="A1948" s="2" t="s">
        <v>224</v>
      </c>
      <c r="B1948" s="3">
        <v>44621</v>
      </c>
      <c r="C1948" s="2">
        <v>21</v>
      </c>
      <c r="D1948" s="2">
        <v>31865</v>
      </c>
      <c r="E1948" s="17">
        <v>67969.899999999994</v>
      </c>
      <c r="F1948" s="11">
        <v>6.5</v>
      </c>
      <c r="G1948" s="9">
        <v>4956.3999999999996</v>
      </c>
      <c r="H1948" s="10">
        <v>0.52400000000000002</v>
      </c>
      <c r="I1948" s="11">
        <v>6.6</v>
      </c>
    </row>
    <row r="1949" spans="1:9" x14ac:dyDescent="0.35">
      <c r="A1949" s="2" t="s">
        <v>224</v>
      </c>
      <c r="B1949" s="3">
        <v>44652</v>
      </c>
      <c r="C1949" s="2">
        <v>21</v>
      </c>
      <c r="D1949" s="2">
        <v>31530</v>
      </c>
      <c r="E1949" s="17">
        <v>67267.22</v>
      </c>
      <c r="F1949" s="11">
        <v>6.41</v>
      </c>
      <c r="G1949" s="9">
        <v>5000.1000000000004</v>
      </c>
      <c r="H1949" s="10">
        <v>0.52400000000000002</v>
      </c>
      <c r="I1949" s="11">
        <v>7</v>
      </c>
    </row>
    <row r="1950" spans="1:9" x14ac:dyDescent="0.35">
      <c r="A1950" s="2" t="s">
        <v>224</v>
      </c>
      <c r="B1950" s="3">
        <v>44682</v>
      </c>
      <c r="C1950" s="2">
        <v>23</v>
      </c>
      <c r="D1950" s="2">
        <v>30751</v>
      </c>
      <c r="E1950" s="17">
        <v>65459.07</v>
      </c>
      <c r="F1950" s="11">
        <v>6.62</v>
      </c>
      <c r="G1950" s="9">
        <v>4646.1000000000004</v>
      </c>
      <c r="H1950" s="10">
        <v>0.26100000000000001</v>
      </c>
      <c r="I1950" s="11">
        <v>6</v>
      </c>
    </row>
    <row r="1951" spans="1:9" x14ac:dyDescent="0.35">
      <c r="A1951" s="2" t="s">
        <v>224</v>
      </c>
      <c r="B1951" s="3">
        <v>44713</v>
      </c>
      <c r="C1951" s="2">
        <v>15</v>
      </c>
      <c r="D1951" s="2">
        <v>25017</v>
      </c>
      <c r="E1951" s="17">
        <v>54605.73</v>
      </c>
      <c r="F1951" s="11">
        <v>6.19</v>
      </c>
      <c r="G1951" s="9">
        <v>4030.1</v>
      </c>
      <c r="H1951" s="10">
        <v>0.33300000000000002</v>
      </c>
      <c r="I1951" s="11">
        <v>7</v>
      </c>
    </row>
    <row r="1952" spans="1:9" x14ac:dyDescent="0.35">
      <c r="A1952" s="2" t="s">
        <v>224</v>
      </c>
      <c r="B1952" s="3">
        <v>44743</v>
      </c>
      <c r="C1952" s="2">
        <v>16</v>
      </c>
      <c r="D1952" s="2">
        <v>27714</v>
      </c>
      <c r="E1952" s="17">
        <v>58050.33</v>
      </c>
      <c r="F1952" s="11">
        <v>6.66</v>
      </c>
      <c r="G1952" s="9">
        <v>4200</v>
      </c>
      <c r="H1952" s="10">
        <v>0.438</v>
      </c>
      <c r="I1952" s="11">
        <v>7.2</v>
      </c>
    </row>
    <row r="1953" spans="1:9" x14ac:dyDescent="0.35">
      <c r="A1953" s="2" t="s">
        <v>224</v>
      </c>
      <c r="B1953" s="3">
        <v>44774</v>
      </c>
      <c r="C1953" s="2">
        <v>23</v>
      </c>
      <c r="D1953" s="2">
        <v>32365</v>
      </c>
      <c r="E1953" s="17">
        <v>67853.75</v>
      </c>
      <c r="F1953" s="11">
        <v>6.29</v>
      </c>
      <c r="G1953" s="9">
        <v>5228.3999999999996</v>
      </c>
      <c r="H1953" s="10">
        <v>0.52200000000000002</v>
      </c>
      <c r="I1953" s="11">
        <v>7.8</v>
      </c>
    </row>
    <row r="1954" spans="1:9" x14ac:dyDescent="0.35">
      <c r="A1954" s="2" t="s">
        <v>224</v>
      </c>
      <c r="B1954" s="3">
        <v>44805</v>
      </c>
      <c r="C1954" s="2">
        <v>22</v>
      </c>
      <c r="D1954" s="2">
        <v>30872</v>
      </c>
      <c r="E1954" s="17">
        <v>64569.760000000002</v>
      </c>
      <c r="F1954" s="11">
        <v>6.46</v>
      </c>
      <c r="G1954" s="9">
        <v>4836.8999999999996</v>
      </c>
      <c r="H1954" s="10">
        <v>0.45500000000000002</v>
      </c>
      <c r="I1954" s="11">
        <v>8.1</v>
      </c>
    </row>
    <row r="1955" spans="1:9" x14ac:dyDescent="0.35">
      <c r="A1955" s="2" t="s">
        <v>224</v>
      </c>
      <c r="B1955" s="3">
        <v>44835</v>
      </c>
      <c r="C1955" s="2">
        <v>20</v>
      </c>
      <c r="D1955" s="2">
        <v>27280</v>
      </c>
      <c r="E1955" s="17">
        <v>53213.98</v>
      </c>
      <c r="F1955" s="11">
        <v>6.62</v>
      </c>
      <c r="G1955" s="9">
        <v>4128.7</v>
      </c>
      <c r="H1955" s="10">
        <v>0.75</v>
      </c>
      <c r="I1955" s="11">
        <v>6.5</v>
      </c>
    </row>
    <row r="1956" spans="1:9" x14ac:dyDescent="0.35">
      <c r="A1956" s="2" t="s">
        <v>224</v>
      </c>
      <c r="B1956" s="3">
        <v>44866</v>
      </c>
      <c r="C1956" s="2">
        <v>20</v>
      </c>
      <c r="D1956" s="2">
        <v>34339</v>
      </c>
      <c r="E1956" s="17">
        <v>81527.259999999995</v>
      </c>
      <c r="F1956" s="11">
        <v>6.69</v>
      </c>
      <c r="G1956" s="9">
        <v>5177.7</v>
      </c>
      <c r="H1956" s="10">
        <v>0.45</v>
      </c>
      <c r="I1956" s="11">
        <v>7.3</v>
      </c>
    </row>
    <row r="1957" spans="1:9" x14ac:dyDescent="0.35">
      <c r="A1957" s="2" t="s">
        <v>224</v>
      </c>
      <c r="B1957" s="3">
        <v>44896</v>
      </c>
      <c r="C1957" s="2">
        <v>19</v>
      </c>
      <c r="D1957" s="2">
        <v>33653</v>
      </c>
      <c r="E1957" s="17">
        <v>73027.820000000007</v>
      </c>
      <c r="F1957" s="11">
        <v>6.46</v>
      </c>
      <c r="G1957" s="9">
        <v>5321.1</v>
      </c>
      <c r="H1957" s="10">
        <v>0.36799999999999999</v>
      </c>
      <c r="I1957" s="11">
        <v>7.3</v>
      </c>
    </row>
    <row r="1958" spans="1:9" x14ac:dyDescent="0.35">
      <c r="A1958" s="2" t="s">
        <v>224</v>
      </c>
      <c r="B1958" s="3">
        <v>44927</v>
      </c>
      <c r="C1958" s="2">
        <v>16</v>
      </c>
      <c r="D1958" s="2">
        <v>19342</v>
      </c>
      <c r="E1958" s="17">
        <v>42134.39</v>
      </c>
      <c r="F1958" s="11">
        <v>6.59</v>
      </c>
      <c r="G1958" s="9">
        <v>2939.3</v>
      </c>
      <c r="H1958" s="10">
        <v>0.5</v>
      </c>
      <c r="I1958" s="11">
        <v>6.9</v>
      </c>
    </row>
    <row r="1959" spans="1:9" x14ac:dyDescent="0.35">
      <c r="A1959" s="2" t="s">
        <v>224</v>
      </c>
      <c r="B1959" s="3">
        <v>44958</v>
      </c>
      <c r="C1959" s="2">
        <v>13</v>
      </c>
      <c r="D1959" s="2">
        <v>17480</v>
      </c>
      <c r="E1959" s="17">
        <v>37464.81</v>
      </c>
      <c r="F1959" s="11">
        <v>6.49</v>
      </c>
      <c r="G1959" s="9">
        <v>2713.9</v>
      </c>
      <c r="H1959" s="10">
        <v>0.61499999999999999</v>
      </c>
      <c r="I1959" s="11">
        <v>8.1999999999999993</v>
      </c>
    </row>
    <row r="1960" spans="1:9" x14ac:dyDescent="0.35">
      <c r="A1960" s="2" t="s">
        <v>224</v>
      </c>
      <c r="B1960" s="3">
        <v>44986</v>
      </c>
      <c r="C1960" s="2">
        <v>20</v>
      </c>
      <c r="D1960" s="2">
        <v>29382</v>
      </c>
      <c r="E1960" s="17">
        <v>70016.460000000006</v>
      </c>
      <c r="F1960" s="11">
        <v>6.55</v>
      </c>
      <c r="G1960" s="9">
        <v>4571.3999999999996</v>
      </c>
      <c r="H1960" s="10">
        <v>0.6</v>
      </c>
      <c r="I1960" s="11">
        <v>6.9</v>
      </c>
    </row>
    <row r="1961" spans="1:9" x14ac:dyDescent="0.35">
      <c r="A1961" s="2" t="s">
        <v>224</v>
      </c>
      <c r="B1961" s="3">
        <v>45017</v>
      </c>
      <c r="C1961" s="2">
        <v>13</v>
      </c>
      <c r="D1961" s="2">
        <v>16738</v>
      </c>
      <c r="E1961" s="17">
        <v>35493.760000000002</v>
      </c>
      <c r="F1961" s="11">
        <v>6.53</v>
      </c>
      <c r="G1961" s="9">
        <v>2540.6</v>
      </c>
      <c r="H1961" s="10">
        <v>0.46200000000000002</v>
      </c>
      <c r="I1961" s="11">
        <v>6.4</v>
      </c>
    </row>
    <row r="1962" spans="1:9" x14ac:dyDescent="0.35">
      <c r="A1962" s="2" t="s">
        <v>224</v>
      </c>
      <c r="B1962" s="3">
        <v>45047</v>
      </c>
      <c r="C1962" s="2">
        <v>12</v>
      </c>
      <c r="D1962" s="2">
        <v>20467</v>
      </c>
      <c r="E1962" s="17">
        <v>45797.57</v>
      </c>
      <c r="F1962" s="11">
        <v>6.68</v>
      </c>
      <c r="G1962" s="9">
        <v>3064.3</v>
      </c>
      <c r="H1962" s="10">
        <v>0.33300000000000002</v>
      </c>
      <c r="I1962" s="11">
        <v>5.9</v>
      </c>
    </row>
    <row r="1963" spans="1:9" x14ac:dyDescent="0.35">
      <c r="A1963" s="2" t="s">
        <v>224</v>
      </c>
      <c r="B1963" s="3">
        <v>45078</v>
      </c>
      <c r="C1963" s="2">
        <v>20</v>
      </c>
      <c r="D1963" s="2">
        <v>30172</v>
      </c>
      <c r="E1963" s="17">
        <v>67544.7</v>
      </c>
      <c r="F1963" s="11">
        <v>6.64</v>
      </c>
      <c r="G1963" s="9">
        <v>4526.2</v>
      </c>
      <c r="H1963" s="10">
        <v>0.5</v>
      </c>
      <c r="I1963" s="11">
        <v>6.3</v>
      </c>
    </row>
    <row r="1964" spans="1:9" x14ac:dyDescent="0.35">
      <c r="A1964" s="2" t="s">
        <v>224</v>
      </c>
      <c r="B1964" s="3">
        <v>45108</v>
      </c>
      <c r="C1964" s="2">
        <v>11</v>
      </c>
      <c r="D1964" s="2">
        <v>18993</v>
      </c>
      <c r="E1964" s="17">
        <v>42554.02</v>
      </c>
      <c r="F1964" s="11">
        <v>6.42</v>
      </c>
      <c r="G1964" s="9">
        <v>3026.3</v>
      </c>
      <c r="H1964" s="10">
        <v>0.36399999999999999</v>
      </c>
      <c r="I1964" s="11">
        <v>7.9</v>
      </c>
    </row>
    <row r="1965" spans="1:9" x14ac:dyDescent="0.35">
      <c r="A1965" s="2" t="s">
        <v>224</v>
      </c>
      <c r="B1965" s="3">
        <v>45139</v>
      </c>
      <c r="C1965" s="2">
        <v>25</v>
      </c>
      <c r="D1965" s="2">
        <v>27880</v>
      </c>
      <c r="E1965" s="17">
        <v>61685.36</v>
      </c>
      <c r="F1965" s="11">
        <v>6.67</v>
      </c>
      <c r="G1965" s="9">
        <v>4240.3</v>
      </c>
      <c r="H1965" s="10">
        <v>0.4</v>
      </c>
      <c r="I1965" s="11">
        <v>7.1</v>
      </c>
    </row>
    <row r="1966" spans="1:9" x14ac:dyDescent="0.35">
      <c r="A1966" s="2" t="s">
        <v>224</v>
      </c>
      <c r="B1966" s="3">
        <v>45170</v>
      </c>
      <c r="C1966" s="2">
        <v>18</v>
      </c>
      <c r="D1966" s="2">
        <v>26059</v>
      </c>
      <c r="E1966" s="17">
        <v>55265.53</v>
      </c>
      <c r="F1966" s="11">
        <v>6.9</v>
      </c>
      <c r="G1966" s="9">
        <v>3757.1</v>
      </c>
      <c r="H1966" s="10">
        <v>0.5</v>
      </c>
      <c r="I1966" s="11">
        <v>6.5</v>
      </c>
    </row>
    <row r="1967" spans="1:9" x14ac:dyDescent="0.35">
      <c r="A1967" s="2" t="s">
        <v>224</v>
      </c>
      <c r="B1967" s="3">
        <v>45200</v>
      </c>
      <c r="C1967" s="2">
        <v>17</v>
      </c>
      <c r="D1967" s="2">
        <v>23417</v>
      </c>
      <c r="E1967" s="17">
        <v>46687.31</v>
      </c>
      <c r="F1967" s="11">
        <v>6.37</v>
      </c>
      <c r="G1967" s="9">
        <v>3811.3</v>
      </c>
      <c r="H1967" s="10">
        <v>0.64700000000000002</v>
      </c>
      <c r="I1967" s="11">
        <v>6.1</v>
      </c>
    </row>
    <row r="1968" spans="1:9" x14ac:dyDescent="0.35">
      <c r="A1968" s="2" t="s">
        <v>224</v>
      </c>
      <c r="B1968" s="3">
        <v>45231</v>
      </c>
      <c r="C1968" s="2">
        <v>24</v>
      </c>
      <c r="D1968" s="2">
        <v>28768</v>
      </c>
      <c r="E1968" s="17">
        <v>64683.4</v>
      </c>
      <c r="F1968" s="11">
        <v>6.26</v>
      </c>
      <c r="G1968" s="9">
        <v>4599.7</v>
      </c>
      <c r="H1968" s="10">
        <v>0.5</v>
      </c>
      <c r="I1968" s="11">
        <v>6</v>
      </c>
    </row>
    <row r="1969" spans="1:9" x14ac:dyDescent="0.35">
      <c r="A1969" s="2" t="s">
        <v>224</v>
      </c>
      <c r="B1969" s="3">
        <v>45261</v>
      </c>
      <c r="C1969" s="2">
        <v>14</v>
      </c>
      <c r="D1969" s="2">
        <v>21088</v>
      </c>
      <c r="E1969" s="17">
        <v>43605.86</v>
      </c>
      <c r="F1969" s="11">
        <v>6.49</v>
      </c>
      <c r="G1969" s="9">
        <v>3246.3</v>
      </c>
      <c r="H1969" s="10">
        <v>0.28599999999999998</v>
      </c>
      <c r="I1969" s="11">
        <v>7.3</v>
      </c>
    </row>
    <row r="1970" spans="1:9" x14ac:dyDescent="0.35">
      <c r="A1970" s="2" t="s">
        <v>224</v>
      </c>
      <c r="B1970" s="3">
        <v>45292</v>
      </c>
      <c r="C1970" s="2">
        <v>18</v>
      </c>
      <c r="D1970" s="2">
        <v>28834</v>
      </c>
      <c r="E1970" s="17">
        <v>64511.37</v>
      </c>
      <c r="F1970" s="11">
        <v>6.52</v>
      </c>
      <c r="G1970" s="9">
        <v>4474.5</v>
      </c>
      <c r="H1970" s="10">
        <v>0.61099999999999999</v>
      </c>
      <c r="I1970" s="11">
        <v>6</v>
      </c>
    </row>
    <row r="1971" spans="1:9" x14ac:dyDescent="0.35">
      <c r="A1971" s="2" t="s">
        <v>224</v>
      </c>
      <c r="B1971" s="3">
        <v>45323</v>
      </c>
      <c r="C1971" s="2">
        <v>22</v>
      </c>
      <c r="D1971" s="2">
        <v>34945</v>
      </c>
      <c r="E1971" s="17">
        <v>76406.34</v>
      </c>
      <c r="F1971" s="11">
        <v>6.46</v>
      </c>
      <c r="G1971" s="9">
        <v>5482.6</v>
      </c>
      <c r="H1971" s="10">
        <v>0.5</v>
      </c>
      <c r="I1971" s="11">
        <v>6.4</v>
      </c>
    </row>
    <row r="1972" spans="1:9" x14ac:dyDescent="0.35">
      <c r="A1972" s="2" t="s">
        <v>224</v>
      </c>
      <c r="B1972" s="3">
        <v>45352</v>
      </c>
      <c r="C1972" s="2">
        <v>25</v>
      </c>
      <c r="D1972" s="2">
        <v>38993</v>
      </c>
      <c r="E1972" s="17">
        <v>82344.759999999995</v>
      </c>
      <c r="F1972" s="11">
        <v>6.36</v>
      </c>
      <c r="G1972" s="9">
        <v>6189.7</v>
      </c>
      <c r="H1972" s="10">
        <v>0.52</v>
      </c>
      <c r="I1972" s="11">
        <v>7.3</v>
      </c>
    </row>
    <row r="1973" spans="1:9" x14ac:dyDescent="0.35">
      <c r="A1973" s="2" t="s">
        <v>224</v>
      </c>
      <c r="B1973" s="3">
        <v>45383</v>
      </c>
      <c r="C1973" s="2">
        <v>17</v>
      </c>
      <c r="D1973" s="2">
        <v>22147</v>
      </c>
      <c r="E1973" s="17">
        <v>45878.38</v>
      </c>
      <c r="F1973" s="11">
        <v>6.44</v>
      </c>
      <c r="G1973" s="9">
        <v>3494.8</v>
      </c>
      <c r="H1973" s="10">
        <v>0.58799999999999997</v>
      </c>
      <c r="I1973" s="11">
        <v>6.4</v>
      </c>
    </row>
    <row r="1974" spans="1:9" x14ac:dyDescent="0.35">
      <c r="A1974" s="2" t="s">
        <v>224</v>
      </c>
      <c r="B1974" s="3">
        <v>45413</v>
      </c>
      <c r="C1974" s="2">
        <v>18</v>
      </c>
      <c r="D1974" s="2">
        <v>30333</v>
      </c>
      <c r="E1974" s="17">
        <v>61368.63</v>
      </c>
      <c r="F1974" s="11">
        <v>6.7</v>
      </c>
      <c r="G1974" s="9">
        <v>4548.2</v>
      </c>
      <c r="H1974" s="10">
        <v>0.44400000000000001</v>
      </c>
      <c r="I1974" s="11">
        <v>6.7</v>
      </c>
    </row>
    <row r="1975" spans="1:9" x14ac:dyDescent="0.35">
      <c r="A1975" s="2" t="s">
        <v>224</v>
      </c>
      <c r="B1975" s="3">
        <v>45444</v>
      </c>
      <c r="C1975" s="2">
        <v>19</v>
      </c>
      <c r="D1975" s="2">
        <v>23646</v>
      </c>
      <c r="E1975" s="17">
        <v>53782.54</v>
      </c>
      <c r="F1975" s="11">
        <v>6.3</v>
      </c>
      <c r="G1975" s="9">
        <v>3789.7</v>
      </c>
      <c r="H1975" s="10">
        <v>0.36799999999999999</v>
      </c>
      <c r="I1975" s="11">
        <v>6.9</v>
      </c>
    </row>
    <row r="1976" spans="1:9" x14ac:dyDescent="0.35">
      <c r="A1976" s="2" t="s">
        <v>224</v>
      </c>
      <c r="B1976" s="3">
        <v>45474</v>
      </c>
      <c r="C1976" s="2">
        <v>21</v>
      </c>
      <c r="D1976" s="2">
        <v>26663</v>
      </c>
      <c r="E1976" s="17">
        <v>57603.38</v>
      </c>
      <c r="F1976" s="11">
        <v>6.65</v>
      </c>
      <c r="G1976" s="9">
        <v>4152.8</v>
      </c>
      <c r="H1976" s="10">
        <v>0.23799999999999999</v>
      </c>
      <c r="I1976" s="11">
        <v>6.9</v>
      </c>
    </row>
    <row r="1977" spans="1:9" x14ac:dyDescent="0.35">
      <c r="A1977" s="2" t="s">
        <v>224</v>
      </c>
      <c r="B1977" s="3">
        <v>45505</v>
      </c>
      <c r="C1977" s="2">
        <v>17</v>
      </c>
      <c r="D1977" s="2">
        <v>23028</v>
      </c>
      <c r="E1977" s="17">
        <v>51473.02</v>
      </c>
      <c r="F1977" s="11">
        <v>6.68</v>
      </c>
      <c r="G1977" s="9">
        <v>3442.4</v>
      </c>
      <c r="H1977" s="10">
        <v>0.35299999999999998</v>
      </c>
      <c r="I1977" s="11">
        <v>6.8</v>
      </c>
    </row>
    <row r="1978" spans="1:9" x14ac:dyDescent="0.35">
      <c r="A1978" s="2" t="s">
        <v>224</v>
      </c>
      <c r="B1978" s="3">
        <v>45536</v>
      </c>
      <c r="C1978" s="2">
        <v>14</v>
      </c>
      <c r="D1978" s="2">
        <v>16050</v>
      </c>
      <c r="E1978" s="17">
        <v>36008.35</v>
      </c>
      <c r="F1978" s="11">
        <v>6.63</v>
      </c>
      <c r="G1978" s="9">
        <v>2454.6999999999998</v>
      </c>
      <c r="H1978" s="10">
        <v>0.57099999999999995</v>
      </c>
      <c r="I1978" s="11">
        <v>6.8</v>
      </c>
    </row>
    <row r="1979" spans="1:9" x14ac:dyDescent="0.35">
      <c r="A1979" s="2" t="s">
        <v>224</v>
      </c>
      <c r="B1979" s="3">
        <v>45566</v>
      </c>
      <c r="C1979" s="2">
        <v>21</v>
      </c>
      <c r="D1979" s="2">
        <v>27715</v>
      </c>
      <c r="E1979" s="17">
        <v>61732.76</v>
      </c>
      <c r="F1979" s="11">
        <v>6.41</v>
      </c>
      <c r="G1979" s="9">
        <v>4349.5</v>
      </c>
      <c r="H1979" s="10">
        <v>0.33300000000000002</v>
      </c>
      <c r="I1979" s="11">
        <v>7.4</v>
      </c>
    </row>
    <row r="1980" spans="1:9" x14ac:dyDescent="0.35">
      <c r="A1980" s="2" t="s">
        <v>224</v>
      </c>
      <c r="B1980" s="3">
        <v>45597</v>
      </c>
      <c r="C1980" s="2">
        <v>20</v>
      </c>
      <c r="D1980" s="2">
        <v>33564</v>
      </c>
      <c r="E1980" s="17">
        <v>68219.58</v>
      </c>
      <c r="F1980" s="11">
        <v>6.67</v>
      </c>
      <c r="G1980" s="9">
        <v>5117.1000000000004</v>
      </c>
      <c r="H1980" s="10">
        <v>0.35</v>
      </c>
      <c r="I1980" s="11">
        <v>7.3</v>
      </c>
    </row>
    <row r="1981" spans="1:9" x14ac:dyDescent="0.35">
      <c r="A1981" s="2" t="s">
        <v>224</v>
      </c>
      <c r="B1981" s="3">
        <v>45627</v>
      </c>
      <c r="C1981" s="2">
        <v>20</v>
      </c>
      <c r="D1981" s="2">
        <v>24625</v>
      </c>
      <c r="E1981" s="17">
        <v>55874.09</v>
      </c>
      <c r="F1981" s="11">
        <v>6.62</v>
      </c>
      <c r="G1981" s="9">
        <v>3639.7</v>
      </c>
      <c r="H1981" s="10">
        <v>0.5</v>
      </c>
      <c r="I1981" s="11">
        <v>6.5</v>
      </c>
    </row>
    <row r="1982" spans="1:9" x14ac:dyDescent="0.35">
      <c r="A1982" s="2" t="s">
        <v>226</v>
      </c>
      <c r="B1982" s="3">
        <v>44562</v>
      </c>
      <c r="C1982" s="2">
        <v>29</v>
      </c>
      <c r="D1982" s="2">
        <v>37762</v>
      </c>
      <c r="E1982" s="17">
        <v>79950.36</v>
      </c>
      <c r="F1982" s="11">
        <v>6.65</v>
      </c>
      <c r="G1982" s="9">
        <v>5780.1</v>
      </c>
      <c r="H1982" s="10">
        <v>0.58599999999999997</v>
      </c>
      <c r="I1982" s="11">
        <v>6.7</v>
      </c>
    </row>
    <row r="1983" spans="1:9" x14ac:dyDescent="0.35">
      <c r="A1983" s="2" t="s">
        <v>226</v>
      </c>
      <c r="B1983" s="3">
        <v>44593</v>
      </c>
      <c r="C1983" s="2">
        <v>21</v>
      </c>
      <c r="D1983" s="2">
        <v>28338</v>
      </c>
      <c r="E1983" s="17">
        <v>55177.65</v>
      </c>
      <c r="F1983" s="11">
        <v>6.41</v>
      </c>
      <c r="G1983" s="9">
        <v>4417.3</v>
      </c>
      <c r="H1983" s="10">
        <v>0.28599999999999998</v>
      </c>
      <c r="I1983" s="11">
        <v>6.6</v>
      </c>
    </row>
    <row r="1984" spans="1:9" x14ac:dyDescent="0.35">
      <c r="A1984" s="2" t="s">
        <v>226</v>
      </c>
      <c r="B1984" s="3">
        <v>44621</v>
      </c>
      <c r="C1984" s="2">
        <v>24</v>
      </c>
      <c r="D1984" s="2">
        <v>40311</v>
      </c>
      <c r="E1984" s="17">
        <v>92999.91</v>
      </c>
      <c r="F1984" s="11">
        <v>6.49</v>
      </c>
      <c r="G1984" s="9">
        <v>6262.8</v>
      </c>
      <c r="H1984" s="10">
        <v>0.5</v>
      </c>
      <c r="I1984" s="11">
        <v>7.6</v>
      </c>
    </row>
    <row r="1985" spans="1:9" x14ac:dyDescent="0.35">
      <c r="A1985" s="2" t="s">
        <v>226</v>
      </c>
      <c r="B1985" s="3">
        <v>44652</v>
      </c>
      <c r="C1985" s="2">
        <v>15</v>
      </c>
      <c r="D1985" s="2">
        <v>21669</v>
      </c>
      <c r="E1985" s="17">
        <v>43571.17</v>
      </c>
      <c r="F1985" s="11">
        <v>6.42</v>
      </c>
      <c r="G1985" s="9">
        <v>3344.5</v>
      </c>
      <c r="H1985" s="10">
        <v>0.46700000000000003</v>
      </c>
      <c r="I1985" s="11">
        <v>7.2</v>
      </c>
    </row>
    <row r="1986" spans="1:9" x14ac:dyDescent="0.35">
      <c r="A1986" s="2" t="s">
        <v>226</v>
      </c>
      <c r="B1986" s="3">
        <v>44682</v>
      </c>
      <c r="C1986" s="2">
        <v>17</v>
      </c>
      <c r="D1986" s="2">
        <v>20644</v>
      </c>
      <c r="E1986" s="17">
        <v>42752.39</v>
      </c>
      <c r="F1986" s="11">
        <v>6.15</v>
      </c>
      <c r="G1986" s="9">
        <v>3433.3</v>
      </c>
      <c r="H1986" s="10">
        <v>0.35299999999999998</v>
      </c>
      <c r="I1986" s="11">
        <v>6.8</v>
      </c>
    </row>
    <row r="1987" spans="1:9" x14ac:dyDescent="0.35">
      <c r="A1987" s="2" t="s">
        <v>226</v>
      </c>
      <c r="B1987" s="3">
        <v>44713</v>
      </c>
      <c r="C1987" s="2">
        <v>22</v>
      </c>
      <c r="D1987" s="2">
        <v>29961</v>
      </c>
      <c r="E1987" s="17">
        <v>65036.27</v>
      </c>
      <c r="F1987" s="11">
        <v>6.4</v>
      </c>
      <c r="G1987" s="9">
        <v>4688.7</v>
      </c>
      <c r="H1987" s="10">
        <v>0.36399999999999999</v>
      </c>
      <c r="I1987" s="11">
        <v>7.5</v>
      </c>
    </row>
    <row r="1988" spans="1:9" x14ac:dyDescent="0.35">
      <c r="A1988" s="2" t="s">
        <v>226</v>
      </c>
      <c r="B1988" s="3">
        <v>44743</v>
      </c>
      <c r="C1988" s="2">
        <v>19</v>
      </c>
      <c r="D1988" s="2">
        <v>22271</v>
      </c>
      <c r="E1988" s="17">
        <v>48515.519999999997</v>
      </c>
      <c r="F1988" s="11">
        <v>6.6</v>
      </c>
      <c r="G1988" s="9">
        <v>3377.8</v>
      </c>
      <c r="H1988" s="10">
        <v>0.42099999999999999</v>
      </c>
      <c r="I1988" s="11">
        <v>5.6</v>
      </c>
    </row>
    <row r="1989" spans="1:9" x14ac:dyDescent="0.35">
      <c r="A1989" s="2" t="s">
        <v>226</v>
      </c>
      <c r="B1989" s="3">
        <v>44774</v>
      </c>
      <c r="C1989" s="2">
        <v>24</v>
      </c>
      <c r="D1989" s="2">
        <v>29153</v>
      </c>
      <c r="E1989" s="17">
        <v>65788.19</v>
      </c>
      <c r="F1989" s="11">
        <v>6.59</v>
      </c>
      <c r="G1989" s="9">
        <v>4527.3</v>
      </c>
      <c r="H1989" s="10">
        <v>0.41699999999999998</v>
      </c>
      <c r="I1989" s="11">
        <v>6.3</v>
      </c>
    </row>
    <row r="1990" spans="1:9" x14ac:dyDescent="0.35">
      <c r="A1990" s="2" t="s">
        <v>226</v>
      </c>
      <c r="B1990" s="3">
        <v>44805</v>
      </c>
      <c r="C1990" s="2">
        <v>13</v>
      </c>
      <c r="D1990" s="2">
        <v>17574</v>
      </c>
      <c r="E1990" s="17">
        <v>41405.24</v>
      </c>
      <c r="F1990" s="11">
        <v>6.04</v>
      </c>
      <c r="G1990" s="9">
        <v>2917.1</v>
      </c>
      <c r="H1990" s="10">
        <v>0.23100000000000001</v>
      </c>
      <c r="I1990" s="11">
        <v>6.4</v>
      </c>
    </row>
    <row r="1991" spans="1:9" x14ac:dyDescent="0.35">
      <c r="A1991" s="2" t="s">
        <v>226</v>
      </c>
      <c r="B1991" s="3">
        <v>44835</v>
      </c>
      <c r="C1991" s="2">
        <v>19</v>
      </c>
      <c r="D1991" s="2">
        <v>25956</v>
      </c>
      <c r="E1991" s="17">
        <v>53927.55</v>
      </c>
      <c r="F1991" s="11">
        <v>6.61</v>
      </c>
      <c r="G1991" s="9">
        <v>3963.4</v>
      </c>
      <c r="H1991" s="10">
        <v>0.42099999999999999</v>
      </c>
      <c r="I1991" s="11">
        <v>6.8</v>
      </c>
    </row>
    <row r="1992" spans="1:9" x14ac:dyDescent="0.35">
      <c r="A1992" s="2" t="s">
        <v>226</v>
      </c>
      <c r="B1992" s="3">
        <v>44866</v>
      </c>
      <c r="C1992" s="2">
        <v>15</v>
      </c>
      <c r="D1992" s="2">
        <v>18553</v>
      </c>
      <c r="E1992" s="17">
        <v>44239.67</v>
      </c>
      <c r="F1992" s="11">
        <v>6.41</v>
      </c>
      <c r="G1992" s="9">
        <v>2897.4</v>
      </c>
      <c r="H1992" s="10">
        <v>0.33300000000000002</v>
      </c>
      <c r="I1992" s="11">
        <v>7.3</v>
      </c>
    </row>
    <row r="1993" spans="1:9" x14ac:dyDescent="0.35">
      <c r="A1993" s="2" t="s">
        <v>226</v>
      </c>
      <c r="B1993" s="3">
        <v>44896</v>
      </c>
      <c r="C1993" s="2">
        <v>17</v>
      </c>
      <c r="D1993" s="2">
        <v>24682</v>
      </c>
      <c r="E1993" s="17">
        <v>50334.47</v>
      </c>
      <c r="F1993" s="11">
        <v>6.42</v>
      </c>
      <c r="G1993" s="9">
        <v>3885.1</v>
      </c>
      <c r="H1993" s="10">
        <v>0.47099999999999997</v>
      </c>
      <c r="I1993" s="11">
        <v>6</v>
      </c>
    </row>
    <row r="1994" spans="1:9" x14ac:dyDescent="0.35">
      <c r="A1994" s="2" t="s">
        <v>226</v>
      </c>
      <c r="B1994" s="3">
        <v>44927</v>
      </c>
      <c r="C1994" s="2">
        <v>24</v>
      </c>
      <c r="D1994" s="2">
        <v>33717</v>
      </c>
      <c r="E1994" s="17">
        <v>72559.91</v>
      </c>
      <c r="F1994" s="11">
        <v>6.52</v>
      </c>
      <c r="G1994" s="9">
        <v>5179.8</v>
      </c>
      <c r="H1994" s="10">
        <v>0.5</v>
      </c>
      <c r="I1994" s="11">
        <v>7.2</v>
      </c>
    </row>
    <row r="1995" spans="1:9" x14ac:dyDescent="0.35">
      <c r="A1995" s="2" t="s">
        <v>226</v>
      </c>
      <c r="B1995" s="3">
        <v>44958</v>
      </c>
      <c r="C1995" s="2">
        <v>19</v>
      </c>
      <c r="D1995" s="2">
        <v>22386</v>
      </c>
      <c r="E1995" s="17">
        <v>48888.480000000003</v>
      </c>
      <c r="F1995" s="11">
        <v>6.67</v>
      </c>
      <c r="G1995" s="9">
        <v>3369.2</v>
      </c>
      <c r="H1995" s="10">
        <v>0.52600000000000002</v>
      </c>
      <c r="I1995" s="11">
        <v>7.6</v>
      </c>
    </row>
    <row r="1996" spans="1:9" x14ac:dyDescent="0.35">
      <c r="A1996" s="2" t="s">
        <v>226</v>
      </c>
      <c r="B1996" s="3">
        <v>44986</v>
      </c>
      <c r="C1996" s="2">
        <v>29</v>
      </c>
      <c r="D1996" s="2">
        <v>36884</v>
      </c>
      <c r="E1996" s="17">
        <v>82523.759999999995</v>
      </c>
      <c r="F1996" s="11">
        <v>6.4</v>
      </c>
      <c r="G1996" s="9">
        <v>5718.5</v>
      </c>
      <c r="H1996" s="10">
        <v>0.51700000000000002</v>
      </c>
      <c r="I1996" s="11">
        <v>7</v>
      </c>
    </row>
    <row r="1997" spans="1:9" x14ac:dyDescent="0.35">
      <c r="A1997" s="2" t="s">
        <v>226</v>
      </c>
      <c r="B1997" s="3">
        <v>45017</v>
      </c>
      <c r="C1997" s="2">
        <v>26</v>
      </c>
      <c r="D1997" s="2">
        <v>33241</v>
      </c>
      <c r="E1997" s="17">
        <v>76524.28</v>
      </c>
      <c r="F1997" s="11">
        <v>6.52</v>
      </c>
      <c r="G1997" s="9">
        <v>5166.1000000000004</v>
      </c>
      <c r="H1997" s="10">
        <v>0.42299999999999999</v>
      </c>
      <c r="I1997" s="11">
        <v>7.4</v>
      </c>
    </row>
    <row r="1998" spans="1:9" x14ac:dyDescent="0.35">
      <c r="A1998" s="2" t="s">
        <v>226</v>
      </c>
      <c r="B1998" s="3">
        <v>45047</v>
      </c>
      <c r="C1998" s="2">
        <v>13</v>
      </c>
      <c r="D1998" s="2">
        <v>21422</v>
      </c>
      <c r="E1998" s="17">
        <v>47420.73</v>
      </c>
      <c r="F1998" s="11">
        <v>6.69</v>
      </c>
      <c r="G1998" s="9">
        <v>3246.5</v>
      </c>
      <c r="H1998" s="10">
        <v>0.46200000000000002</v>
      </c>
      <c r="I1998" s="11">
        <v>8</v>
      </c>
    </row>
    <row r="1999" spans="1:9" x14ac:dyDescent="0.35">
      <c r="A1999" s="2" t="s">
        <v>226</v>
      </c>
      <c r="B1999" s="3">
        <v>45078</v>
      </c>
      <c r="C1999" s="2">
        <v>33</v>
      </c>
      <c r="D1999" s="2">
        <v>44953</v>
      </c>
      <c r="E1999" s="17">
        <v>92687.76</v>
      </c>
      <c r="F1999" s="11">
        <v>6.44</v>
      </c>
      <c r="G1999" s="9">
        <v>7124.4</v>
      </c>
      <c r="H1999" s="10">
        <v>0.45500000000000002</v>
      </c>
      <c r="I1999" s="11">
        <v>6.9</v>
      </c>
    </row>
    <row r="2000" spans="1:9" x14ac:dyDescent="0.35">
      <c r="A2000" s="2" t="s">
        <v>226</v>
      </c>
      <c r="B2000" s="3">
        <v>45108</v>
      </c>
      <c r="C2000" s="2">
        <v>18</v>
      </c>
      <c r="D2000" s="2">
        <v>29361</v>
      </c>
      <c r="E2000" s="17">
        <v>64374.05</v>
      </c>
      <c r="F2000" s="11">
        <v>6.59</v>
      </c>
      <c r="G2000" s="9">
        <v>4429.2</v>
      </c>
      <c r="H2000" s="10">
        <v>0.5</v>
      </c>
      <c r="I2000" s="11">
        <v>7.3</v>
      </c>
    </row>
    <row r="2001" spans="1:9" x14ac:dyDescent="0.35">
      <c r="A2001" s="2" t="s">
        <v>226</v>
      </c>
      <c r="B2001" s="3">
        <v>45139</v>
      </c>
      <c r="C2001" s="2">
        <v>26</v>
      </c>
      <c r="D2001" s="2">
        <v>31554</v>
      </c>
      <c r="E2001" s="17">
        <v>66071.39</v>
      </c>
      <c r="F2001" s="11">
        <v>6.67</v>
      </c>
      <c r="G2001" s="9">
        <v>4728.6000000000004</v>
      </c>
      <c r="H2001" s="10">
        <v>0.42299999999999999</v>
      </c>
      <c r="I2001" s="11">
        <v>6.3</v>
      </c>
    </row>
    <row r="2002" spans="1:9" x14ac:dyDescent="0.35">
      <c r="A2002" s="2" t="s">
        <v>226</v>
      </c>
      <c r="B2002" s="3">
        <v>45170</v>
      </c>
      <c r="C2002" s="2">
        <v>27</v>
      </c>
      <c r="D2002" s="2">
        <v>40055</v>
      </c>
      <c r="E2002" s="17">
        <v>82263.509999999995</v>
      </c>
      <c r="F2002" s="11">
        <v>6.45</v>
      </c>
      <c r="G2002" s="9">
        <v>6329.7</v>
      </c>
      <c r="H2002" s="10">
        <v>0.48099999999999998</v>
      </c>
      <c r="I2002" s="11">
        <v>7.3</v>
      </c>
    </row>
    <row r="2003" spans="1:9" x14ac:dyDescent="0.35">
      <c r="A2003" s="2" t="s">
        <v>226</v>
      </c>
      <c r="B2003" s="3">
        <v>45200</v>
      </c>
      <c r="C2003" s="2">
        <v>18</v>
      </c>
      <c r="D2003" s="2">
        <v>20156</v>
      </c>
      <c r="E2003" s="17">
        <v>42678.18</v>
      </c>
      <c r="F2003" s="11">
        <v>6.52</v>
      </c>
      <c r="G2003" s="9">
        <v>3093.1</v>
      </c>
      <c r="H2003" s="10">
        <v>0.38900000000000001</v>
      </c>
      <c r="I2003" s="11">
        <v>6.8</v>
      </c>
    </row>
    <row r="2004" spans="1:9" x14ac:dyDescent="0.35">
      <c r="A2004" s="2" t="s">
        <v>226</v>
      </c>
      <c r="B2004" s="3">
        <v>45231</v>
      </c>
      <c r="C2004" s="2">
        <v>27</v>
      </c>
      <c r="D2004" s="2">
        <v>32274</v>
      </c>
      <c r="E2004" s="17">
        <v>69188.37</v>
      </c>
      <c r="F2004" s="11">
        <v>6.46</v>
      </c>
      <c r="G2004" s="9">
        <v>5061.7</v>
      </c>
      <c r="H2004" s="10">
        <v>0.55600000000000005</v>
      </c>
      <c r="I2004" s="11">
        <v>8</v>
      </c>
    </row>
    <row r="2005" spans="1:9" x14ac:dyDescent="0.35">
      <c r="A2005" s="2" t="s">
        <v>226</v>
      </c>
      <c r="B2005" s="3">
        <v>45261</v>
      </c>
      <c r="C2005" s="2">
        <v>14</v>
      </c>
      <c r="D2005" s="2">
        <v>22181</v>
      </c>
      <c r="E2005" s="17">
        <v>46091.74</v>
      </c>
      <c r="F2005" s="11">
        <v>6.41</v>
      </c>
      <c r="G2005" s="9">
        <v>3462.2</v>
      </c>
      <c r="H2005" s="10">
        <v>0.42899999999999999</v>
      </c>
      <c r="I2005" s="11">
        <v>7</v>
      </c>
    </row>
    <row r="2006" spans="1:9" x14ac:dyDescent="0.35">
      <c r="A2006" s="2" t="s">
        <v>226</v>
      </c>
      <c r="B2006" s="3">
        <v>45292</v>
      </c>
      <c r="C2006" s="2">
        <v>13</v>
      </c>
      <c r="D2006" s="2">
        <v>16637</v>
      </c>
      <c r="E2006" s="17">
        <v>37322.199999999997</v>
      </c>
      <c r="F2006" s="11">
        <v>6.49</v>
      </c>
      <c r="G2006" s="9">
        <v>2512.6999999999998</v>
      </c>
      <c r="H2006" s="10">
        <v>0.46200000000000002</v>
      </c>
      <c r="I2006" s="11">
        <v>6.2</v>
      </c>
    </row>
    <row r="2007" spans="1:9" x14ac:dyDescent="0.35">
      <c r="A2007" s="2" t="s">
        <v>226</v>
      </c>
      <c r="B2007" s="3">
        <v>45323</v>
      </c>
      <c r="C2007" s="2">
        <v>17</v>
      </c>
      <c r="D2007" s="2">
        <v>23298</v>
      </c>
      <c r="E2007" s="17">
        <v>49347.44</v>
      </c>
      <c r="F2007" s="11">
        <v>6.5</v>
      </c>
      <c r="G2007" s="9">
        <v>3608.6</v>
      </c>
      <c r="H2007" s="10">
        <v>0.58799999999999997</v>
      </c>
      <c r="I2007" s="11">
        <v>6.7</v>
      </c>
    </row>
    <row r="2008" spans="1:9" x14ac:dyDescent="0.35">
      <c r="A2008" s="2" t="s">
        <v>226</v>
      </c>
      <c r="B2008" s="3">
        <v>45352</v>
      </c>
      <c r="C2008" s="2">
        <v>18</v>
      </c>
      <c r="D2008" s="2">
        <v>22872</v>
      </c>
      <c r="E2008" s="17">
        <v>50259.44</v>
      </c>
      <c r="F2008" s="11">
        <v>6.56</v>
      </c>
      <c r="G2008" s="9">
        <v>3543.1</v>
      </c>
      <c r="H2008" s="10">
        <v>0.38900000000000001</v>
      </c>
      <c r="I2008" s="11">
        <v>6.4</v>
      </c>
    </row>
    <row r="2009" spans="1:9" x14ac:dyDescent="0.35">
      <c r="A2009" s="2" t="s">
        <v>226</v>
      </c>
      <c r="B2009" s="3">
        <v>45383</v>
      </c>
      <c r="C2009" s="2">
        <v>20</v>
      </c>
      <c r="D2009" s="2">
        <v>31496</v>
      </c>
      <c r="E2009" s="17">
        <v>66940.05</v>
      </c>
      <c r="F2009" s="11">
        <v>6.49</v>
      </c>
      <c r="G2009" s="9">
        <v>4882.3999999999996</v>
      </c>
      <c r="H2009" s="10">
        <v>0.35</v>
      </c>
      <c r="I2009" s="11">
        <v>7.5</v>
      </c>
    </row>
    <row r="2010" spans="1:9" x14ac:dyDescent="0.35">
      <c r="A2010" s="2" t="s">
        <v>226</v>
      </c>
      <c r="B2010" s="3">
        <v>45413</v>
      </c>
      <c r="C2010" s="2">
        <v>24</v>
      </c>
      <c r="D2010" s="2">
        <v>32593</v>
      </c>
      <c r="E2010" s="17">
        <v>67598.509999999995</v>
      </c>
      <c r="F2010" s="11">
        <v>6.55</v>
      </c>
      <c r="G2010" s="9">
        <v>5110.8</v>
      </c>
      <c r="H2010" s="10">
        <v>0.45800000000000002</v>
      </c>
      <c r="I2010" s="11">
        <v>8.1</v>
      </c>
    </row>
    <row r="2011" spans="1:9" x14ac:dyDescent="0.35">
      <c r="A2011" s="2" t="s">
        <v>226</v>
      </c>
      <c r="B2011" s="3">
        <v>45444</v>
      </c>
      <c r="C2011" s="2">
        <v>23</v>
      </c>
      <c r="D2011" s="2">
        <v>42700</v>
      </c>
      <c r="E2011" s="17">
        <v>98275.16</v>
      </c>
      <c r="F2011" s="11">
        <v>6.77</v>
      </c>
      <c r="G2011" s="9">
        <v>6324.2</v>
      </c>
      <c r="H2011" s="10">
        <v>0.47799999999999998</v>
      </c>
      <c r="I2011" s="11">
        <v>7.2</v>
      </c>
    </row>
    <row r="2012" spans="1:9" x14ac:dyDescent="0.35">
      <c r="A2012" s="2" t="s">
        <v>226</v>
      </c>
      <c r="B2012" s="3">
        <v>45474</v>
      </c>
      <c r="C2012" s="2">
        <v>18</v>
      </c>
      <c r="D2012" s="2">
        <v>20717</v>
      </c>
      <c r="E2012" s="17">
        <v>44914.19</v>
      </c>
      <c r="F2012" s="11">
        <v>6.35</v>
      </c>
      <c r="G2012" s="9">
        <v>3281.7</v>
      </c>
      <c r="H2012" s="10">
        <v>0.27800000000000002</v>
      </c>
      <c r="I2012" s="11">
        <v>7.5</v>
      </c>
    </row>
    <row r="2013" spans="1:9" x14ac:dyDescent="0.35">
      <c r="A2013" s="2" t="s">
        <v>226</v>
      </c>
      <c r="B2013" s="3">
        <v>45505</v>
      </c>
      <c r="C2013" s="2">
        <v>17</v>
      </c>
      <c r="D2013" s="2">
        <v>21819</v>
      </c>
      <c r="E2013" s="17">
        <v>46225.57</v>
      </c>
      <c r="F2013" s="11">
        <v>6.64</v>
      </c>
      <c r="G2013" s="9">
        <v>3374.9</v>
      </c>
      <c r="H2013" s="10">
        <v>0.52900000000000003</v>
      </c>
      <c r="I2013" s="11">
        <v>7.2</v>
      </c>
    </row>
    <row r="2014" spans="1:9" x14ac:dyDescent="0.35">
      <c r="A2014" s="2" t="s">
        <v>226</v>
      </c>
      <c r="B2014" s="3">
        <v>45536</v>
      </c>
      <c r="C2014" s="2">
        <v>28</v>
      </c>
      <c r="D2014" s="2">
        <v>41361</v>
      </c>
      <c r="E2014" s="17">
        <v>99256.71</v>
      </c>
      <c r="F2014" s="11">
        <v>6.6</v>
      </c>
      <c r="G2014" s="9">
        <v>6279.3</v>
      </c>
      <c r="H2014" s="10">
        <v>0.35699999999999998</v>
      </c>
      <c r="I2014" s="11">
        <v>7.3</v>
      </c>
    </row>
    <row r="2015" spans="1:9" x14ac:dyDescent="0.35">
      <c r="A2015" s="2" t="s">
        <v>226</v>
      </c>
      <c r="B2015" s="3">
        <v>45566</v>
      </c>
      <c r="C2015" s="2">
        <v>16</v>
      </c>
      <c r="D2015" s="2">
        <v>16149</v>
      </c>
      <c r="E2015" s="17">
        <v>36033.64</v>
      </c>
      <c r="F2015" s="11">
        <v>6.45</v>
      </c>
      <c r="G2015" s="9">
        <v>2578.6</v>
      </c>
      <c r="H2015" s="10">
        <v>0.68799999999999994</v>
      </c>
      <c r="I2015" s="11">
        <v>6.2</v>
      </c>
    </row>
    <row r="2016" spans="1:9" x14ac:dyDescent="0.35">
      <c r="A2016" s="2" t="s">
        <v>226</v>
      </c>
      <c r="B2016" s="3">
        <v>45597</v>
      </c>
      <c r="C2016" s="2">
        <v>19</v>
      </c>
      <c r="D2016" s="2">
        <v>31849</v>
      </c>
      <c r="E2016" s="17">
        <v>69310.14</v>
      </c>
      <c r="F2016" s="11">
        <v>6.45</v>
      </c>
      <c r="G2016" s="9">
        <v>4965.8</v>
      </c>
      <c r="H2016" s="10">
        <v>0.42099999999999999</v>
      </c>
      <c r="I2016" s="11">
        <v>7.2</v>
      </c>
    </row>
    <row r="2017" spans="1:9" x14ac:dyDescent="0.35">
      <c r="A2017" s="2" t="s">
        <v>226</v>
      </c>
      <c r="B2017" s="3">
        <v>45627</v>
      </c>
      <c r="C2017" s="2">
        <v>15</v>
      </c>
      <c r="D2017" s="2">
        <v>20746</v>
      </c>
      <c r="E2017" s="17">
        <v>40182.6</v>
      </c>
      <c r="F2017" s="11">
        <v>6.53</v>
      </c>
      <c r="G2017" s="9">
        <v>3139.3</v>
      </c>
      <c r="H2017" s="10">
        <v>0.46700000000000003</v>
      </c>
      <c r="I2017" s="11">
        <v>6.9</v>
      </c>
    </row>
    <row r="2018" spans="1:9" x14ac:dyDescent="0.35">
      <c r="A2018" s="2" t="s">
        <v>232</v>
      </c>
      <c r="B2018" s="3">
        <v>44562</v>
      </c>
      <c r="C2018" s="2">
        <v>24</v>
      </c>
      <c r="D2018" s="2">
        <v>38086</v>
      </c>
      <c r="E2018" s="17">
        <v>77097.11</v>
      </c>
      <c r="F2018" s="11">
        <v>6.3</v>
      </c>
      <c r="G2018" s="9">
        <v>6110</v>
      </c>
      <c r="H2018" s="10">
        <v>0.33300000000000002</v>
      </c>
      <c r="I2018" s="11">
        <v>7.9</v>
      </c>
    </row>
    <row r="2019" spans="1:9" x14ac:dyDescent="0.35">
      <c r="A2019" s="2" t="s">
        <v>232</v>
      </c>
      <c r="B2019" s="3">
        <v>44593</v>
      </c>
      <c r="C2019" s="2">
        <v>19</v>
      </c>
      <c r="D2019" s="2">
        <v>26004</v>
      </c>
      <c r="E2019" s="17">
        <v>58922.92</v>
      </c>
      <c r="F2019" s="11">
        <v>6.47</v>
      </c>
      <c r="G2019" s="9">
        <v>4086.3</v>
      </c>
      <c r="H2019" s="10">
        <v>0.316</v>
      </c>
      <c r="I2019" s="11">
        <v>6.3</v>
      </c>
    </row>
    <row r="2020" spans="1:9" x14ac:dyDescent="0.35">
      <c r="A2020" s="2" t="s">
        <v>232</v>
      </c>
      <c r="B2020" s="3">
        <v>44621</v>
      </c>
      <c r="C2020" s="2">
        <v>27</v>
      </c>
      <c r="D2020" s="2">
        <v>39740</v>
      </c>
      <c r="E2020" s="17">
        <v>82078.009999999995</v>
      </c>
      <c r="F2020" s="11">
        <v>6.36</v>
      </c>
      <c r="G2020" s="9">
        <v>6296.1</v>
      </c>
      <c r="H2020" s="10">
        <v>0.33300000000000002</v>
      </c>
      <c r="I2020" s="11">
        <v>7.3</v>
      </c>
    </row>
    <row r="2021" spans="1:9" x14ac:dyDescent="0.35">
      <c r="A2021" s="2" t="s">
        <v>232</v>
      </c>
      <c r="B2021" s="3">
        <v>44652</v>
      </c>
      <c r="C2021" s="2">
        <v>20</v>
      </c>
      <c r="D2021" s="2">
        <v>30747</v>
      </c>
      <c r="E2021" s="17">
        <v>64543.94</v>
      </c>
      <c r="F2021" s="11">
        <v>6.52</v>
      </c>
      <c r="G2021" s="9">
        <v>4673.8</v>
      </c>
      <c r="H2021" s="10">
        <v>0.35</v>
      </c>
      <c r="I2021" s="11">
        <v>7.4</v>
      </c>
    </row>
    <row r="2022" spans="1:9" x14ac:dyDescent="0.35">
      <c r="A2022" s="2" t="s">
        <v>232</v>
      </c>
      <c r="B2022" s="3">
        <v>44682</v>
      </c>
      <c r="C2022" s="2">
        <v>20</v>
      </c>
      <c r="D2022" s="2">
        <v>23566</v>
      </c>
      <c r="E2022" s="17">
        <v>49733.61</v>
      </c>
      <c r="F2022" s="11">
        <v>6.63</v>
      </c>
      <c r="G2022" s="9">
        <v>3652.6</v>
      </c>
      <c r="H2022" s="10">
        <v>0.4</v>
      </c>
      <c r="I2022" s="11">
        <v>6.3</v>
      </c>
    </row>
    <row r="2023" spans="1:9" x14ac:dyDescent="0.35">
      <c r="A2023" s="2" t="s">
        <v>232</v>
      </c>
      <c r="B2023" s="3">
        <v>44713</v>
      </c>
      <c r="C2023" s="2">
        <v>26</v>
      </c>
      <c r="D2023" s="2">
        <v>32788</v>
      </c>
      <c r="E2023" s="17">
        <v>65024.4</v>
      </c>
      <c r="F2023" s="11">
        <v>6.62</v>
      </c>
      <c r="G2023" s="9">
        <v>5064.7</v>
      </c>
      <c r="H2023" s="10">
        <v>0.46200000000000002</v>
      </c>
      <c r="I2023" s="11">
        <v>6.8</v>
      </c>
    </row>
    <row r="2024" spans="1:9" x14ac:dyDescent="0.35">
      <c r="A2024" s="2" t="s">
        <v>232</v>
      </c>
      <c r="B2024" s="3">
        <v>44743</v>
      </c>
      <c r="C2024" s="2">
        <v>14</v>
      </c>
      <c r="D2024" s="2">
        <v>20455</v>
      </c>
      <c r="E2024" s="17">
        <v>45374.59</v>
      </c>
      <c r="F2024" s="11">
        <v>6.45</v>
      </c>
      <c r="G2024" s="9">
        <v>3187.4</v>
      </c>
      <c r="H2024" s="10">
        <v>0.64300000000000002</v>
      </c>
      <c r="I2024" s="11">
        <v>7.9</v>
      </c>
    </row>
    <row r="2025" spans="1:9" x14ac:dyDescent="0.35">
      <c r="A2025" s="2" t="s">
        <v>232</v>
      </c>
      <c r="B2025" s="3">
        <v>44774</v>
      </c>
      <c r="C2025" s="2">
        <v>20</v>
      </c>
      <c r="D2025" s="2">
        <v>29085</v>
      </c>
      <c r="E2025" s="17">
        <v>61537.22</v>
      </c>
      <c r="F2025" s="11">
        <v>6.4</v>
      </c>
      <c r="G2025" s="9">
        <v>4576.3999999999996</v>
      </c>
      <c r="H2025" s="10">
        <v>0.25</v>
      </c>
      <c r="I2025" s="11">
        <v>7.5</v>
      </c>
    </row>
    <row r="2026" spans="1:9" x14ac:dyDescent="0.35">
      <c r="A2026" s="2" t="s">
        <v>232</v>
      </c>
      <c r="B2026" s="3">
        <v>44805</v>
      </c>
      <c r="C2026" s="2">
        <v>16</v>
      </c>
      <c r="D2026" s="2">
        <v>27202</v>
      </c>
      <c r="E2026" s="17">
        <v>54896.79</v>
      </c>
      <c r="F2026" s="11">
        <v>6.64</v>
      </c>
      <c r="G2026" s="9">
        <v>4213.2</v>
      </c>
      <c r="H2026" s="10">
        <v>0.312</v>
      </c>
      <c r="I2026" s="11">
        <v>6.7</v>
      </c>
    </row>
    <row r="2027" spans="1:9" x14ac:dyDescent="0.35">
      <c r="A2027" s="2" t="s">
        <v>232</v>
      </c>
      <c r="B2027" s="3">
        <v>44835</v>
      </c>
      <c r="C2027" s="2">
        <v>24</v>
      </c>
      <c r="D2027" s="2">
        <v>42889</v>
      </c>
      <c r="E2027" s="17">
        <v>86292.160000000003</v>
      </c>
      <c r="F2027" s="11">
        <v>6.27</v>
      </c>
      <c r="G2027" s="9">
        <v>6939.2</v>
      </c>
      <c r="H2027" s="10">
        <v>0.375</v>
      </c>
      <c r="I2027" s="11">
        <v>7.5</v>
      </c>
    </row>
    <row r="2028" spans="1:9" x14ac:dyDescent="0.35">
      <c r="A2028" s="2" t="s">
        <v>232</v>
      </c>
      <c r="B2028" s="3">
        <v>44866</v>
      </c>
      <c r="C2028" s="2">
        <v>17</v>
      </c>
      <c r="D2028" s="2">
        <v>27811</v>
      </c>
      <c r="E2028" s="17">
        <v>57824.44</v>
      </c>
      <c r="F2028" s="11">
        <v>6.61</v>
      </c>
      <c r="G2028" s="9">
        <v>4205.5</v>
      </c>
      <c r="H2028" s="10">
        <v>0.41199999999999998</v>
      </c>
      <c r="I2028" s="11">
        <v>7</v>
      </c>
    </row>
    <row r="2029" spans="1:9" x14ac:dyDescent="0.35">
      <c r="A2029" s="2" t="s">
        <v>232</v>
      </c>
      <c r="B2029" s="3">
        <v>44896</v>
      </c>
      <c r="C2029" s="2">
        <v>17</v>
      </c>
      <c r="D2029" s="2">
        <v>29486</v>
      </c>
      <c r="E2029" s="17">
        <v>63844.480000000003</v>
      </c>
      <c r="F2029" s="11">
        <v>6.42</v>
      </c>
      <c r="G2029" s="9">
        <v>4601.1000000000004</v>
      </c>
      <c r="H2029" s="10">
        <v>0.47099999999999997</v>
      </c>
      <c r="I2029" s="11">
        <v>7.9</v>
      </c>
    </row>
    <row r="2030" spans="1:9" x14ac:dyDescent="0.35">
      <c r="A2030" s="2" t="s">
        <v>232</v>
      </c>
      <c r="B2030" s="3">
        <v>44927</v>
      </c>
      <c r="C2030" s="2">
        <v>15</v>
      </c>
      <c r="D2030" s="2">
        <v>25331</v>
      </c>
      <c r="E2030" s="17">
        <v>51556.25</v>
      </c>
      <c r="F2030" s="11">
        <v>6.79</v>
      </c>
      <c r="G2030" s="9">
        <v>3730.9</v>
      </c>
      <c r="H2030" s="10">
        <v>0.46700000000000003</v>
      </c>
      <c r="I2030" s="11">
        <v>7.5</v>
      </c>
    </row>
    <row r="2031" spans="1:9" x14ac:dyDescent="0.35">
      <c r="A2031" s="2" t="s">
        <v>232</v>
      </c>
      <c r="B2031" s="3">
        <v>44958</v>
      </c>
      <c r="C2031" s="2">
        <v>16</v>
      </c>
      <c r="D2031" s="2">
        <v>18499</v>
      </c>
      <c r="E2031" s="17">
        <v>38282.639999999999</v>
      </c>
      <c r="F2031" s="11">
        <v>6.34</v>
      </c>
      <c r="G2031" s="9">
        <v>2962.9</v>
      </c>
      <c r="H2031" s="10">
        <v>0.5</v>
      </c>
      <c r="I2031" s="11">
        <v>8</v>
      </c>
    </row>
    <row r="2032" spans="1:9" x14ac:dyDescent="0.35">
      <c r="A2032" s="2" t="s">
        <v>232</v>
      </c>
      <c r="B2032" s="3">
        <v>44986</v>
      </c>
      <c r="C2032" s="2">
        <v>19</v>
      </c>
      <c r="D2032" s="2">
        <v>26582</v>
      </c>
      <c r="E2032" s="17">
        <v>53295.95</v>
      </c>
      <c r="F2032" s="11">
        <v>6.71</v>
      </c>
      <c r="G2032" s="9">
        <v>3996.5</v>
      </c>
      <c r="H2032" s="10">
        <v>0.36799999999999999</v>
      </c>
      <c r="I2032" s="11">
        <v>6</v>
      </c>
    </row>
    <row r="2033" spans="1:9" x14ac:dyDescent="0.35">
      <c r="A2033" s="2" t="s">
        <v>232</v>
      </c>
      <c r="B2033" s="3">
        <v>45017</v>
      </c>
      <c r="C2033" s="2">
        <v>27</v>
      </c>
      <c r="D2033" s="2">
        <v>34938</v>
      </c>
      <c r="E2033" s="17">
        <v>74471.649999999994</v>
      </c>
      <c r="F2033" s="11">
        <v>6.35</v>
      </c>
      <c r="G2033" s="9">
        <v>5578</v>
      </c>
      <c r="H2033" s="10">
        <v>0.48099999999999998</v>
      </c>
      <c r="I2033" s="11">
        <v>7.3</v>
      </c>
    </row>
    <row r="2034" spans="1:9" x14ac:dyDescent="0.35">
      <c r="A2034" s="2" t="s">
        <v>232</v>
      </c>
      <c r="B2034" s="3">
        <v>45047</v>
      </c>
      <c r="C2034" s="2">
        <v>24</v>
      </c>
      <c r="D2034" s="2">
        <v>39346</v>
      </c>
      <c r="E2034" s="17">
        <v>86218.43</v>
      </c>
      <c r="F2034" s="11">
        <v>6.58</v>
      </c>
      <c r="G2034" s="9">
        <v>6004.7</v>
      </c>
      <c r="H2034" s="10">
        <v>0.29199999999999998</v>
      </c>
      <c r="I2034" s="11">
        <v>8.3000000000000007</v>
      </c>
    </row>
    <row r="2035" spans="1:9" x14ac:dyDescent="0.35">
      <c r="A2035" s="2" t="s">
        <v>232</v>
      </c>
      <c r="B2035" s="3">
        <v>45078</v>
      </c>
      <c r="C2035" s="2">
        <v>12</v>
      </c>
      <c r="D2035" s="2">
        <v>16795</v>
      </c>
      <c r="E2035" s="17">
        <v>37962.449999999997</v>
      </c>
      <c r="F2035" s="11">
        <v>6.36</v>
      </c>
      <c r="G2035" s="9">
        <v>2717.4</v>
      </c>
      <c r="H2035" s="10">
        <v>0.41699999999999998</v>
      </c>
      <c r="I2035" s="11">
        <v>7.3</v>
      </c>
    </row>
    <row r="2036" spans="1:9" x14ac:dyDescent="0.35">
      <c r="A2036" s="2" t="s">
        <v>232</v>
      </c>
      <c r="B2036" s="3">
        <v>45108</v>
      </c>
      <c r="C2036" s="2">
        <v>19</v>
      </c>
      <c r="D2036" s="2">
        <v>28606</v>
      </c>
      <c r="E2036" s="17">
        <v>59464.79</v>
      </c>
      <c r="F2036" s="11">
        <v>6.46</v>
      </c>
      <c r="G2036" s="9">
        <v>4470.8</v>
      </c>
      <c r="H2036" s="10">
        <v>0.68400000000000005</v>
      </c>
      <c r="I2036" s="11">
        <v>7.4</v>
      </c>
    </row>
    <row r="2037" spans="1:9" x14ac:dyDescent="0.35">
      <c r="A2037" s="2" t="s">
        <v>232</v>
      </c>
      <c r="B2037" s="3">
        <v>45139</v>
      </c>
      <c r="C2037" s="2">
        <v>11</v>
      </c>
      <c r="D2037" s="2">
        <v>13597</v>
      </c>
      <c r="E2037" s="17">
        <v>29513.34</v>
      </c>
      <c r="F2037" s="11">
        <v>6.7</v>
      </c>
      <c r="G2037" s="9">
        <v>2003.5</v>
      </c>
      <c r="H2037" s="10">
        <v>0.27300000000000002</v>
      </c>
      <c r="I2037" s="11">
        <v>8.4</v>
      </c>
    </row>
    <row r="2038" spans="1:9" x14ac:dyDescent="0.35">
      <c r="A2038" s="2" t="s">
        <v>232</v>
      </c>
      <c r="B2038" s="3">
        <v>45170</v>
      </c>
      <c r="C2038" s="2">
        <v>19</v>
      </c>
      <c r="D2038" s="2">
        <v>21810</v>
      </c>
      <c r="E2038" s="17">
        <v>51228.94</v>
      </c>
      <c r="F2038" s="11">
        <v>6.44</v>
      </c>
      <c r="G2038" s="9">
        <v>3368.9</v>
      </c>
      <c r="H2038" s="10">
        <v>0.42099999999999999</v>
      </c>
      <c r="I2038" s="11">
        <v>7.1</v>
      </c>
    </row>
    <row r="2039" spans="1:9" x14ac:dyDescent="0.35">
      <c r="A2039" s="2" t="s">
        <v>232</v>
      </c>
      <c r="B2039" s="3">
        <v>45200</v>
      </c>
      <c r="C2039" s="2">
        <v>26</v>
      </c>
      <c r="D2039" s="2">
        <v>34530</v>
      </c>
      <c r="E2039" s="17">
        <v>79403.539999999994</v>
      </c>
      <c r="F2039" s="11">
        <v>6.55</v>
      </c>
      <c r="G2039" s="9">
        <v>5322.6</v>
      </c>
      <c r="H2039" s="10">
        <v>0.57699999999999996</v>
      </c>
      <c r="I2039" s="11">
        <v>6.7</v>
      </c>
    </row>
    <row r="2040" spans="1:9" x14ac:dyDescent="0.35">
      <c r="A2040" s="2" t="s">
        <v>232</v>
      </c>
      <c r="B2040" s="3">
        <v>45231</v>
      </c>
      <c r="C2040" s="2">
        <v>14</v>
      </c>
      <c r="D2040" s="2">
        <v>19969</v>
      </c>
      <c r="E2040" s="17">
        <v>41432.01</v>
      </c>
      <c r="F2040" s="11">
        <v>6.18</v>
      </c>
      <c r="G2040" s="9">
        <v>3220.5</v>
      </c>
      <c r="H2040" s="10">
        <v>0.42899999999999999</v>
      </c>
      <c r="I2040" s="11">
        <v>6.9</v>
      </c>
    </row>
    <row r="2041" spans="1:9" x14ac:dyDescent="0.35">
      <c r="A2041" s="2" t="s">
        <v>232</v>
      </c>
      <c r="B2041" s="3">
        <v>45261</v>
      </c>
      <c r="C2041" s="2">
        <v>25</v>
      </c>
      <c r="D2041" s="2">
        <v>28685</v>
      </c>
      <c r="E2041" s="17">
        <v>60701.89</v>
      </c>
      <c r="F2041" s="11">
        <v>6.72</v>
      </c>
      <c r="G2041" s="9">
        <v>4363</v>
      </c>
      <c r="H2041" s="10">
        <v>0.4</v>
      </c>
      <c r="I2041" s="11">
        <v>6.8</v>
      </c>
    </row>
    <row r="2042" spans="1:9" x14ac:dyDescent="0.35">
      <c r="A2042" s="2" t="s">
        <v>232</v>
      </c>
      <c r="B2042" s="3">
        <v>45292</v>
      </c>
      <c r="C2042" s="2">
        <v>19</v>
      </c>
      <c r="D2042" s="2">
        <v>28766</v>
      </c>
      <c r="E2042" s="17">
        <v>64554.66</v>
      </c>
      <c r="F2042" s="11">
        <v>6.42</v>
      </c>
      <c r="G2042" s="9">
        <v>4590.5</v>
      </c>
      <c r="H2042" s="10">
        <v>0.47399999999999998</v>
      </c>
      <c r="I2042" s="11">
        <v>6.6</v>
      </c>
    </row>
    <row r="2043" spans="1:9" x14ac:dyDescent="0.35">
      <c r="A2043" s="2" t="s">
        <v>232</v>
      </c>
      <c r="B2043" s="3">
        <v>45323</v>
      </c>
      <c r="C2043" s="2">
        <v>14</v>
      </c>
      <c r="D2043" s="2">
        <v>24670</v>
      </c>
      <c r="E2043" s="17">
        <v>59131.93</v>
      </c>
      <c r="F2043" s="11">
        <v>6.47</v>
      </c>
      <c r="G2043" s="9">
        <v>3901.8</v>
      </c>
      <c r="H2043" s="10">
        <v>0.28599999999999998</v>
      </c>
      <c r="I2043" s="11">
        <v>8.5</v>
      </c>
    </row>
    <row r="2044" spans="1:9" x14ac:dyDescent="0.35">
      <c r="A2044" s="2" t="s">
        <v>232</v>
      </c>
      <c r="B2044" s="3">
        <v>45352</v>
      </c>
      <c r="C2044" s="2">
        <v>18</v>
      </c>
      <c r="D2044" s="2">
        <v>29272</v>
      </c>
      <c r="E2044" s="17">
        <v>60808.06</v>
      </c>
      <c r="F2044" s="11">
        <v>6.56</v>
      </c>
      <c r="G2044" s="9">
        <v>4537.7</v>
      </c>
      <c r="H2044" s="10">
        <v>0.5</v>
      </c>
      <c r="I2044" s="11">
        <v>6.4</v>
      </c>
    </row>
    <row r="2045" spans="1:9" x14ac:dyDescent="0.35">
      <c r="A2045" s="2" t="s">
        <v>232</v>
      </c>
      <c r="B2045" s="3">
        <v>45383</v>
      </c>
      <c r="C2045" s="2">
        <v>16</v>
      </c>
      <c r="D2045" s="2">
        <v>28656</v>
      </c>
      <c r="E2045" s="17">
        <v>61529.08</v>
      </c>
      <c r="F2045" s="11">
        <v>6.41</v>
      </c>
      <c r="G2045" s="9">
        <v>4530.8</v>
      </c>
      <c r="H2045" s="10">
        <v>0.375</v>
      </c>
      <c r="I2045" s="11">
        <v>7.2</v>
      </c>
    </row>
    <row r="2046" spans="1:9" x14ac:dyDescent="0.35">
      <c r="A2046" s="2" t="s">
        <v>232</v>
      </c>
      <c r="B2046" s="3">
        <v>45413</v>
      </c>
      <c r="C2046" s="2">
        <v>21</v>
      </c>
      <c r="D2046" s="2">
        <v>37882</v>
      </c>
      <c r="E2046" s="17">
        <v>77466.91</v>
      </c>
      <c r="F2046" s="11">
        <v>6.41</v>
      </c>
      <c r="G2046" s="9">
        <v>5918</v>
      </c>
      <c r="H2046" s="10">
        <v>0.33300000000000002</v>
      </c>
      <c r="I2046" s="11">
        <v>7.1</v>
      </c>
    </row>
    <row r="2047" spans="1:9" x14ac:dyDescent="0.35">
      <c r="A2047" s="2" t="s">
        <v>232</v>
      </c>
      <c r="B2047" s="3">
        <v>45444</v>
      </c>
      <c r="C2047" s="2">
        <v>21</v>
      </c>
      <c r="D2047" s="2">
        <v>23965</v>
      </c>
      <c r="E2047" s="17">
        <v>56590.22</v>
      </c>
      <c r="F2047" s="11">
        <v>6.57</v>
      </c>
      <c r="G2047" s="9">
        <v>3613</v>
      </c>
      <c r="H2047" s="10">
        <v>0.38100000000000001</v>
      </c>
      <c r="I2047" s="11">
        <v>6.1</v>
      </c>
    </row>
    <row r="2048" spans="1:9" x14ac:dyDescent="0.35">
      <c r="A2048" s="2" t="s">
        <v>232</v>
      </c>
      <c r="B2048" s="3">
        <v>45474</v>
      </c>
      <c r="C2048" s="2">
        <v>19</v>
      </c>
      <c r="D2048" s="2">
        <v>27750</v>
      </c>
      <c r="E2048" s="17">
        <v>58399.32</v>
      </c>
      <c r="F2048" s="11">
        <v>6.53</v>
      </c>
      <c r="G2048" s="9">
        <v>4274.2</v>
      </c>
      <c r="H2048" s="10">
        <v>0.36799999999999999</v>
      </c>
      <c r="I2048" s="11">
        <v>6.4</v>
      </c>
    </row>
    <row r="2049" spans="1:9" x14ac:dyDescent="0.35">
      <c r="A2049" s="2" t="s">
        <v>232</v>
      </c>
      <c r="B2049" s="3">
        <v>45505</v>
      </c>
      <c r="C2049" s="2">
        <v>19</v>
      </c>
      <c r="D2049" s="2">
        <v>26197</v>
      </c>
      <c r="E2049" s="17">
        <v>57054.42</v>
      </c>
      <c r="F2049" s="11">
        <v>6.54</v>
      </c>
      <c r="G2049" s="9">
        <v>4085.3</v>
      </c>
      <c r="H2049" s="10">
        <v>0.47399999999999998</v>
      </c>
      <c r="I2049" s="11">
        <v>7.3</v>
      </c>
    </row>
    <row r="2050" spans="1:9" x14ac:dyDescent="0.35">
      <c r="A2050" s="2" t="s">
        <v>232</v>
      </c>
      <c r="B2050" s="3">
        <v>45536</v>
      </c>
      <c r="C2050" s="2">
        <v>17</v>
      </c>
      <c r="D2050" s="2">
        <v>22501</v>
      </c>
      <c r="E2050" s="17">
        <v>47201.79</v>
      </c>
      <c r="F2050" s="11">
        <v>6.61</v>
      </c>
      <c r="G2050" s="9">
        <v>3408.5</v>
      </c>
      <c r="H2050" s="10">
        <v>0.41199999999999998</v>
      </c>
      <c r="I2050" s="11">
        <v>7.3</v>
      </c>
    </row>
    <row r="2051" spans="1:9" x14ac:dyDescent="0.35">
      <c r="A2051" s="2" t="s">
        <v>232</v>
      </c>
      <c r="B2051" s="3">
        <v>45566</v>
      </c>
      <c r="C2051" s="2">
        <v>24</v>
      </c>
      <c r="D2051" s="2">
        <v>36660</v>
      </c>
      <c r="E2051" s="17">
        <v>79970.84</v>
      </c>
      <c r="F2051" s="11">
        <v>6.52</v>
      </c>
      <c r="G2051" s="9">
        <v>5678.7</v>
      </c>
      <c r="H2051" s="10">
        <v>0.5</v>
      </c>
      <c r="I2051" s="11">
        <v>6.6</v>
      </c>
    </row>
    <row r="2052" spans="1:9" x14ac:dyDescent="0.35">
      <c r="A2052" s="2" t="s">
        <v>232</v>
      </c>
      <c r="B2052" s="3">
        <v>45597</v>
      </c>
      <c r="C2052" s="2">
        <v>22</v>
      </c>
      <c r="D2052" s="2">
        <v>34119</v>
      </c>
      <c r="E2052" s="17">
        <v>76668.27</v>
      </c>
      <c r="F2052" s="11">
        <v>6.67</v>
      </c>
      <c r="G2052" s="9">
        <v>5095.8</v>
      </c>
      <c r="H2052" s="10">
        <v>0.59099999999999997</v>
      </c>
      <c r="I2052" s="11">
        <v>7.7</v>
      </c>
    </row>
    <row r="2053" spans="1:9" x14ac:dyDescent="0.35">
      <c r="A2053" s="2" t="s">
        <v>232</v>
      </c>
      <c r="B2053" s="3">
        <v>45627</v>
      </c>
      <c r="C2053" s="2">
        <v>18</v>
      </c>
      <c r="D2053" s="2">
        <v>23106</v>
      </c>
      <c r="E2053" s="17">
        <v>54886.85</v>
      </c>
      <c r="F2053" s="11">
        <v>6.57</v>
      </c>
      <c r="G2053" s="9">
        <v>3502.8</v>
      </c>
      <c r="H2053" s="10">
        <v>0.66700000000000004</v>
      </c>
      <c r="I2053" s="11">
        <v>7.3</v>
      </c>
    </row>
    <row r="2054" spans="1:9" x14ac:dyDescent="0.35">
      <c r="A2054" s="2" t="s">
        <v>234</v>
      </c>
      <c r="B2054" s="3">
        <v>44562</v>
      </c>
      <c r="C2054" s="2">
        <v>17</v>
      </c>
      <c r="D2054" s="2">
        <v>25018</v>
      </c>
      <c r="E2054" s="17">
        <v>52793.72</v>
      </c>
      <c r="F2054" s="11">
        <v>6.5</v>
      </c>
      <c r="G2054" s="9">
        <v>3958.9</v>
      </c>
      <c r="H2054" s="10">
        <v>0.29399999999999998</v>
      </c>
      <c r="I2054" s="11">
        <v>6.8</v>
      </c>
    </row>
    <row r="2055" spans="1:9" x14ac:dyDescent="0.35">
      <c r="A2055" s="2" t="s">
        <v>234</v>
      </c>
      <c r="B2055" s="3">
        <v>44593</v>
      </c>
      <c r="C2055" s="2">
        <v>16</v>
      </c>
      <c r="D2055" s="2">
        <v>16187</v>
      </c>
      <c r="E2055" s="17">
        <v>34541.589999999997</v>
      </c>
      <c r="F2055" s="11">
        <v>6.54</v>
      </c>
      <c r="G2055" s="9">
        <v>2510.8000000000002</v>
      </c>
      <c r="H2055" s="10">
        <v>0.438</v>
      </c>
      <c r="I2055" s="11">
        <v>7.8</v>
      </c>
    </row>
    <row r="2056" spans="1:9" x14ac:dyDescent="0.35">
      <c r="A2056" s="2" t="s">
        <v>234</v>
      </c>
      <c r="B2056" s="3">
        <v>44621</v>
      </c>
      <c r="C2056" s="2">
        <v>20</v>
      </c>
      <c r="D2056" s="2">
        <v>27495</v>
      </c>
      <c r="E2056" s="17">
        <v>55382.07</v>
      </c>
      <c r="F2056" s="11">
        <v>6.46</v>
      </c>
      <c r="G2056" s="9">
        <v>4284.7</v>
      </c>
      <c r="H2056" s="10">
        <v>0.6</v>
      </c>
      <c r="I2056" s="11">
        <v>6.8</v>
      </c>
    </row>
    <row r="2057" spans="1:9" x14ac:dyDescent="0.35">
      <c r="A2057" s="2" t="s">
        <v>234</v>
      </c>
      <c r="B2057" s="3">
        <v>44652</v>
      </c>
      <c r="C2057" s="2">
        <v>21</v>
      </c>
      <c r="D2057" s="2">
        <v>37402</v>
      </c>
      <c r="E2057" s="17">
        <v>78351.86</v>
      </c>
      <c r="F2057" s="11">
        <v>6.32</v>
      </c>
      <c r="G2057" s="9">
        <v>5993.2</v>
      </c>
      <c r="H2057" s="10">
        <v>0.42899999999999999</v>
      </c>
      <c r="I2057" s="11">
        <v>6.1</v>
      </c>
    </row>
    <row r="2058" spans="1:9" x14ac:dyDescent="0.35">
      <c r="A2058" s="2" t="s">
        <v>234</v>
      </c>
      <c r="B2058" s="3">
        <v>44682</v>
      </c>
      <c r="C2058" s="2">
        <v>32</v>
      </c>
      <c r="D2058" s="2">
        <v>43218</v>
      </c>
      <c r="E2058" s="17">
        <v>94420.4</v>
      </c>
      <c r="F2058" s="11">
        <v>6.37</v>
      </c>
      <c r="G2058" s="9">
        <v>6768.8</v>
      </c>
      <c r="H2058" s="10">
        <v>0.53100000000000003</v>
      </c>
      <c r="I2058" s="11">
        <v>7.7</v>
      </c>
    </row>
    <row r="2059" spans="1:9" x14ac:dyDescent="0.35">
      <c r="A2059" s="2" t="s">
        <v>234</v>
      </c>
      <c r="B2059" s="3">
        <v>44713</v>
      </c>
      <c r="C2059" s="2">
        <v>19</v>
      </c>
      <c r="D2059" s="2">
        <v>26399</v>
      </c>
      <c r="E2059" s="17">
        <v>55378.03</v>
      </c>
      <c r="F2059" s="11">
        <v>6.7</v>
      </c>
      <c r="G2059" s="9">
        <v>3972.5</v>
      </c>
      <c r="H2059" s="10">
        <v>0.316</v>
      </c>
      <c r="I2059" s="11">
        <v>7</v>
      </c>
    </row>
    <row r="2060" spans="1:9" x14ac:dyDescent="0.35">
      <c r="A2060" s="2" t="s">
        <v>234</v>
      </c>
      <c r="B2060" s="3">
        <v>44743</v>
      </c>
      <c r="C2060" s="2">
        <v>22</v>
      </c>
      <c r="D2060" s="2">
        <v>32082</v>
      </c>
      <c r="E2060" s="17">
        <v>69486.31</v>
      </c>
      <c r="F2060" s="11">
        <v>6.37</v>
      </c>
      <c r="G2060" s="9">
        <v>5087.1000000000004</v>
      </c>
      <c r="H2060" s="10">
        <v>0.36399999999999999</v>
      </c>
      <c r="I2060" s="11">
        <v>6.7</v>
      </c>
    </row>
    <row r="2061" spans="1:9" x14ac:dyDescent="0.35">
      <c r="A2061" s="2" t="s">
        <v>234</v>
      </c>
      <c r="B2061" s="3">
        <v>44774</v>
      </c>
      <c r="C2061" s="2">
        <v>21</v>
      </c>
      <c r="D2061" s="2">
        <v>33048</v>
      </c>
      <c r="E2061" s="17">
        <v>72172.92</v>
      </c>
      <c r="F2061" s="11">
        <v>6.64</v>
      </c>
      <c r="G2061" s="9">
        <v>5054.7</v>
      </c>
      <c r="H2061" s="10">
        <v>0.47599999999999998</v>
      </c>
      <c r="I2061" s="11">
        <v>7.3</v>
      </c>
    </row>
    <row r="2062" spans="1:9" x14ac:dyDescent="0.35">
      <c r="A2062" s="2" t="s">
        <v>234</v>
      </c>
      <c r="B2062" s="3">
        <v>44805</v>
      </c>
      <c r="C2062" s="2">
        <v>21</v>
      </c>
      <c r="D2062" s="2">
        <v>23758</v>
      </c>
      <c r="E2062" s="17">
        <v>53557.72</v>
      </c>
      <c r="F2062" s="11">
        <v>6.66</v>
      </c>
      <c r="G2062" s="9">
        <v>3567.9</v>
      </c>
      <c r="H2062" s="10">
        <v>0.23799999999999999</v>
      </c>
      <c r="I2062" s="11">
        <v>7.1</v>
      </c>
    </row>
    <row r="2063" spans="1:9" x14ac:dyDescent="0.35">
      <c r="A2063" s="2" t="s">
        <v>234</v>
      </c>
      <c r="B2063" s="3">
        <v>44835</v>
      </c>
      <c r="C2063" s="2">
        <v>21</v>
      </c>
      <c r="D2063" s="2">
        <v>27218</v>
      </c>
      <c r="E2063" s="17">
        <v>53982.52</v>
      </c>
      <c r="F2063" s="11">
        <v>6.37</v>
      </c>
      <c r="G2063" s="9">
        <v>4369.8</v>
      </c>
      <c r="H2063" s="10">
        <v>0.38100000000000001</v>
      </c>
      <c r="I2063" s="11">
        <v>6.2</v>
      </c>
    </row>
    <row r="2064" spans="1:9" x14ac:dyDescent="0.35">
      <c r="A2064" s="2" t="s">
        <v>234</v>
      </c>
      <c r="B2064" s="3">
        <v>44866</v>
      </c>
      <c r="C2064" s="2">
        <v>16</v>
      </c>
      <c r="D2064" s="2">
        <v>22267</v>
      </c>
      <c r="E2064" s="17">
        <v>48898.9</v>
      </c>
      <c r="F2064" s="11">
        <v>6.71</v>
      </c>
      <c r="G2064" s="9">
        <v>3352.1</v>
      </c>
      <c r="H2064" s="10">
        <v>0.56200000000000006</v>
      </c>
      <c r="I2064" s="11">
        <v>7.3</v>
      </c>
    </row>
    <row r="2065" spans="1:9" x14ac:dyDescent="0.35">
      <c r="A2065" s="2" t="s">
        <v>234</v>
      </c>
      <c r="B2065" s="3">
        <v>44896</v>
      </c>
      <c r="C2065" s="2">
        <v>15</v>
      </c>
      <c r="D2065" s="2">
        <v>22234</v>
      </c>
      <c r="E2065" s="17">
        <v>50172.03</v>
      </c>
      <c r="F2065" s="11">
        <v>6.5</v>
      </c>
      <c r="G2065" s="9">
        <v>3388.3</v>
      </c>
      <c r="H2065" s="10">
        <v>0.33300000000000002</v>
      </c>
      <c r="I2065" s="11">
        <v>7.4</v>
      </c>
    </row>
    <row r="2066" spans="1:9" x14ac:dyDescent="0.35">
      <c r="A2066" s="2" t="s">
        <v>234</v>
      </c>
      <c r="B2066" s="3">
        <v>44927</v>
      </c>
      <c r="C2066" s="2">
        <v>24</v>
      </c>
      <c r="D2066" s="2">
        <v>33439</v>
      </c>
      <c r="E2066" s="17">
        <v>75137.78</v>
      </c>
      <c r="F2066" s="11">
        <v>6.55</v>
      </c>
      <c r="G2066" s="9">
        <v>5215.5</v>
      </c>
      <c r="H2066" s="10">
        <v>0.45800000000000002</v>
      </c>
      <c r="I2066" s="11">
        <v>8.1999999999999993</v>
      </c>
    </row>
    <row r="2067" spans="1:9" x14ac:dyDescent="0.35">
      <c r="A2067" s="2" t="s">
        <v>234</v>
      </c>
      <c r="B2067" s="3">
        <v>44958</v>
      </c>
      <c r="C2067" s="2">
        <v>11</v>
      </c>
      <c r="D2067" s="2">
        <v>14127</v>
      </c>
      <c r="E2067" s="17">
        <v>29781.9</v>
      </c>
      <c r="F2067" s="11">
        <v>6.25</v>
      </c>
      <c r="G2067" s="9">
        <v>2306.6</v>
      </c>
      <c r="H2067" s="10">
        <v>0.54500000000000004</v>
      </c>
      <c r="I2067" s="11">
        <v>8.9</v>
      </c>
    </row>
    <row r="2068" spans="1:9" x14ac:dyDescent="0.35">
      <c r="A2068" s="2" t="s">
        <v>234</v>
      </c>
      <c r="B2068" s="3">
        <v>44986</v>
      </c>
      <c r="C2068" s="2">
        <v>16</v>
      </c>
      <c r="D2068" s="2">
        <v>18486</v>
      </c>
      <c r="E2068" s="17">
        <v>38999.339999999997</v>
      </c>
      <c r="F2068" s="11">
        <v>6.01</v>
      </c>
      <c r="G2068" s="9">
        <v>3079.3</v>
      </c>
      <c r="H2068" s="10">
        <v>0.375</v>
      </c>
      <c r="I2068" s="11">
        <v>6.8</v>
      </c>
    </row>
    <row r="2069" spans="1:9" x14ac:dyDescent="0.35">
      <c r="A2069" s="2" t="s">
        <v>234</v>
      </c>
      <c r="B2069" s="3">
        <v>45017</v>
      </c>
      <c r="C2069" s="2">
        <v>16</v>
      </c>
      <c r="D2069" s="2">
        <v>22836</v>
      </c>
      <c r="E2069" s="17">
        <v>50021.34</v>
      </c>
      <c r="F2069" s="11">
        <v>6.32</v>
      </c>
      <c r="G2069" s="9">
        <v>3732.5</v>
      </c>
      <c r="H2069" s="10">
        <v>0.5</v>
      </c>
      <c r="I2069" s="11">
        <v>7.2</v>
      </c>
    </row>
    <row r="2070" spans="1:9" x14ac:dyDescent="0.35">
      <c r="A2070" s="2" t="s">
        <v>234</v>
      </c>
      <c r="B2070" s="3">
        <v>45047</v>
      </c>
      <c r="C2070" s="2">
        <v>16</v>
      </c>
      <c r="D2070" s="2">
        <v>21906</v>
      </c>
      <c r="E2070" s="17">
        <v>46902.61</v>
      </c>
      <c r="F2070" s="11">
        <v>6.54</v>
      </c>
      <c r="G2070" s="9">
        <v>3409.5</v>
      </c>
      <c r="H2070" s="10">
        <v>0.375</v>
      </c>
      <c r="I2070" s="11">
        <v>7.4</v>
      </c>
    </row>
    <row r="2071" spans="1:9" x14ac:dyDescent="0.35">
      <c r="A2071" s="2" t="s">
        <v>234</v>
      </c>
      <c r="B2071" s="3">
        <v>45078</v>
      </c>
      <c r="C2071" s="2">
        <v>19</v>
      </c>
      <c r="D2071" s="2">
        <v>24253</v>
      </c>
      <c r="E2071" s="17">
        <v>53387.93</v>
      </c>
      <c r="F2071" s="11">
        <v>6.54</v>
      </c>
      <c r="G2071" s="9">
        <v>3690.7</v>
      </c>
      <c r="H2071" s="10">
        <v>0.36799999999999999</v>
      </c>
      <c r="I2071" s="11">
        <v>6.6</v>
      </c>
    </row>
    <row r="2072" spans="1:9" x14ac:dyDescent="0.35">
      <c r="A2072" s="2" t="s">
        <v>234</v>
      </c>
      <c r="B2072" s="3">
        <v>45108</v>
      </c>
      <c r="C2072" s="2">
        <v>23</v>
      </c>
      <c r="D2072" s="2">
        <v>32080</v>
      </c>
      <c r="E2072" s="17">
        <v>71312.289999999994</v>
      </c>
      <c r="F2072" s="11">
        <v>6.6</v>
      </c>
      <c r="G2072" s="9">
        <v>4968.8</v>
      </c>
      <c r="H2072" s="10">
        <v>0.435</v>
      </c>
      <c r="I2072" s="11">
        <v>7.2</v>
      </c>
    </row>
    <row r="2073" spans="1:9" x14ac:dyDescent="0.35">
      <c r="A2073" s="2" t="s">
        <v>234</v>
      </c>
      <c r="B2073" s="3">
        <v>45139</v>
      </c>
      <c r="C2073" s="2">
        <v>16</v>
      </c>
      <c r="D2073" s="2">
        <v>23714</v>
      </c>
      <c r="E2073" s="17">
        <v>48893.49</v>
      </c>
      <c r="F2073" s="11">
        <v>6.64</v>
      </c>
      <c r="G2073" s="9">
        <v>3710.6</v>
      </c>
      <c r="H2073" s="10">
        <v>0.56200000000000006</v>
      </c>
      <c r="I2073" s="11">
        <v>7.8</v>
      </c>
    </row>
    <row r="2074" spans="1:9" x14ac:dyDescent="0.35">
      <c r="A2074" s="2" t="s">
        <v>234</v>
      </c>
      <c r="B2074" s="3">
        <v>45170</v>
      </c>
      <c r="C2074" s="2">
        <v>18</v>
      </c>
      <c r="D2074" s="2">
        <v>24929</v>
      </c>
      <c r="E2074" s="17">
        <v>52148.95</v>
      </c>
      <c r="F2074" s="11">
        <v>6.49</v>
      </c>
      <c r="G2074" s="9">
        <v>4007.4</v>
      </c>
      <c r="H2074" s="10">
        <v>0.44400000000000001</v>
      </c>
      <c r="I2074" s="11">
        <v>7.2</v>
      </c>
    </row>
    <row r="2075" spans="1:9" x14ac:dyDescent="0.35">
      <c r="A2075" s="2" t="s">
        <v>234</v>
      </c>
      <c r="B2075" s="3">
        <v>45200</v>
      </c>
      <c r="C2075" s="2">
        <v>25</v>
      </c>
      <c r="D2075" s="2">
        <v>28010</v>
      </c>
      <c r="E2075" s="17">
        <v>58870.84</v>
      </c>
      <c r="F2075" s="11">
        <v>6.46</v>
      </c>
      <c r="G2075" s="9">
        <v>4349.6000000000004</v>
      </c>
      <c r="H2075" s="10">
        <v>0.52</v>
      </c>
      <c r="I2075" s="11">
        <v>7.3</v>
      </c>
    </row>
    <row r="2076" spans="1:9" x14ac:dyDescent="0.35">
      <c r="A2076" s="2" t="s">
        <v>234</v>
      </c>
      <c r="B2076" s="3">
        <v>45231</v>
      </c>
      <c r="C2076" s="2">
        <v>21</v>
      </c>
      <c r="D2076" s="2">
        <v>26932</v>
      </c>
      <c r="E2076" s="17">
        <v>56799.47</v>
      </c>
      <c r="F2076" s="11">
        <v>6.44</v>
      </c>
      <c r="G2076" s="9">
        <v>4138.2</v>
      </c>
      <c r="H2076" s="10">
        <v>0.28599999999999998</v>
      </c>
      <c r="I2076" s="11">
        <v>6.8</v>
      </c>
    </row>
    <row r="2077" spans="1:9" x14ac:dyDescent="0.35">
      <c r="A2077" s="2" t="s">
        <v>234</v>
      </c>
      <c r="B2077" s="3">
        <v>45261</v>
      </c>
      <c r="C2077" s="2">
        <v>21</v>
      </c>
      <c r="D2077" s="2">
        <v>34131</v>
      </c>
      <c r="E2077" s="17">
        <v>77129.61</v>
      </c>
      <c r="F2077" s="11">
        <v>6.52</v>
      </c>
      <c r="G2077" s="9">
        <v>5282.5</v>
      </c>
      <c r="H2077" s="10">
        <v>0.42899999999999999</v>
      </c>
      <c r="I2077" s="11">
        <v>6.9</v>
      </c>
    </row>
    <row r="2078" spans="1:9" x14ac:dyDescent="0.35">
      <c r="A2078" s="2" t="s">
        <v>234</v>
      </c>
      <c r="B2078" s="3">
        <v>45292</v>
      </c>
      <c r="C2078" s="2">
        <v>18</v>
      </c>
      <c r="D2078" s="2">
        <v>29509</v>
      </c>
      <c r="E2078" s="17">
        <v>60961.48</v>
      </c>
      <c r="F2078" s="11">
        <v>6.46</v>
      </c>
      <c r="G2078" s="9">
        <v>4588.8999999999996</v>
      </c>
      <c r="H2078" s="10">
        <v>0.38900000000000001</v>
      </c>
      <c r="I2078" s="11">
        <v>8.5</v>
      </c>
    </row>
    <row r="2079" spans="1:9" x14ac:dyDescent="0.35">
      <c r="A2079" s="2" t="s">
        <v>234</v>
      </c>
      <c r="B2079" s="3">
        <v>45323</v>
      </c>
      <c r="C2079" s="2">
        <v>13</v>
      </c>
      <c r="D2079" s="2">
        <v>20261</v>
      </c>
      <c r="E2079" s="17">
        <v>40156.230000000003</v>
      </c>
      <c r="F2079" s="11">
        <v>6.47</v>
      </c>
      <c r="G2079" s="9">
        <v>3146.2</v>
      </c>
      <c r="H2079" s="10">
        <v>0.38500000000000001</v>
      </c>
      <c r="I2079" s="11">
        <v>7.4</v>
      </c>
    </row>
    <row r="2080" spans="1:9" x14ac:dyDescent="0.35">
      <c r="A2080" s="2" t="s">
        <v>234</v>
      </c>
      <c r="B2080" s="3">
        <v>45352</v>
      </c>
      <c r="C2080" s="2">
        <v>21</v>
      </c>
      <c r="D2080" s="2">
        <v>32610</v>
      </c>
      <c r="E2080" s="17">
        <v>68097.86</v>
      </c>
      <c r="F2080" s="11">
        <v>6.66</v>
      </c>
      <c r="G2080" s="9">
        <v>4918.7</v>
      </c>
      <c r="H2080" s="10">
        <v>0.38100000000000001</v>
      </c>
      <c r="I2080" s="11">
        <v>6.8</v>
      </c>
    </row>
    <row r="2081" spans="1:9" x14ac:dyDescent="0.35">
      <c r="A2081" s="2" t="s">
        <v>234</v>
      </c>
      <c r="B2081" s="3">
        <v>45383</v>
      </c>
      <c r="C2081" s="2">
        <v>19</v>
      </c>
      <c r="D2081" s="2">
        <v>26385</v>
      </c>
      <c r="E2081" s="17">
        <v>53857.599999999999</v>
      </c>
      <c r="F2081" s="11">
        <v>6.38</v>
      </c>
      <c r="G2081" s="9">
        <v>4215.8999999999996</v>
      </c>
      <c r="H2081" s="10">
        <v>0.52600000000000002</v>
      </c>
      <c r="I2081" s="11">
        <v>7.2</v>
      </c>
    </row>
    <row r="2082" spans="1:9" x14ac:dyDescent="0.35">
      <c r="A2082" s="2" t="s">
        <v>234</v>
      </c>
      <c r="B2082" s="3">
        <v>45413</v>
      </c>
      <c r="C2082" s="2">
        <v>26</v>
      </c>
      <c r="D2082" s="2">
        <v>33357</v>
      </c>
      <c r="E2082" s="17">
        <v>74731.759999999995</v>
      </c>
      <c r="F2082" s="11">
        <v>6.47</v>
      </c>
      <c r="G2082" s="9">
        <v>5161.3999999999996</v>
      </c>
      <c r="H2082" s="10">
        <v>0.38500000000000001</v>
      </c>
      <c r="I2082" s="11">
        <v>6.5</v>
      </c>
    </row>
    <row r="2083" spans="1:9" x14ac:dyDescent="0.35">
      <c r="A2083" s="2" t="s">
        <v>234</v>
      </c>
      <c r="B2083" s="3">
        <v>45444</v>
      </c>
      <c r="C2083" s="2">
        <v>21</v>
      </c>
      <c r="D2083" s="2">
        <v>32035</v>
      </c>
      <c r="E2083" s="17">
        <v>66873.88</v>
      </c>
      <c r="F2083" s="11">
        <v>6.35</v>
      </c>
      <c r="G2083" s="9">
        <v>5152.3</v>
      </c>
      <c r="H2083" s="10">
        <v>0.52400000000000002</v>
      </c>
      <c r="I2083" s="11">
        <v>6.6</v>
      </c>
    </row>
    <row r="2084" spans="1:9" x14ac:dyDescent="0.35">
      <c r="A2084" s="2" t="s">
        <v>234</v>
      </c>
      <c r="B2084" s="3">
        <v>45474</v>
      </c>
      <c r="C2084" s="2">
        <v>17</v>
      </c>
      <c r="D2084" s="2">
        <v>27522</v>
      </c>
      <c r="E2084" s="17">
        <v>62162.9</v>
      </c>
      <c r="F2084" s="11">
        <v>6.63</v>
      </c>
      <c r="G2084" s="9">
        <v>4111.8</v>
      </c>
      <c r="H2084" s="10">
        <v>0.58799999999999997</v>
      </c>
      <c r="I2084" s="11">
        <v>6.9</v>
      </c>
    </row>
    <row r="2085" spans="1:9" x14ac:dyDescent="0.35">
      <c r="A2085" s="2" t="s">
        <v>234</v>
      </c>
      <c r="B2085" s="3">
        <v>45505</v>
      </c>
      <c r="C2085" s="2">
        <v>14</v>
      </c>
      <c r="D2085" s="2">
        <v>25760</v>
      </c>
      <c r="E2085" s="17">
        <v>54153.59</v>
      </c>
      <c r="F2085" s="11">
        <v>6.49</v>
      </c>
      <c r="G2085" s="9">
        <v>4029.4</v>
      </c>
      <c r="H2085" s="10">
        <v>0.5</v>
      </c>
      <c r="I2085" s="11">
        <v>5.3</v>
      </c>
    </row>
    <row r="2086" spans="1:9" x14ac:dyDescent="0.35">
      <c r="A2086" s="2" t="s">
        <v>234</v>
      </c>
      <c r="B2086" s="3">
        <v>45536</v>
      </c>
      <c r="C2086" s="2">
        <v>19</v>
      </c>
      <c r="D2086" s="2">
        <v>29424</v>
      </c>
      <c r="E2086" s="17">
        <v>63786.06</v>
      </c>
      <c r="F2086" s="11">
        <v>6.51</v>
      </c>
      <c r="G2086" s="9">
        <v>4596.7</v>
      </c>
      <c r="H2086" s="10">
        <v>0.316</v>
      </c>
      <c r="I2086" s="11">
        <v>7.3</v>
      </c>
    </row>
    <row r="2087" spans="1:9" x14ac:dyDescent="0.35">
      <c r="A2087" s="2" t="s">
        <v>234</v>
      </c>
      <c r="B2087" s="3">
        <v>45566</v>
      </c>
      <c r="C2087" s="2">
        <v>14</v>
      </c>
      <c r="D2087" s="2">
        <v>19220</v>
      </c>
      <c r="E2087" s="17">
        <v>42517.95</v>
      </c>
      <c r="F2087" s="11">
        <v>6.52</v>
      </c>
      <c r="G2087" s="9">
        <v>2993.1</v>
      </c>
      <c r="H2087" s="10">
        <v>0.57099999999999995</v>
      </c>
      <c r="I2087" s="11">
        <v>6.2</v>
      </c>
    </row>
    <row r="2088" spans="1:9" x14ac:dyDescent="0.35">
      <c r="A2088" s="2" t="s">
        <v>234</v>
      </c>
      <c r="B2088" s="3">
        <v>45597</v>
      </c>
      <c r="C2088" s="2">
        <v>13</v>
      </c>
      <c r="D2088" s="2">
        <v>24389</v>
      </c>
      <c r="E2088" s="17">
        <v>47951.61</v>
      </c>
      <c r="F2088" s="11">
        <v>6.35</v>
      </c>
      <c r="G2088" s="9">
        <v>3828.1</v>
      </c>
      <c r="H2088" s="10">
        <v>0.53800000000000003</v>
      </c>
      <c r="I2088" s="11">
        <v>7.3</v>
      </c>
    </row>
    <row r="2089" spans="1:9" x14ac:dyDescent="0.35">
      <c r="A2089" s="2" t="s">
        <v>234</v>
      </c>
      <c r="B2089" s="3">
        <v>45627</v>
      </c>
      <c r="C2089" s="2">
        <v>22</v>
      </c>
      <c r="D2089" s="2">
        <v>31774</v>
      </c>
      <c r="E2089" s="17">
        <v>63501.72</v>
      </c>
      <c r="F2089" s="11">
        <v>6.39</v>
      </c>
      <c r="G2089" s="9">
        <v>4999.2</v>
      </c>
      <c r="H2089" s="10">
        <v>0.54500000000000004</v>
      </c>
      <c r="I2089" s="11">
        <v>6.8</v>
      </c>
    </row>
    <row r="2090" spans="1:9" x14ac:dyDescent="0.35">
      <c r="A2090" s="2" t="s">
        <v>236</v>
      </c>
      <c r="B2090" s="3">
        <v>44562</v>
      </c>
      <c r="C2090" s="2">
        <v>18</v>
      </c>
      <c r="D2090" s="2">
        <v>32764</v>
      </c>
      <c r="E2090" s="17">
        <v>72064.539999999994</v>
      </c>
      <c r="F2090" s="11">
        <v>6.45</v>
      </c>
      <c r="G2090" s="9">
        <v>5179.6000000000004</v>
      </c>
      <c r="H2090" s="10">
        <v>0.44400000000000001</v>
      </c>
      <c r="I2090" s="11">
        <v>6.4</v>
      </c>
    </row>
    <row r="2091" spans="1:9" x14ac:dyDescent="0.35">
      <c r="A2091" s="2" t="s">
        <v>236</v>
      </c>
      <c r="B2091" s="3">
        <v>44593</v>
      </c>
      <c r="C2091" s="2">
        <v>18</v>
      </c>
      <c r="D2091" s="2">
        <v>26932</v>
      </c>
      <c r="E2091" s="17">
        <v>55168.06</v>
      </c>
      <c r="F2091" s="11">
        <v>6.66</v>
      </c>
      <c r="G2091" s="9">
        <v>4172.3</v>
      </c>
      <c r="H2091" s="10">
        <v>0.55600000000000005</v>
      </c>
      <c r="I2091" s="11">
        <v>6.9</v>
      </c>
    </row>
    <row r="2092" spans="1:9" x14ac:dyDescent="0.35">
      <c r="A2092" s="2" t="s">
        <v>236</v>
      </c>
      <c r="B2092" s="3">
        <v>44621</v>
      </c>
      <c r="C2092" s="2">
        <v>18</v>
      </c>
      <c r="D2092" s="2">
        <v>27076</v>
      </c>
      <c r="E2092" s="17">
        <v>60502.95</v>
      </c>
      <c r="F2092" s="11">
        <v>6.46</v>
      </c>
      <c r="G2092" s="9">
        <v>4206.8999999999996</v>
      </c>
      <c r="H2092" s="10">
        <v>0.55600000000000005</v>
      </c>
      <c r="I2092" s="11">
        <v>6.8</v>
      </c>
    </row>
    <row r="2093" spans="1:9" x14ac:dyDescent="0.35">
      <c r="A2093" s="2" t="s">
        <v>236</v>
      </c>
      <c r="B2093" s="3">
        <v>44652</v>
      </c>
      <c r="C2093" s="2">
        <v>20</v>
      </c>
      <c r="D2093" s="2">
        <v>24481</v>
      </c>
      <c r="E2093" s="17">
        <v>56436.4</v>
      </c>
      <c r="F2093" s="11">
        <v>6.38</v>
      </c>
      <c r="G2093" s="9">
        <v>3801.5</v>
      </c>
      <c r="H2093" s="10">
        <v>0.3</v>
      </c>
      <c r="I2093" s="11">
        <v>7.1</v>
      </c>
    </row>
    <row r="2094" spans="1:9" x14ac:dyDescent="0.35">
      <c r="A2094" s="2" t="s">
        <v>236</v>
      </c>
      <c r="B2094" s="3">
        <v>44682</v>
      </c>
      <c r="C2094" s="2">
        <v>21</v>
      </c>
      <c r="D2094" s="2">
        <v>31547</v>
      </c>
      <c r="E2094" s="17">
        <v>70449.070000000007</v>
      </c>
      <c r="F2094" s="11">
        <v>6.26</v>
      </c>
      <c r="G2094" s="9">
        <v>5114.6000000000004</v>
      </c>
      <c r="H2094" s="10">
        <v>0.42899999999999999</v>
      </c>
      <c r="I2094" s="11">
        <v>7.5</v>
      </c>
    </row>
    <row r="2095" spans="1:9" x14ac:dyDescent="0.35">
      <c r="A2095" s="2" t="s">
        <v>236</v>
      </c>
      <c r="B2095" s="3">
        <v>44713</v>
      </c>
      <c r="C2095" s="2">
        <v>27</v>
      </c>
      <c r="D2095" s="2">
        <v>40396</v>
      </c>
      <c r="E2095" s="17">
        <v>82901.72</v>
      </c>
      <c r="F2095" s="11">
        <v>6.66</v>
      </c>
      <c r="G2095" s="9">
        <v>6169.7</v>
      </c>
      <c r="H2095" s="10">
        <v>0.48099999999999998</v>
      </c>
      <c r="I2095" s="11">
        <v>6.4</v>
      </c>
    </row>
    <row r="2096" spans="1:9" x14ac:dyDescent="0.35">
      <c r="A2096" s="2" t="s">
        <v>236</v>
      </c>
      <c r="B2096" s="3">
        <v>44743</v>
      </c>
      <c r="C2096" s="2">
        <v>17</v>
      </c>
      <c r="D2096" s="2">
        <v>23822</v>
      </c>
      <c r="E2096" s="17">
        <v>48181.85</v>
      </c>
      <c r="F2096" s="11">
        <v>6.19</v>
      </c>
      <c r="G2096" s="9">
        <v>3854.7</v>
      </c>
      <c r="H2096" s="10">
        <v>0.41199999999999998</v>
      </c>
      <c r="I2096" s="11">
        <v>5.7</v>
      </c>
    </row>
    <row r="2097" spans="1:9" x14ac:dyDescent="0.35">
      <c r="A2097" s="2" t="s">
        <v>236</v>
      </c>
      <c r="B2097" s="3">
        <v>44774</v>
      </c>
      <c r="C2097" s="2">
        <v>22</v>
      </c>
      <c r="D2097" s="2">
        <v>38550</v>
      </c>
      <c r="E2097" s="17">
        <v>76538.600000000006</v>
      </c>
      <c r="F2097" s="11">
        <v>6.52</v>
      </c>
      <c r="G2097" s="9">
        <v>5991.9</v>
      </c>
      <c r="H2097" s="10">
        <v>0.45500000000000002</v>
      </c>
      <c r="I2097" s="11">
        <v>6.7</v>
      </c>
    </row>
    <row r="2098" spans="1:9" x14ac:dyDescent="0.35">
      <c r="A2098" s="2" t="s">
        <v>236</v>
      </c>
      <c r="B2098" s="3">
        <v>44805</v>
      </c>
      <c r="C2098" s="2">
        <v>13</v>
      </c>
      <c r="D2098" s="2">
        <v>21845</v>
      </c>
      <c r="E2098" s="17">
        <v>45525.33</v>
      </c>
      <c r="F2098" s="11">
        <v>6.34</v>
      </c>
      <c r="G2098" s="9">
        <v>3410.4</v>
      </c>
      <c r="H2098" s="10">
        <v>0.23100000000000001</v>
      </c>
      <c r="I2098" s="11">
        <v>7.3</v>
      </c>
    </row>
    <row r="2099" spans="1:9" x14ac:dyDescent="0.35">
      <c r="A2099" s="2" t="s">
        <v>236</v>
      </c>
      <c r="B2099" s="3">
        <v>44835</v>
      </c>
      <c r="C2099" s="2">
        <v>16</v>
      </c>
      <c r="D2099" s="2">
        <v>23879</v>
      </c>
      <c r="E2099" s="17">
        <v>49240.69</v>
      </c>
      <c r="F2099" s="11">
        <v>6.37</v>
      </c>
      <c r="G2099" s="9">
        <v>3712.2</v>
      </c>
      <c r="H2099" s="10">
        <v>0.68799999999999994</v>
      </c>
      <c r="I2099" s="11">
        <v>6.9</v>
      </c>
    </row>
    <row r="2100" spans="1:9" x14ac:dyDescent="0.35">
      <c r="A2100" s="2" t="s">
        <v>236</v>
      </c>
      <c r="B2100" s="3">
        <v>44866</v>
      </c>
      <c r="C2100" s="2">
        <v>12</v>
      </c>
      <c r="D2100" s="2">
        <v>20297</v>
      </c>
      <c r="E2100" s="17">
        <v>43669.07</v>
      </c>
      <c r="F2100" s="11">
        <v>6.48</v>
      </c>
      <c r="G2100" s="9">
        <v>3139.1</v>
      </c>
      <c r="H2100" s="10">
        <v>0.25</v>
      </c>
      <c r="I2100" s="11">
        <v>7.2</v>
      </c>
    </row>
    <row r="2101" spans="1:9" x14ac:dyDescent="0.35">
      <c r="A2101" s="2" t="s">
        <v>236</v>
      </c>
      <c r="B2101" s="3">
        <v>44896</v>
      </c>
      <c r="C2101" s="2">
        <v>24</v>
      </c>
      <c r="D2101" s="2">
        <v>35650</v>
      </c>
      <c r="E2101" s="17">
        <v>74290.42</v>
      </c>
      <c r="F2101" s="11">
        <v>6.57</v>
      </c>
      <c r="G2101" s="9">
        <v>5436.4</v>
      </c>
      <c r="H2101" s="10">
        <v>0.25</v>
      </c>
      <c r="I2101" s="11">
        <v>6.1</v>
      </c>
    </row>
    <row r="2102" spans="1:9" x14ac:dyDescent="0.35">
      <c r="A2102" s="2" t="s">
        <v>236</v>
      </c>
      <c r="B2102" s="3">
        <v>44927</v>
      </c>
      <c r="C2102" s="2">
        <v>23</v>
      </c>
      <c r="D2102" s="2">
        <v>29420</v>
      </c>
      <c r="E2102" s="17">
        <v>57669.24</v>
      </c>
      <c r="F2102" s="11">
        <v>6.4</v>
      </c>
      <c r="G2102" s="9">
        <v>4564.3999999999996</v>
      </c>
      <c r="H2102" s="10">
        <v>0.52200000000000002</v>
      </c>
      <c r="I2102" s="11">
        <v>7.5</v>
      </c>
    </row>
    <row r="2103" spans="1:9" x14ac:dyDescent="0.35">
      <c r="A2103" s="2" t="s">
        <v>236</v>
      </c>
      <c r="B2103" s="3">
        <v>44958</v>
      </c>
      <c r="C2103" s="2">
        <v>11</v>
      </c>
      <c r="D2103" s="2">
        <v>15520</v>
      </c>
      <c r="E2103" s="17">
        <v>33703.58</v>
      </c>
      <c r="F2103" s="11">
        <v>6.66</v>
      </c>
      <c r="G2103" s="9">
        <v>2380.8000000000002</v>
      </c>
      <c r="H2103" s="10">
        <v>0.45500000000000002</v>
      </c>
      <c r="I2103" s="11">
        <v>8.4</v>
      </c>
    </row>
    <row r="2104" spans="1:9" x14ac:dyDescent="0.35">
      <c r="A2104" s="2" t="s">
        <v>236</v>
      </c>
      <c r="B2104" s="3">
        <v>44986</v>
      </c>
      <c r="C2104" s="2">
        <v>23</v>
      </c>
      <c r="D2104" s="2">
        <v>29470</v>
      </c>
      <c r="E2104" s="17">
        <v>65363.199999999997</v>
      </c>
      <c r="F2104" s="11">
        <v>6.76</v>
      </c>
      <c r="G2104" s="9">
        <v>4403</v>
      </c>
      <c r="H2104" s="10">
        <v>0.47799999999999998</v>
      </c>
      <c r="I2104" s="11">
        <v>6.4</v>
      </c>
    </row>
    <row r="2105" spans="1:9" x14ac:dyDescent="0.35">
      <c r="A2105" s="2" t="s">
        <v>236</v>
      </c>
      <c r="B2105" s="3">
        <v>45017</v>
      </c>
      <c r="C2105" s="2">
        <v>20</v>
      </c>
      <c r="D2105" s="2">
        <v>31595</v>
      </c>
      <c r="E2105" s="17">
        <v>74570.11</v>
      </c>
      <c r="F2105" s="11">
        <v>6.45</v>
      </c>
      <c r="G2105" s="9">
        <v>4885.1000000000004</v>
      </c>
      <c r="H2105" s="10">
        <v>0.3</v>
      </c>
      <c r="I2105" s="11">
        <v>6.6</v>
      </c>
    </row>
    <row r="2106" spans="1:9" x14ac:dyDescent="0.35">
      <c r="A2106" s="2" t="s">
        <v>236</v>
      </c>
      <c r="B2106" s="3">
        <v>45047</v>
      </c>
      <c r="C2106" s="2">
        <v>19</v>
      </c>
      <c r="D2106" s="2">
        <v>23996</v>
      </c>
      <c r="E2106" s="17">
        <v>46134.82</v>
      </c>
      <c r="F2106" s="11">
        <v>6.4</v>
      </c>
      <c r="G2106" s="9">
        <v>3834.2</v>
      </c>
      <c r="H2106" s="10">
        <v>0.316</v>
      </c>
      <c r="I2106" s="11">
        <v>7.2</v>
      </c>
    </row>
    <row r="2107" spans="1:9" x14ac:dyDescent="0.35">
      <c r="A2107" s="2" t="s">
        <v>236</v>
      </c>
      <c r="B2107" s="3">
        <v>45078</v>
      </c>
      <c r="C2107" s="2">
        <v>19</v>
      </c>
      <c r="D2107" s="2">
        <v>31446</v>
      </c>
      <c r="E2107" s="17">
        <v>67736.56</v>
      </c>
      <c r="F2107" s="11">
        <v>6.48</v>
      </c>
      <c r="G2107" s="9">
        <v>4886.7</v>
      </c>
      <c r="H2107" s="10">
        <v>0.42099999999999999</v>
      </c>
      <c r="I2107" s="11">
        <v>5.8</v>
      </c>
    </row>
    <row r="2108" spans="1:9" x14ac:dyDescent="0.35">
      <c r="A2108" s="2" t="s">
        <v>236</v>
      </c>
      <c r="B2108" s="3">
        <v>45108</v>
      </c>
      <c r="C2108" s="2">
        <v>12</v>
      </c>
      <c r="D2108" s="2">
        <v>19455</v>
      </c>
      <c r="E2108" s="17">
        <v>43572.75</v>
      </c>
      <c r="F2108" s="11">
        <v>6.75</v>
      </c>
      <c r="G2108" s="9">
        <v>2954.6</v>
      </c>
      <c r="H2108" s="10">
        <v>0.16700000000000001</v>
      </c>
      <c r="I2108" s="11">
        <v>7.8</v>
      </c>
    </row>
    <row r="2109" spans="1:9" x14ac:dyDescent="0.35">
      <c r="A2109" s="2" t="s">
        <v>236</v>
      </c>
      <c r="B2109" s="3">
        <v>45139</v>
      </c>
      <c r="C2109" s="2">
        <v>18</v>
      </c>
      <c r="D2109" s="2">
        <v>25349</v>
      </c>
      <c r="E2109" s="17">
        <v>51244.78</v>
      </c>
      <c r="F2109" s="11">
        <v>6.74</v>
      </c>
      <c r="G2109" s="9">
        <v>3848.9</v>
      </c>
      <c r="H2109" s="10">
        <v>0.44400000000000001</v>
      </c>
      <c r="I2109" s="11">
        <v>7.3</v>
      </c>
    </row>
    <row r="2110" spans="1:9" x14ac:dyDescent="0.35">
      <c r="A2110" s="2" t="s">
        <v>236</v>
      </c>
      <c r="B2110" s="3">
        <v>45170</v>
      </c>
      <c r="C2110" s="2">
        <v>18</v>
      </c>
      <c r="D2110" s="2">
        <v>26567</v>
      </c>
      <c r="E2110" s="17">
        <v>54075.95</v>
      </c>
      <c r="F2110" s="11">
        <v>6.44</v>
      </c>
      <c r="G2110" s="9">
        <v>4158.5</v>
      </c>
      <c r="H2110" s="10">
        <v>0.44400000000000001</v>
      </c>
      <c r="I2110" s="11">
        <v>6.6</v>
      </c>
    </row>
    <row r="2111" spans="1:9" x14ac:dyDescent="0.35">
      <c r="A2111" s="2" t="s">
        <v>236</v>
      </c>
      <c r="B2111" s="3">
        <v>45200</v>
      </c>
      <c r="C2111" s="2">
        <v>16</v>
      </c>
      <c r="D2111" s="2">
        <v>24621</v>
      </c>
      <c r="E2111" s="17">
        <v>53819.28</v>
      </c>
      <c r="F2111" s="11">
        <v>6.41</v>
      </c>
      <c r="G2111" s="9">
        <v>3896.8</v>
      </c>
      <c r="H2111" s="10">
        <v>0.5</v>
      </c>
      <c r="I2111" s="11">
        <v>8.1</v>
      </c>
    </row>
    <row r="2112" spans="1:9" x14ac:dyDescent="0.35">
      <c r="A2112" s="2" t="s">
        <v>236</v>
      </c>
      <c r="B2112" s="3">
        <v>45231</v>
      </c>
      <c r="C2112" s="2">
        <v>28</v>
      </c>
      <c r="D2112" s="2">
        <v>40048</v>
      </c>
      <c r="E2112" s="17">
        <v>76454.3</v>
      </c>
      <c r="F2112" s="11">
        <v>6.22</v>
      </c>
      <c r="G2112" s="9">
        <v>6495.5</v>
      </c>
      <c r="H2112" s="10">
        <v>0.25</v>
      </c>
      <c r="I2112" s="11">
        <v>6.7</v>
      </c>
    </row>
    <row r="2113" spans="1:9" x14ac:dyDescent="0.35">
      <c r="A2113" s="2" t="s">
        <v>236</v>
      </c>
      <c r="B2113" s="3">
        <v>45261</v>
      </c>
      <c r="C2113" s="2">
        <v>9</v>
      </c>
      <c r="D2113" s="2">
        <v>9007</v>
      </c>
      <c r="E2113" s="17">
        <v>17882.46</v>
      </c>
      <c r="F2113" s="11">
        <v>6.35</v>
      </c>
      <c r="G2113" s="9">
        <v>1403.4</v>
      </c>
      <c r="H2113" s="10">
        <v>0.55600000000000005</v>
      </c>
      <c r="I2113" s="11">
        <v>8.4</v>
      </c>
    </row>
    <row r="2114" spans="1:9" x14ac:dyDescent="0.35">
      <c r="A2114" s="2" t="s">
        <v>236</v>
      </c>
      <c r="B2114" s="3">
        <v>45292</v>
      </c>
      <c r="C2114" s="2">
        <v>22</v>
      </c>
      <c r="D2114" s="2">
        <v>27744</v>
      </c>
      <c r="E2114" s="17">
        <v>57924.11</v>
      </c>
      <c r="F2114" s="11">
        <v>6.31</v>
      </c>
      <c r="G2114" s="9">
        <v>4455.1000000000004</v>
      </c>
      <c r="H2114" s="10">
        <v>0.27300000000000002</v>
      </c>
      <c r="I2114" s="11">
        <v>8</v>
      </c>
    </row>
    <row r="2115" spans="1:9" x14ac:dyDescent="0.35">
      <c r="A2115" s="2" t="s">
        <v>236</v>
      </c>
      <c r="B2115" s="3">
        <v>45323</v>
      </c>
      <c r="C2115" s="2">
        <v>11</v>
      </c>
      <c r="D2115" s="2">
        <v>20084</v>
      </c>
      <c r="E2115" s="17">
        <v>38114.99</v>
      </c>
      <c r="F2115" s="11">
        <v>6.74</v>
      </c>
      <c r="G2115" s="9">
        <v>2981.7</v>
      </c>
      <c r="H2115" s="10">
        <v>0.54500000000000004</v>
      </c>
      <c r="I2115" s="11">
        <v>6.8</v>
      </c>
    </row>
    <row r="2116" spans="1:9" x14ac:dyDescent="0.35">
      <c r="A2116" s="2" t="s">
        <v>236</v>
      </c>
      <c r="B2116" s="3">
        <v>45352</v>
      </c>
      <c r="C2116" s="2">
        <v>20</v>
      </c>
      <c r="D2116" s="2">
        <v>23257</v>
      </c>
      <c r="E2116" s="17">
        <v>48547.75</v>
      </c>
      <c r="F2116" s="11">
        <v>6.5</v>
      </c>
      <c r="G2116" s="9">
        <v>3565.5</v>
      </c>
      <c r="H2116" s="10">
        <v>0.4</v>
      </c>
      <c r="I2116" s="11">
        <v>7.4</v>
      </c>
    </row>
    <row r="2117" spans="1:9" x14ac:dyDescent="0.35">
      <c r="A2117" s="2" t="s">
        <v>236</v>
      </c>
      <c r="B2117" s="3">
        <v>45383</v>
      </c>
      <c r="C2117" s="2">
        <v>18</v>
      </c>
      <c r="D2117" s="2">
        <v>24811</v>
      </c>
      <c r="E2117" s="17">
        <v>50910.8</v>
      </c>
      <c r="F2117" s="11">
        <v>6.67</v>
      </c>
      <c r="G2117" s="9">
        <v>3852.4</v>
      </c>
      <c r="H2117" s="10">
        <v>0.38900000000000001</v>
      </c>
      <c r="I2117" s="11">
        <v>6.9</v>
      </c>
    </row>
    <row r="2118" spans="1:9" x14ac:dyDescent="0.35">
      <c r="A2118" s="2" t="s">
        <v>236</v>
      </c>
      <c r="B2118" s="3">
        <v>45413</v>
      </c>
      <c r="C2118" s="2">
        <v>15</v>
      </c>
      <c r="D2118" s="2">
        <v>23069</v>
      </c>
      <c r="E2118" s="17">
        <v>47569.53</v>
      </c>
      <c r="F2118" s="11">
        <v>6.2</v>
      </c>
      <c r="G2118" s="9">
        <v>3819.7</v>
      </c>
      <c r="H2118" s="10">
        <v>0.46700000000000003</v>
      </c>
      <c r="I2118" s="11">
        <v>6.5</v>
      </c>
    </row>
    <row r="2119" spans="1:9" x14ac:dyDescent="0.35">
      <c r="A2119" s="2" t="s">
        <v>236</v>
      </c>
      <c r="B2119" s="3">
        <v>45444</v>
      </c>
      <c r="C2119" s="2">
        <v>15</v>
      </c>
      <c r="D2119" s="2">
        <v>23654</v>
      </c>
      <c r="E2119" s="17">
        <v>49592.56</v>
      </c>
      <c r="F2119" s="11">
        <v>6.58</v>
      </c>
      <c r="G2119" s="9">
        <v>3611.9</v>
      </c>
      <c r="H2119" s="10">
        <v>0.53300000000000003</v>
      </c>
      <c r="I2119" s="11">
        <v>7.5</v>
      </c>
    </row>
    <row r="2120" spans="1:9" x14ac:dyDescent="0.35">
      <c r="A2120" s="2" t="s">
        <v>236</v>
      </c>
      <c r="B2120" s="3">
        <v>45474</v>
      </c>
      <c r="C2120" s="2">
        <v>23</v>
      </c>
      <c r="D2120" s="2">
        <v>27489</v>
      </c>
      <c r="E2120" s="17">
        <v>57566.45</v>
      </c>
      <c r="F2120" s="11">
        <v>6.56</v>
      </c>
      <c r="G2120" s="9">
        <v>4199.5</v>
      </c>
      <c r="H2120" s="10">
        <v>0.34799999999999998</v>
      </c>
      <c r="I2120" s="11">
        <v>7.6</v>
      </c>
    </row>
    <row r="2121" spans="1:9" x14ac:dyDescent="0.35">
      <c r="A2121" s="2" t="s">
        <v>236</v>
      </c>
      <c r="B2121" s="3">
        <v>45505</v>
      </c>
      <c r="C2121" s="2">
        <v>9</v>
      </c>
      <c r="D2121" s="2">
        <v>13494</v>
      </c>
      <c r="E2121" s="17">
        <v>27260.11</v>
      </c>
      <c r="F2121" s="11">
        <v>6.92</v>
      </c>
      <c r="G2121" s="9">
        <v>1943.6</v>
      </c>
      <c r="H2121" s="10">
        <v>0.66700000000000004</v>
      </c>
      <c r="I2121" s="11">
        <v>7.5</v>
      </c>
    </row>
    <row r="2122" spans="1:9" x14ac:dyDescent="0.35">
      <c r="A2122" s="2" t="s">
        <v>236</v>
      </c>
      <c r="B2122" s="3">
        <v>45536</v>
      </c>
      <c r="C2122" s="2">
        <v>16</v>
      </c>
      <c r="D2122" s="2">
        <v>23300</v>
      </c>
      <c r="E2122" s="17">
        <v>47171.05</v>
      </c>
      <c r="F2122" s="11">
        <v>6.3</v>
      </c>
      <c r="G2122" s="9">
        <v>3666.3</v>
      </c>
      <c r="H2122" s="10">
        <v>0.56200000000000006</v>
      </c>
      <c r="I2122" s="11">
        <v>7.9</v>
      </c>
    </row>
    <row r="2123" spans="1:9" x14ac:dyDescent="0.35">
      <c r="A2123" s="2" t="s">
        <v>236</v>
      </c>
      <c r="B2123" s="3">
        <v>45566</v>
      </c>
      <c r="C2123" s="2">
        <v>20</v>
      </c>
      <c r="D2123" s="2">
        <v>25539</v>
      </c>
      <c r="E2123" s="17">
        <v>58958.95</v>
      </c>
      <c r="F2123" s="11">
        <v>6.55</v>
      </c>
      <c r="G2123" s="9">
        <v>3978.9</v>
      </c>
      <c r="H2123" s="10">
        <v>0.4</v>
      </c>
      <c r="I2123" s="11">
        <v>7.7</v>
      </c>
    </row>
    <row r="2124" spans="1:9" x14ac:dyDescent="0.35">
      <c r="A2124" s="2" t="s">
        <v>236</v>
      </c>
      <c r="B2124" s="3">
        <v>45597</v>
      </c>
      <c r="C2124" s="2">
        <v>18</v>
      </c>
      <c r="D2124" s="2">
        <v>26387</v>
      </c>
      <c r="E2124" s="17">
        <v>56098.45</v>
      </c>
      <c r="F2124" s="11">
        <v>6.71</v>
      </c>
      <c r="G2124" s="9">
        <v>3928.1</v>
      </c>
      <c r="H2124" s="10">
        <v>0.33300000000000002</v>
      </c>
      <c r="I2124" s="11">
        <v>6</v>
      </c>
    </row>
    <row r="2125" spans="1:9" x14ac:dyDescent="0.35">
      <c r="A2125" s="2" t="s">
        <v>236</v>
      </c>
      <c r="B2125" s="3">
        <v>45627</v>
      </c>
      <c r="C2125" s="2">
        <v>22</v>
      </c>
      <c r="D2125" s="2">
        <v>36899</v>
      </c>
      <c r="E2125" s="17">
        <v>81692.759999999995</v>
      </c>
      <c r="F2125" s="11">
        <v>6.35</v>
      </c>
      <c r="G2125" s="9">
        <v>5886.4</v>
      </c>
      <c r="H2125" s="10">
        <v>0.13600000000000001</v>
      </c>
      <c r="I2125" s="11">
        <v>6.3</v>
      </c>
    </row>
    <row r="2126" spans="1:9" x14ac:dyDescent="0.35">
      <c r="A2126" s="2" t="s">
        <v>242</v>
      </c>
      <c r="B2126" s="3">
        <v>44562</v>
      </c>
      <c r="C2126" s="2">
        <v>30</v>
      </c>
      <c r="D2126" s="2">
        <v>40233</v>
      </c>
      <c r="E2126" s="17">
        <v>86000.33</v>
      </c>
      <c r="F2126" s="11">
        <v>6.62</v>
      </c>
      <c r="G2126" s="9">
        <v>6134.7</v>
      </c>
      <c r="H2126" s="10">
        <v>0.433</v>
      </c>
      <c r="I2126" s="11">
        <v>5.8</v>
      </c>
    </row>
    <row r="2127" spans="1:9" x14ac:dyDescent="0.35">
      <c r="A2127" s="2" t="s">
        <v>242</v>
      </c>
      <c r="B2127" s="3">
        <v>44593</v>
      </c>
      <c r="C2127" s="2">
        <v>25</v>
      </c>
      <c r="D2127" s="2">
        <v>31292</v>
      </c>
      <c r="E2127" s="17">
        <v>64480.37</v>
      </c>
      <c r="F2127" s="11">
        <v>6.4</v>
      </c>
      <c r="G2127" s="9">
        <v>4928</v>
      </c>
      <c r="H2127" s="10">
        <v>0.52</v>
      </c>
      <c r="I2127" s="11">
        <v>6.8</v>
      </c>
    </row>
    <row r="2128" spans="1:9" x14ac:dyDescent="0.35">
      <c r="A2128" s="2" t="s">
        <v>242</v>
      </c>
      <c r="B2128" s="3">
        <v>44621</v>
      </c>
      <c r="C2128" s="2">
        <v>22</v>
      </c>
      <c r="D2128" s="2">
        <v>43871</v>
      </c>
      <c r="E2128" s="17">
        <v>99531.01</v>
      </c>
      <c r="F2128" s="11">
        <v>6.49</v>
      </c>
      <c r="G2128" s="9">
        <v>6804.6</v>
      </c>
      <c r="H2128" s="10">
        <v>0.40899999999999997</v>
      </c>
      <c r="I2128" s="11">
        <v>6.4</v>
      </c>
    </row>
    <row r="2129" spans="1:9" x14ac:dyDescent="0.35">
      <c r="A2129" s="2" t="s">
        <v>242</v>
      </c>
      <c r="B2129" s="3">
        <v>44652</v>
      </c>
      <c r="C2129" s="2">
        <v>11</v>
      </c>
      <c r="D2129" s="2">
        <v>15890</v>
      </c>
      <c r="E2129" s="17">
        <v>31973.96</v>
      </c>
      <c r="F2129" s="11">
        <v>6.52</v>
      </c>
      <c r="G2129" s="9">
        <v>2394.9</v>
      </c>
      <c r="H2129" s="10">
        <v>0.36399999999999999</v>
      </c>
      <c r="I2129" s="11">
        <v>9.1999999999999993</v>
      </c>
    </row>
    <row r="2130" spans="1:9" x14ac:dyDescent="0.35">
      <c r="A2130" s="2" t="s">
        <v>242</v>
      </c>
      <c r="B2130" s="3">
        <v>44682</v>
      </c>
      <c r="C2130" s="2">
        <v>19</v>
      </c>
      <c r="D2130" s="2">
        <v>29089</v>
      </c>
      <c r="E2130" s="17">
        <v>66240.63</v>
      </c>
      <c r="F2130" s="11">
        <v>6.52</v>
      </c>
      <c r="G2130" s="9">
        <v>4454.7</v>
      </c>
      <c r="H2130" s="10">
        <v>0.26300000000000001</v>
      </c>
      <c r="I2130" s="11">
        <v>6.3</v>
      </c>
    </row>
    <row r="2131" spans="1:9" x14ac:dyDescent="0.35">
      <c r="A2131" s="2" t="s">
        <v>242</v>
      </c>
      <c r="B2131" s="3">
        <v>44713</v>
      </c>
      <c r="C2131" s="2">
        <v>14</v>
      </c>
      <c r="D2131" s="2">
        <v>19019</v>
      </c>
      <c r="E2131" s="17">
        <v>38739.89</v>
      </c>
      <c r="F2131" s="11">
        <v>6.43</v>
      </c>
      <c r="G2131" s="9">
        <v>2985.2</v>
      </c>
      <c r="H2131" s="10">
        <v>0.64300000000000002</v>
      </c>
      <c r="I2131" s="11">
        <v>8</v>
      </c>
    </row>
    <row r="2132" spans="1:9" x14ac:dyDescent="0.35">
      <c r="A2132" s="2" t="s">
        <v>242</v>
      </c>
      <c r="B2132" s="3">
        <v>44743</v>
      </c>
      <c r="C2132" s="2">
        <v>17</v>
      </c>
      <c r="D2132" s="2">
        <v>15201</v>
      </c>
      <c r="E2132" s="17">
        <v>30690.51</v>
      </c>
      <c r="F2132" s="11">
        <v>6.85</v>
      </c>
      <c r="G2132" s="9">
        <v>2287.4</v>
      </c>
      <c r="H2132" s="10">
        <v>0.47099999999999997</v>
      </c>
      <c r="I2132" s="11">
        <v>6.4</v>
      </c>
    </row>
    <row r="2133" spans="1:9" x14ac:dyDescent="0.35">
      <c r="A2133" s="2" t="s">
        <v>242</v>
      </c>
      <c r="B2133" s="3">
        <v>44774</v>
      </c>
      <c r="C2133" s="2">
        <v>24</v>
      </c>
      <c r="D2133" s="2">
        <v>35791</v>
      </c>
      <c r="E2133" s="17">
        <v>79985.55</v>
      </c>
      <c r="F2133" s="11">
        <v>6.61</v>
      </c>
      <c r="G2133" s="9">
        <v>5426.4</v>
      </c>
      <c r="H2133" s="10">
        <v>0.33300000000000002</v>
      </c>
      <c r="I2133" s="11">
        <v>6.7</v>
      </c>
    </row>
    <row r="2134" spans="1:9" x14ac:dyDescent="0.35">
      <c r="A2134" s="2" t="s">
        <v>242</v>
      </c>
      <c r="B2134" s="3">
        <v>44805</v>
      </c>
      <c r="C2134" s="2">
        <v>18</v>
      </c>
      <c r="D2134" s="2">
        <v>22899</v>
      </c>
      <c r="E2134" s="17">
        <v>51631.61</v>
      </c>
      <c r="F2134" s="11">
        <v>6.38</v>
      </c>
      <c r="G2134" s="9">
        <v>3644.8</v>
      </c>
      <c r="H2134" s="10">
        <v>0.61099999999999999</v>
      </c>
      <c r="I2134" s="11">
        <v>7.1</v>
      </c>
    </row>
    <row r="2135" spans="1:9" x14ac:dyDescent="0.35">
      <c r="A2135" s="2" t="s">
        <v>242</v>
      </c>
      <c r="B2135" s="3">
        <v>44835</v>
      </c>
      <c r="C2135" s="2">
        <v>18</v>
      </c>
      <c r="D2135" s="2">
        <v>24671</v>
      </c>
      <c r="E2135" s="17">
        <v>49533.08</v>
      </c>
      <c r="F2135" s="11">
        <v>6.37</v>
      </c>
      <c r="G2135" s="9">
        <v>3848.7</v>
      </c>
      <c r="H2135" s="10">
        <v>0.44400000000000001</v>
      </c>
      <c r="I2135" s="11">
        <v>6.3</v>
      </c>
    </row>
    <row r="2136" spans="1:9" x14ac:dyDescent="0.35">
      <c r="A2136" s="2" t="s">
        <v>242</v>
      </c>
      <c r="B2136" s="3">
        <v>44866</v>
      </c>
      <c r="C2136" s="2">
        <v>20</v>
      </c>
      <c r="D2136" s="2">
        <v>25720</v>
      </c>
      <c r="E2136" s="17">
        <v>56783.57</v>
      </c>
      <c r="F2136" s="11">
        <v>6.37</v>
      </c>
      <c r="G2136" s="9">
        <v>4077.2</v>
      </c>
      <c r="H2136" s="10">
        <v>0.25</v>
      </c>
      <c r="I2136" s="11">
        <v>8.1999999999999993</v>
      </c>
    </row>
    <row r="2137" spans="1:9" x14ac:dyDescent="0.35">
      <c r="A2137" s="2" t="s">
        <v>242</v>
      </c>
      <c r="B2137" s="3">
        <v>44896</v>
      </c>
      <c r="C2137" s="2">
        <v>16</v>
      </c>
      <c r="D2137" s="2">
        <v>20755</v>
      </c>
      <c r="E2137" s="17">
        <v>43830.8</v>
      </c>
      <c r="F2137" s="11">
        <v>6.46</v>
      </c>
      <c r="G2137" s="9">
        <v>3223.6</v>
      </c>
      <c r="H2137" s="10">
        <v>0.438</v>
      </c>
      <c r="I2137" s="11">
        <v>7.4</v>
      </c>
    </row>
    <row r="2138" spans="1:9" x14ac:dyDescent="0.35">
      <c r="A2138" s="2" t="s">
        <v>242</v>
      </c>
      <c r="B2138" s="3">
        <v>44927</v>
      </c>
      <c r="C2138" s="2">
        <v>10</v>
      </c>
      <c r="D2138" s="2">
        <v>13082</v>
      </c>
      <c r="E2138" s="17">
        <v>29040.92</v>
      </c>
      <c r="F2138" s="11">
        <v>6.46</v>
      </c>
      <c r="G2138" s="9">
        <v>2101.1</v>
      </c>
      <c r="H2138" s="10">
        <v>0.4</v>
      </c>
      <c r="I2138" s="11">
        <v>6.3</v>
      </c>
    </row>
    <row r="2139" spans="1:9" x14ac:dyDescent="0.35">
      <c r="A2139" s="2" t="s">
        <v>242</v>
      </c>
      <c r="B2139" s="3">
        <v>44958</v>
      </c>
      <c r="C2139" s="2">
        <v>16</v>
      </c>
      <c r="D2139" s="2">
        <v>29741</v>
      </c>
      <c r="E2139" s="17">
        <v>66840.72</v>
      </c>
      <c r="F2139" s="11">
        <v>6.48</v>
      </c>
      <c r="G2139" s="9">
        <v>4679.5</v>
      </c>
      <c r="H2139" s="10">
        <v>0.5</v>
      </c>
      <c r="I2139" s="11">
        <v>7.8</v>
      </c>
    </row>
    <row r="2140" spans="1:9" x14ac:dyDescent="0.35">
      <c r="A2140" s="2" t="s">
        <v>242</v>
      </c>
      <c r="B2140" s="3">
        <v>44986</v>
      </c>
      <c r="C2140" s="2">
        <v>26</v>
      </c>
      <c r="D2140" s="2">
        <v>33942</v>
      </c>
      <c r="E2140" s="17">
        <v>64227.3</v>
      </c>
      <c r="F2140" s="11">
        <v>6.53</v>
      </c>
      <c r="G2140" s="9">
        <v>5216.8999999999996</v>
      </c>
      <c r="H2140" s="10">
        <v>0.53800000000000003</v>
      </c>
      <c r="I2140" s="11">
        <v>6.5</v>
      </c>
    </row>
    <row r="2141" spans="1:9" x14ac:dyDescent="0.35">
      <c r="A2141" s="2" t="s">
        <v>242</v>
      </c>
      <c r="B2141" s="3">
        <v>45017</v>
      </c>
      <c r="C2141" s="2">
        <v>12</v>
      </c>
      <c r="D2141" s="2">
        <v>17068</v>
      </c>
      <c r="E2141" s="17">
        <v>37510.769999999997</v>
      </c>
      <c r="F2141" s="11">
        <v>6.01</v>
      </c>
      <c r="G2141" s="9">
        <v>2865.3</v>
      </c>
      <c r="H2141" s="10">
        <v>0.33300000000000002</v>
      </c>
      <c r="I2141" s="11">
        <v>7.6</v>
      </c>
    </row>
    <row r="2142" spans="1:9" x14ac:dyDescent="0.35">
      <c r="A2142" s="2" t="s">
        <v>242</v>
      </c>
      <c r="B2142" s="3">
        <v>45047</v>
      </c>
      <c r="C2142" s="2">
        <v>21</v>
      </c>
      <c r="D2142" s="2">
        <v>25648</v>
      </c>
      <c r="E2142" s="17">
        <v>57655.15</v>
      </c>
      <c r="F2142" s="11">
        <v>6.43</v>
      </c>
      <c r="G2142" s="9">
        <v>4019.7</v>
      </c>
      <c r="H2142" s="10">
        <v>0.57099999999999995</v>
      </c>
      <c r="I2142" s="11">
        <v>7.2</v>
      </c>
    </row>
    <row r="2143" spans="1:9" x14ac:dyDescent="0.35">
      <c r="A2143" s="2" t="s">
        <v>242</v>
      </c>
      <c r="B2143" s="3">
        <v>45078</v>
      </c>
      <c r="C2143" s="2">
        <v>17</v>
      </c>
      <c r="D2143" s="2">
        <v>25009</v>
      </c>
      <c r="E2143" s="17">
        <v>57307.02</v>
      </c>
      <c r="F2143" s="11">
        <v>6.39</v>
      </c>
      <c r="G2143" s="9">
        <v>3889.1</v>
      </c>
      <c r="H2143" s="10">
        <v>0.47099999999999997</v>
      </c>
      <c r="I2143" s="11">
        <v>6.9</v>
      </c>
    </row>
    <row r="2144" spans="1:9" x14ac:dyDescent="0.35">
      <c r="A2144" s="2" t="s">
        <v>242</v>
      </c>
      <c r="B2144" s="3">
        <v>45108</v>
      </c>
      <c r="C2144" s="2">
        <v>22</v>
      </c>
      <c r="D2144" s="2">
        <v>27728</v>
      </c>
      <c r="E2144" s="17">
        <v>58547.63</v>
      </c>
      <c r="F2144" s="11">
        <v>6.49</v>
      </c>
      <c r="G2144" s="9">
        <v>4265.5</v>
      </c>
      <c r="H2144" s="10">
        <v>0.27300000000000002</v>
      </c>
      <c r="I2144" s="11">
        <v>6.8</v>
      </c>
    </row>
    <row r="2145" spans="1:9" x14ac:dyDescent="0.35">
      <c r="A2145" s="2" t="s">
        <v>242</v>
      </c>
      <c r="B2145" s="3">
        <v>45139</v>
      </c>
      <c r="C2145" s="2">
        <v>14</v>
      </c>
      <c r="D2145" s="2">
        <v>21907</v>
      </c>
      <c r="E2145" s="17">
        <v>41550.11</v>
      </c>
      <c r="F2145" s="11">
        <v>6.53</v>
      </c>
      <c r="G2145" s="9">
        <v>3363.6</v>
      </c>
      <c r="H2145" s="10">
        <v>0.42899999999999999</v>
      </c>
      <c r="I2145" s="11">
        <v>7</v>
      </c>
    </row>
    <row r="2146" spans="1:9" x14ac:dyDescent="0.35">
      <c r="A2146" s="2" t="s">
        <v>242</v>
      </c>
      <c r="B2146" s="3">
        <v>45170</v>
      </c>
      <c r="C2146" s="2">
        <v>22</v>
      </c>
      <c r="D2146" s="2">
        <v>29107</v>
      </c>
      <c r="E2146" s="17">
        <v>60220.17</v>
      </c>
      <c r="F2146" s="11">
        <v>6.47</v>
      </c>
      <c r="G2146" s="9">
        <v>4507.3</v>
      </c>
      <c r="H2146" s="10">
        <v>0.40899999999999997</v>
      </c>
      <c r="I2146" s="11">
        <v>7.1</v>
      </c>
    </row>
    <row r="2147" spans="1:9" x14ac:dyDescent="0.35">
      <c r="A2147" s="2" t="s">
        <v>242</v>
      </c>
      <c r="B2147" s="3">
        <v>45200</v>
      </c>
      <c r="C2147" s="2">
        <v>21</v>
      </c>
      <c r="D2147" s="2">
        <v>32769</v>
      </c>
      <c r="E2147" s="17">
        <v>70179.960000000006</v>
      </c>
      <c r="F2147" s="11">
        <v>6.44</v>
      </c>
      <c r="G2147" s="9">
        <v>5204.8</v>
      </c>
      <c r="H2147" s="10">
        <v>0.38100000000000001</v>
      </c>
      <c r="I2147" s="11">
        <v>7.5</v>
      </c>
    </row>
    <row r="2148" spans="1:9" x14ac:dyDescent="0.35">
      <c r="A2148" s="2" t="s">
        <v>242</v>
      </c>
      <c r="B2148" s="3">
        <v>45231</v>
      </c>
      <c r="C2148" s="2">
        <v>30</v>
      </c>
      <c r="D2148" s="2">
        <v>36300</v>
      </c>
      <c r="E2148" s="17">
        <v>76614.2</v>
      </c>
      <c r="F2148" s="11">
        <v>6.46</v>
      </c>
      <c r="G2148" s="9">
        <v>5683.4</v>
      </c>
      <c r="H2148" s="10">
        <v>0.36699999999999999</v>
      </c>
      <c r="I2148" s="11">
        <v>6.8</v>
      </c>
    </row>
    <row r="2149" spans="1:9" x14ac:dyDescent="0.35">
      <c r="A2149" s="2" t="s">
        <v>242</v>
      </c>
      <c r="B2149" s="3">
        <v>45261</v>
      </c>
      <c r="C2149" s="2">
        <v>11</v>
      </c>
      <c r="D2149" s="2">
        <v>17800</v>
      </c>
      <c r="E2149" s="17">
        <v>37124.49</v>
      </c>
      <c r="F2149" s="11">
        <v>6.38</v>
      </c>
      <c r="G2149" s="9">
        <v>2900.1</v>
      </c>
      <c r="H2149" s="10">
        <v>0.182</v>
      </c>
      <c r="I2149" s="11">
        <v>6.7</v>
      </c>
    </row>
    <row r="2150" spans="1:9" x14ac:dyDescent="0.35">
      <c r="A2150" s="2" t="s">
        <v>242</v>
      </c>
      <c r="B2150" s="3">
        <v>45292</v>
      </c>
      <c r="C2150" s="2">
        <v>11</v>
      </c>
      <c r="D2150" s="2">
        <v>14486</v>
      </c>
      <c r="E2150" s="17">
        <v>30679.55</v>
      </c>
      <c r="F2150" s="11">
        <v>6.46</v>
      </c>
      <c r="G2150" s="9">
        <v>2232.5</v>
      </c>
      <c r="H2150" s="10">
        <v>0.45500000000000002</v>
      </c>
      <c r="I2150" s="11">
        <v>7.2</v>
      </c>
    </row>
    <row r="2151" spans="1:9" x14ac:dyDescent="0.35">
      <c r="A2151" s="2" t="s">
        <v>242</v>
      </c>
      <c r="B2151" s="3">
        <v>45323</v>
      </c>
      <c r="C2151" s="2">
        <v>14</v>
      </c>
      <c r="D2151" s="2">
        <v>20566</v>
      </c>
      <c r="E2151" s="17">
        <v>42366.82</v>
      </c>
      <c r="F2151" s="11">
        <v>6.28</v>
      </c>
      <c r="G2151" s="9">
        <v>3260.1</v>
      </c>
      <c r="H2151" s="10">
        <v>0.35699999999999998</v>
      </c>
      <c r="I2151" s="11">
        <v>6.9</v>
      </c>
    </row>
    <row r="2152" spans="1:9" x14ac:dyDescent="0.35">
      <c r="A2152" s="2" t="s">
        <v>242</v>
      </c>
      <c r="B2152" s="3">
        <v>45352</v>
      </c>
      <c r="C2152" s="2">
        <v>19</v>
      </c>
      <c r="D2152" s="2">
        <v>28206</v>
      </c>
      <c r="E2152" s="17">
        <v>63550.09</v>
      </c>
      <c r="F2152" s="11">
        <v>6.36</v>
      </c>
      <c r="G2152" s="9">
        <v>4480.8</v>
      </c>
      <c r="H2152" s="10">
        <v>0.52600000000000002</v>
      </c>
      <c r="I2152" s="11">
        <v>7.5</v>
      </c>
    </row>
    <row r="2153" spans="1:9" x14ac:dyDescent="0.35">
      <c r="A2153" s="2" t="s">
        <v>242</v>
      </c>
      <c r="B2153" s="3">
        <v>45383</v>
      </c>
      <c r="C2153" s="2">
        <v>18</v>
      </c>
      <c r="D2153" s="2">
        <v>23013</v>
      </c>
      <c r="E2153" s="17">
        <v>49630.28</v>
      </c>
      <c r="F2153" s="11">
        <v>6.63</v>
      </c>
      <c r="G2153" s="9">
        <v>3490.3</v>
      </c>
      <c r="H2153" s="10">
        <v>0.16700000000000001</v>
      </c>
      <c r="I2153" s="11">
        <v>6.9</v>
      </c>
    </row>
    <row r="2154" spans="1:9" x14ac:dyDescent="0.35">
      <c r="A2154" s="2" t="s">
        <v>242</v>
      </c>
      <c r="B2154" s="3">
        <v>45413</v>
      </c>
      <c r="C2154" s="2">
        <v>14</v>
      </c>
      <c r="D2154" s="2">
        <v>20044</v>
      </c>
      <c r="E2154" s="17">
        <v>43573.760000000002</v>
      </c>
      <c r="F2154" s="11">
        <v>6.73</v>
      </c>
      <c r="G2154" s="9">
        <v>2972.2</v>
      </c>
      <c r="H2154" s="10">
        <v>0.214</v>
      </c>
      <c r="I2154" s="11">
        <v>7</v>
      </c>
    </row>
    <row r="2155" spans="1:9" x14ac:dyDescent="0.35">
      <c r="A2155" s="2" t="s">
        <v>242</v>
      </c>
      <c r="B2155" s="3">
        <v>45444</v>
      </c>
      <c r="C2155" s="2">
        <v>12</v>
      </c>
      <c r="D2155" s="2">
        <v>17328</v>
      </c>
      <c r="E2155" s="17">
        <v>39215.550000000003</v>
      </c>
      <c r="F2155" s="11">
        <v>6.6</v>
      </c>
      <c r="G2155" s="9">
        <v>2667.6</v>
      </c>
      <c r="H2155" s="10">
        <v>0.41699999999999998</v>
      </c>
      <c r="I2155" s="11">
        <v>8.3000000000000007</v>
      </c>
    </row>
    <row r="2156" spans="1:9" x14ac:dyDescent="0.35">
      <c r="A2156" s="2" t="s">
        <v>242</v>
      </c>
      <c r="B2156" s="3">
        <v>45474</v>
      </c>
      <c r="C2156" s="2">
        <v>16</v>
      </c>
      <c r="D2156" s="2">
        <v>22212</v>
      </c>
      <c r="E2156" s="17">
        <v>48373.85</v>
      </c>
      <c r="F2156" s="11">
        <v>6.68</v>
      </c>
      <c r="G2156" s="9">
        <v>3357.6</v>
      </c>
      <c r="H2156" s="10">
        <v>0.438</v>
      </c>
      <c r="I2156" s="11">
        <v>8.1</v>
      </c>
    </row>
    <row r="2157" spans="1:9" x14ac:dyDescent="0.35">
      <c r="A2157" s="2" t="s">
        <v>242</v>
      </c>
      <c r="B2157" s="3">
        <v>45505</v>
      </c>
      <c r="C2157" s="2">
        <v>17</v>
      </c>
      <c r="D2157" s="2">
        <v>17399</v>
      </c>
      <c r="E2157" s="17">
        <v>39598.410000000003</v>
      </c>
      <c r="F2157" s="11">
        <v>6.45</v>
      </c>
      <c r="G2157" s="9">
        <v>2716.9</v>
      </c>
      <c r="H2157" s="10">
        <v>0.17599999999999999</v>
      </c>
      <c r="I2157" s="11">
        <v>7.9</v>
      </c>
    </row>
    <row r="2158" spans="1:9" x14ac:dyDescent="0.35">
      <c r="A2158" s="2" t="s">
        <v>242</v>
      </c>
      <c r="B2158" s="3">
        <v>45536</v>
      </c>
      <c r="C2158" s="2">
        <v>10</v>
      </c>
      <c r="D2158" s="2">
        <v>14499</v>
      </c>
      <c r="E2158" s="17">
        <v>33954.980000000003</v>
      </c>
      <c r="F2158" s="11">
        <v>6.67</v>
      </c>
      <c r="G2158" s="9">
        <v>2205.1</v>
      </c>
      <c r="H2158" s="10">
        <v>0</v>
      </c>
      <c r="I2158" s="11">
        <v>7.2</v>
      </c>
    </row>
    <row r="2159" spans="1:9" x14ac:dyDescent="0.35">
      <c r="A2159" s="2" t="s">
        <v>242</v>
      </c>
      <c r="B2159" s="3">
        <v>45566</v>
      </c>
      <c r="C2159" s="2">
        <v>15</v>
      </c>
      <c r="D2159" s="2">
        <v>19385</v>
      </c>
      <c r="E2159" s="17">
        <v>41802.15</v>
      </c>
      <c r="F2159" s="11">
        <v>6.41</v>
      </c>
      <c r="G2159" s="9">
        <v>2977</v>
      </c>
      <c r="H2159" s="10">
        <v>0.33300000000000002</v>
      </c>
      <c r="I2159" s="11">
        <v>6.9</v>
      </c>
    </row>
    <row r="2160" spans="1:9" x14ac:dyDescent="0.35">
      <c r="A2160" s="2" t="s">
        <v>242</v>
      </c>
      <c r="B2160" s="3">
        <v>45597</v>
      </c>
      <c r="C2160" s="2">
        <v>13</v>
      </c>
      <c r="D2160" s="2">
        <v>21119</v>
      </c>
      <c r="E2160" s="17">
        <v>48914.52</v>
      </c>
      <c r="F2160" s="11">
        <v>6.56</v>
      </c>
      <c r="G2160" s="9">
        <v>3163.7</v>
      </c>
      <c r="H2160" s="10">
        <v>0.53800000000000003</v>
      </c>
      <c r="I2160" s="11">
        <v>5.7</v>
      </c>
    </row>
    <row r="2161" spans="1:9" x14ac:dyDescent="0.35">
      <c r="A2161" s="2" t="s">
        <v>242</v>
      </c>
      <c r="B2161" s="3">
        <v>45627</v>
      </c>
      <c r="C2161" s="2">
        <v>17</v>
      </c>
      <c r="D2161" s="2">
        <v>28512</v>
      </c>
      <c r="E2161" s="17">
        <v>60961.71</v>
      </c>
      <c r="F2161" s="11">
        <v>6.35</v>
      </c>
      <c r="G2161" s="9">
        <v>4439.5</v>
      </c>
      <c r="H2161" s="10">
        <v>0.47099999999999997</v>
      </c>
      <c r="I2161" s="11">
        <v>6.4</v>
      </c>
    </row>
    <row r="2162" spans="1:9" x14ac:dyDescent="0.35">
      <c r="A2162" s="2" t="s">
        <v>244</v>
      </c>
      <c r="B2162" s="3">
        <v>44562</v>
      </c>
      <c r="C2162" s="2">
        <v>27</v>
      </c>
      <c r="D2162" s="2">
        <v>33789</v>
      </c>
      <c r="E2162" s="17">
        <v>70345.25</v>
      </c>
      <c r="F2162" s="11">
        <v>6.56</v>
      </c>
      <c r="G2162" s="9">
        <v>5347.9</v>
      </c>
      <c r="H2162" s="10">
        <v>0.59299999999999997</v>
      </c>
      <c r="I2162" s="11">
        <v>6.1</v>
      </c>
    </row>
    <row r="2163" spans="1:9" x14ac:dyDescent="0.35">
      <c r="A2163" s="2" t="s">
        <v>244</v>
      </c>
      <c r="B2163" s="3">
        <v>44593</v>
      </c>
      <c r="C2163" s="2">
        <v>12</v>
      </c>
      <c r="D2163" s="2">
        <v>14035</v>
      </c>
      <c r="E2163" s="17">
        <v>28152.99</v>
      </c>
      <c r="F2163" s="11">
        <v>6.49</v>
      </c>
      <c r="G2163" s="9">
        <v>2190</v>
      </c>
      <c r="H2163" s="10">
        <v>0.58299999999999996</v>
      </c>
      <c r="I2163" s="11">
        <v>7.1</v>
      </c>
    </row>
    <row r="2164" spans="1:9" x14ac:dyDescent="0.35">
      <c r="A2164" s="2" t="s">
        <v>244</v>
      </c>
      <c r="B2164" s="3">
        <v>44621</v>
      </c>
      <c r="C2164" s="2">
        <v>20</v>
      </c>
      <c r="D2164" s="2">
        <v>32324</v>
      </c>
      <c r="E2164" s="17">
        <v>69785.649999999994</v>
      </c>
      <c r="F2164" s="11">
        <v>6.44</v>
      </c>
      <c r="G2164" s="9">
        <v>5093</v>
      </c>
      <c r="H2164" s="10">
        <v>0.4</v>
      </c>
      <c r="I2164" s="11">
        <v>6.8</v>
      </c>
    </row>
    <row r="2165" spans="1:9" x14ac:dyDescent="0.35">
      <c r="A2165" s="2" t="s">
        <v>244</v>
      </c>
      <c r="B2165" s="3">
        <v>44652</v>
      </c>
      <c r="C2165" s="2">
        <v>19</v>
      </c>
      <c r="D2165" s="2">
        <v>21085</v>
      </c>
      <c r="E2165" s="17">
        <v>46723.88</v>
      </c>
      <c r="F2165" s="11">
        <v>6.29</v>
      </c>
      <c r="G2165" s="9">
        <v>3357.6</v>
      </c>
      <c r="H2165" s="10">
        <v>0.42099999999999999</v>
      </c>
      <c r="I2165" s="11">
        <v>8</v>
      </c>
    </row>
    <row r="2166" spans="1:9" x14ac:dyDescent="0.35">
      <c r="A2166" s="2" t="s">
        <v>244</v>
      </c>
      <c r="B2166" s="3">
        <v>44682</v>
      </c>
      <c r="C2166" s="2">
        <v>25</v>
      </c>
      <c r="D2166" s="2">
        <v>42989</v>
      </c>
      <c r="E2166" s="17">
        <v>84003.03</v>
      </c>
      <c r="F2166" s="11">
        <v>6.48</v>
      </c>
      <c r="G2166" s="9">
        <v>6747.3</v>
      </c>
      <c r="H2166" s="10">
        <v>0.36</v>
      </c>
      <c r="I2166" s="11">
        <v>7.4</v>
      </c>
    </row>
    <row r="2167" spans="1:9" x14ac:dyDescent="0.35">
      <c r="A2167" s="2" t="s">
        <v>244</v>
      </c>
      <c r="B2167" s="3">
        <v>44713</v>
      </c>
      <c r="C2167" s="2">
        <v>20</v>
      </c>
      <c r="D2167" s="2">
        <v>26140</v>
      </c>
      <c r="E2167" s="17">
        <v>52192.63</v>
      </c>
      <c r="F2167" s="11">
        <v>6.6</v>
      </c>
      <c r="G2167" s="9">
        <v>4004.2</v>
      </c>
      <c r="H2167" s="10">
        <v>0.45</v>
      </c>
      <c r="I2167" s="11">
        <v>6.4</v>
      </c>
    </row>
    <row r="2168" spans="1:9" x14ac:dyDescent="0.35">
      <c r="A2168" s="2" t="s">
        <v>244</v>
      </c>
      <c r="B2168" s="3">
        <v>44743</v>
      </c>
      <c r="C2168" s="2">
        <v>16</v>
      </c>
      <c r="D2168" s="2">
        <v>19481</v>
      </c>
      <c r="E2168" s="17">
        <v>43302.49</v>
      </c>
      <c r="F2168" s="11">
        <v>6.69</v>
      </c>
      <c r="G2168" s="9">
        <v>2921.9</v>
      </c>
      <c r="H2168" s="10">
        <v>0.5</v>
      </c>
      <c r="I2168" s="11">
        <v>8.1</v>
      </c>
    </row>
    <row r="2169" spans="1:9" x14ac:dyDescent="0.35">
      <c r="A2169" s="2" t="s">
        <v>244</v>
      </c>
      <c r="B2169" s="3">
        <v>44774</v>
      </c>
      <c r="C2169" s="2">
        <v>15</v>
      </c>
      <c r="D2169" s="2">
        <v>30238</v>
      </c>
      <c r="E2169" s="17">
        <v>68819.649999999994</v>
      </c>
      <c r="F2169" s="11">
        <v>6.48</v>
      </c>
      <c r="G2169" s="9">
        <v>4711.5</v>
      </c>
      <c r="H2169" s="10">
        <v>0.4</v>
      </c>
      <c r="I2169" s="11">
        <v>6.3</v>
      </c>
    </row>
    <row r="2170" spans="1:9" x14ac:dyDescent="0.35">
      <c r="A2170" s="2" t="s">
        <v>244</v>
      </c>
      <c r="B2170" s="3">
        <v>44805</v>
      </c>
      <c r="C2170" s="2">
        <v>12</v>
      </c>
      <c r="D2170" s="2">
        <v>17955</v>
      </c>
      <c r="E2170" s="17">
        <v>39352.980000000003</v>
      </c>
      <c r="F2170" s="11">
        <v>6.44</v>
      </c>
      <c r="G2170" s="9">
        <v>2861.8</v>
      </c>
      <c r="H2170" s="10">
        <v>0.5</v>
      </c>
      <c r="I2170" s="11">
        <v>5.8</v>
      </c>
    </row>
    <row r="2171" spans="1:9" x14ac:dyDescent="0.35">
      <c r="A2171" s="2" t="s">
        <v>244</v>
      </c>
      <c r="B2171" s="3">
        <v>44835</v>
      </c>
      <c r="C2171" s="2">
        <v>11</v>
      </c>
      <c r="D2171" s="2">
        <v>19777</v>
      </c>
      <c r="E2171" s="17">
        <v>42070.65</v>
      </c>
      <c r="F2171" s="11">
        <v>6.66</v>
      </c>
      <c r="G2171" s="9">
        <v>2975.5</v>
      </c>
      <c r="H2171" s="10">
        <v>0.45500000000000002</v>
      </c>
      <c r="I2171" s="11">
        <v>8</v>
      </c>
    </row>
    <row r="2172" spans="1:9" x14ac:dyDescent="0.35">
      <c r="A2172" s="2" t="s">
        <v>244</v>
      </c>
      <c r="B2172" s="3">
        <v>44866</v>
      </c>
      <c r="C2172" s="2">
        <v>14</v>
      </c>
      <c r="D2172" s="2">
        <v>17428</v>
      </c>
      <c r="E2172" s="17">
        <v>37438.94</v>
      </c>
      <c r="F2172" s="11">
        <v>6.45</v>
      </c>
      <c r="G2172" s="9">
        <v>2674.8</v>
      </c>
      <c r="H2172" s="10">
        <v>0.5</v>
      </c>
      <c r="I2172" s="11">
        <v>6</v>
      </c>
    </row>
    <row r="2173" spans="1:9" x14ac:dyDescent="0.35">
      <c r="A2173" s="2" t="s">
        <v>244</v>
      </c>
      <c r="B2173" s="3">
        <v>44896</v>
      </c>
      <c r="C2173" s="2">
        <v>24</v>
      </c>
      <c r="D2173" s="2">
        <v>32634</v>
      </c>
      <c r="E2173" s="17">
        <v>74988.13</v>
      </c>
      <c r="F2173" s="11">
        <v>6.37</v>
      </c>
      <c r="G2173" s="9">
        <v>5189.3</v>
      </c>
      <c r="H2173" s="10">
        <v>0.45800000000000002</v>
      </c>
      <c r="I2173" s="11">
        <v>7.5</v>
      </c>
    </row>
    <row r="2174" spans="1:9" x14ac:dyDescent="0.35">
      <c r="A2174" s="2" t="s">
        <v>244</v>
      </c>
      <c r="B2174" s="3">
        <v>44927</v>
      </c>
      <c r="C2174" s="2">
        <v>25</v>
      </c>
      <c r="D2174" s="2">
        <v>34215</v>
      </c>
      <c r="E2174" s="17">
        <v>73436.77</v>
      </c>
      <c r="F2174" s="11">
        <v>6.44</v>
      </c>
      <c r="G2174" s="9">
        <v>5337.9</v>
      </c>
      <c r="H2174" s="10">
        <v>0.6</v>
      </c>
      <c r="I2174" s="11">
        <v>7.2</v>
      </c>
    </row>
    <row r="2175" spans="1:9" x14ac:dyDescent="0.35">
      <c r="A2175" s="2" t="s">
        <v>244</v>
      </c>
      <c r="B2175" s="3">
        <v>44958</v>
      </c>
      <c r="C2175" s="2">
        <v>14</v>
      </c>
      <c r="D2175" s="2">
        <v>23614</v>
      </c>
      <c r="E2175" s="17">
        <v>50269.37</v>
      </c>
      <c r="F2175" s="11">
        <v>6.51</v>
      </c>
      <c r="G2175" s="9">
        <v>3682.1</v>
      </c>
      <c r="H2175" s="10">
        <v>0.5</v>
      </c>
      <c r="I2175" s="11">
        <v>8.6999999999999993</v>
      </c>
    </row>
    <row r="2176" spans="1:9" x14ac:dyDescent="0.35">
      <c r="A2176" s="2" t="s">
        <v>244</v>
      </c>
      <c r="B2176" s="3">
        <v>44986</v>
      </c>
      <c r="C2176" s="2">
        <v>19</v>
      </c>
      <c r="D2176" s="2">
        <v>32558</v>
      </c>
      <c r="E2176" s="17">
        <v>72962.38</v>
      </c>
      <c r="F2176" s="11">
        <v>6.24</v>
      </c>
      <c r="G2176" s="9">
        <v>5124</v>
      </c>
      <c r="H2176" s="10">
        <v>0.316</v>
      </c>
      <c r="I2176" s="11">
        <v>7</v>
      </c>
    </row>
    <row r="2177" spans="1:9" x14ac:dyDescent="0.35">
      <c r="A2177" s="2" t="s">
        <v>244</v>
      </c>
      <c r="B2177" s="3">
        <v>45017</v>
      </c>
      <c r="C2177" s="2">
        <v>18</v>
      </c>
      <c r="D2177" s="2">
        <v>26960</v>
      </c>
      <c r="E2177" s="17">
        <v>57155.15</v>
      </c>
      <c r="F2177" s="11">
        <v>6.41</v>
      </c>
      <c r="G2177" s="9">
        <v>4192.5</v>
      </c>
      <c r="H2177" s="10">
        <v>0.33300000000000002</v>
      </c>
      <c r="I2177" s="11">
        <v>5.6</v>
      </c>
    </row>
    <row r="2178" spans="1:9" x14ac:dyDescent="0.35">
      <c r="A2178" s="2" t="s">
        <v>244</v>
      </c>
      <c r="B2178" s="3">
        <v>45047</v>
      </c>
      <c r="C2178" s="2">
        <v>9</v>
      </c>
      <c r="D2178" s="2">
        <v>16151</v>
      </c>
      <c r="E2178" s="17">
        <v>35596.769999999997</v>
      </c>
      <c r="F2178" s="11">
        <v>6.5</v>
      </c>
      <c r="G2178" s="9">
        <v>2477.1</v>
      </c>
      <c r="H2178" s="10">
        <v>0.77800000000000002</v>
      </c>
      <c r="I2178" s="11">
        <v>8.3000000000000007</v>
      </c>
    </row>
    <row r="2179" spans="1:9" x14ac:dyDescent="0.35">
      <c r="A2179" s="2" t="s">
        <v>244</v>
      </c>
      <c r="B2179" s="3">
        <v>45078</v>
      </c>
      <c r="C2179" s="2">
        <v>15</v>
      </c>
      <c r="D2179" s="2">
        <v>28660</v>
      </c>
      <c r="E2179" s="17">
        <v>62072.38</v>
      </c>
      <c r="F2179" s="11">
        <v>6.7</v>
      </c>
      <c r="G2179" s="9">
        <v>4313.5</v>
      </c>
      <c r="H2179" s="10">
        <v>0.46700000000000003</v>
      </c>
      <c r="I2179" s="11">
        <v>6.8</v>
      </c>
    </row>
    <row r="2180" spans="1:9" x14ac:dyDescent="0.35">
      <c r="A2180" s="2" t="s">
        <v>244</v>
      </c>
      <c r="B2180" s="3">
        <v>45108</v>
      </c>
      <c r="C2180" s="2">
        <v>14</v>
      </c>
      <c r="D2180" s="2">
        <v>15999</v>
      </c>
      <c r="E2180" s="17">
        <v>39023.49</v>
      </c>
      <c r="F2180" s="11">
        <v>6.62</v>
      </c>
      <c r="G2180" s="9">
        <v>2401.5</v>
      </c>
      <c r="H2180" s="10">
        <v>0.28599999999999998</v>
      </c>
      <c r="I2180" s="11">
        <v>6.2</v>
      </c>
    </row>
    <row r="2181" spans="1:9" x14ac:dyDescent="0.35">
      <c r="A2181" s="2" t="s">
        <v>244</v>
      </c>
      <c r="B2181" s="3">
        <v>45139</v>
      </c>
      <c r="C2181" s="2">
        <v>15</v>
      </c>
      <c r="D2181" s="2">
        <v>20516</v>
      </c>
      <c r="E2181" s="17">
        <v>41606.160000000003</v>
      </c>
      <c r="F2181" s="11">
        <v>6.48</v>
      </c>
      <c r="G2181" s="9">
        <v>3178.1</v>
      </c>
      <c r="H2181" s="10">
        <v>0.4</v>
      </c>
      <c r="I2181" s="11">
        <v>6.3</v>
      </c>
    </row>
    <row r="2182" spans="1:9" x14ac:dyDescent="0.35">
      <c r="A2182" s="2" t="s">
        <v>244</v>
      </c>
      <c r="B2182" s="3">
        <v>45170</v>
      </c>
      <c r="C2182" s="2">
        <v>27</v>
      </c>
      <c r="D2182" s="2">
        <v>36879</v>
      </c>
      <c r="E2182" s="17">
        <v>80016.73</v>
      </c>
      <c r="F2182" s="11">
        <v>6.53</v>
      </c>
      <c r="G2182" s="9">
        <v>5655.1</v>
      </c>
      <c r="H2182" s="10">
        <v>0.29599999999999999</v>
      </c>
      <c r="I2182" s="11">
        <v>7.4</v>
      </c>
    </row>
    <row r="2183" spans="1:9" x14ac:dyDescent="0.35">
      <c r="A2183" s="2" t="s">
        <v>244</v>
      </c>
      <c r="B2183" s="3">
        <v>45200</v>
      </c>
      <c r="C2183" s="2">
        <v>13</v>
      </c>
      <c r="D2183" s="2">
        <v>16753</v>
      </c>
      <c r="E2183" s="17">
        <v>38559.68</v>
      </c>
      <c r="F2183" s="11">
        <v>6.45</v>
      </c>
      <c r="G2183" s="9">
        <v>2605.6999999999998</v>
      </c>
      <c r="H2183" s="10">
        <v>0.53800000000000003</v>
      </c>
      <c r="I2183" s="11">
        <v>8</v>
      </c>
    </row>
    <row r="2184" spans="1:9" x14ac:dyDescent="0.35">
      <c r="A2184" s="2" t="s">
        <v>244</v>
      </c>
      <c r="B2184" s="3">
        <v>45231</v>
      </c>
      <c r="C2184" s="2">
        <v>19</v>
      </c>
      <c r="D2184" s="2">
        <v>24575</v>
      </c>
      <c r="E2184" s="17">
        <v>54123.1</v>
      </c>
      <c r="F2184" s="11">
        <v>6.55</v>
      </c>
      <c r="G2184" s="9">
        <v>3851.7</v>
      </c>
      <c r="H2184" s="10">
        <v>0.42099999999999999</v>
      </c>
      <c r="I2184" s="11">
        <v>6.5</v>
      </c>
    </row>
    <row r="2185" spans="1:9" x14ac:dyDescent="0.35">
      <c r="A2185" s="2" t="s">
        <v>244</v>
      </c>
      <c r="B2185" s="3">
        <v>45261</v>
      </c>
      <c r="C2185" s="2">
        <v>16</v>
      </c>
      <c r="D2185" s="2">
        <v>19839</v>
      </c>
      <c r="E2185" s="17">
        <v>40471.67</v>
      </c>
      <c r="F2185" s="11">
        <v>6.38</v>
      </c>
      <c r="G2185" s="9">
        <v>3105.6</v>
      </c>
      <c r="H2185" s="10">
        <v>0.438</v>
      </c>
      <c r="I2185" s="11">
        <v>7.4</v>
      </c>
    </row>
    <row r="2186" spans="1:9" x14ac:dyDescent="0.35">
      <c r="A2186" s="2" t="s">
        <v>244</v>
      </c>
      <c r="B2186" s="3">
        <v>45292</v>
      </c>
      <c r="C2186" s="2">
        <v>17</v>
      </c>
      <c r="D2186" s="2">
        <v>21276</v>
      </c>
      <c r="E2186" s="17">
        <v>46702.78</v>
      </c>
      <c r="F2186" s="11">
        <v>6.37</v>
      </c>
      <c r="G2186" s="9">
        <v>3378.7</v>
      </c>
      <c r="H2186" s="10">
        <v>0.29399999999999998</v>
      </c>
      <c r="I2186" s="11">
        <v>7.3</v>
      </c>
    </row>
    <row r="2187" spans="1:9" x14ac:dyDescent="0.35">
      <c r="A2187" s="2" t="s">
        <v>244</v>
      </c>
      <c r="B2187" s="3">
        <v>45323</v>
      </c>
      <c r="C2187" s="2">
        <v>17</v>
      </c>
      <c r="D2187" s="2">
        <v>27654</v>
      </c>
      <c r="E2187" s="17">
        <v>56825.04</v>
      </c>
      <c r="F2187" s="11">
        <v>6.57</v>
      </c>
      <c r="G2187" s="9">
        <v>4158.2</v>
      </c>
      <c r="H2187" s="10">
        <v>0.35299999999999998</v>
      </c>
      <c r="I2187" s="11">
        <v>7.3</v>
      </c>
    </row>
    <row r="2188" spans="1:9" x14ac:dyDescent="0.35">
      <c r="A2188" s="2" t="s">
        <v>244</v>
      </c>
      <c r="B2188" s="3">
        <v>45352</v>
      </c>
      <c r="C2188" s="2">
        <v>17</v>
      </c>
      <c r="D2188" s="2">
        <v>22666</v>
      </c>
      <c r="E2188" s="17">
        <v>48448.78</v>
      </c>
      <c r="F2188" s="11">
        <v>6.28</v>
      </c>
      <c r="G2188" s="9">
        <v>3664.7</v>
      </c>
      <c r="H2188" s="10">
        <v>0.52900000000000003</v>
      </c>
      <c r="I2188" s="11">
        <v>8.8000000000000007</v>
      </c>
    </row>
    <row r="2189" spans="1:9" x14ac:dyDescent="0.35">
      <c r="A2189" s="2" t="s">
        <v>244</v>
      </c>
      <c r="B2189" s="3">
        <v>45383</v>
      </c>
      <c r="C2189" s="2">
        <v>18</v>
      </c>
      <c r="D2189" s="2">
        <v>20432</v>
      </c>
      <c r="E2189" s="17">
        <v>44096.18</v>
      </c>
      <c r="F2189" s="11">
        <v>6.57</v>
      </c>
      <c r="G2189" s="9">
        <v>3127.6</v>
      </c>
      <c r="H2189" s="10">
        <v>0.33300000000000002</v>
      </c>
      <c r="I2189" s="11">
        <v>7.8</v>
      </c>
    </row>
    <row r="2190" spans="1:9" x14ac:dyDescent="0.35">
      <c r="A2190" s="2" t="s">
        <v>244</v>
      </c>
      <c r="B2190" s="3">
        <v>45413</v>
      </c>
      <c r="C2190" s="2">
        <v>19</v>
      </c>
      <c r="D2190" s="2">
        <v>25849</v>
      </c>
      <c r="E2190" s="17">
        <v>57080.59</v>
      </c>
      <c r="F2190" s="11">
        <v>6.62</v>
      </c>
      <c r="G2190" s="9">
        <v>3930.7</v>
      </c>
      <c r="H2190" s="10">
        <v>0.63200000000000001</v>
      </c>
      <c r="I2190" s="11">
        <v>6.2</v>
      </c>
    </row>
    <row r="2191" spans="1:9" x14ac:dyDescent="0.35">
      <c r="A2191" s="2" t="s">
        <v>244</v>
      </c>
      <c r="B2191" s="3">
        <v>45444</v>
      </c>
      <c r="C2191" s="2">
        <v>25</v>
      </c>
      <c r="D2191" s="2">
        <v>40618</v>
      </c>
      <c r="E2191" s="17">
        <v>90925.09</v>
      </c>
      <c r="F2191" s="11">
        <v>6.47</v>
      </c>
      <c r="G2191" s="9">
        <v>6333.5</v>
      </c>
      <c r="H2191" s="10">
        <v>0.28000000000000003</v>
      </c>
      <c r="I2191" s="11">
        <v>7.1</v>
      </c>
    </row>
    <row r="2192" spans="1:9" x14ac:dyDescent="0.35">
      <c r="A2192" s="2" t="s">
        <v>244</v>
      </c>
      <c r="B2192" s="3">
        <v>45474</v>
      </c>
      <c r="C2192" s="2">
        <v>19</v>
      </c>
      <c r="D2192" s="2">
        <v>23993</v>
      </c>
      <c r="E2192" s="17">
        <v>54231.27</v>
      </c>
      <c r="F2192" s="11">
        <v>6.69</v>
      </c>
      <c r="G2192" s="9">
        <v>3624.6</v>
      </c>
      <c r="H2192" s="10">
        <v>0.63200000000000001</v>
      </c>
      <c r="I2192" s="11">
        <v>8.1999999999999993</v>
      </c>
    </row>
    <row r="2193" spans="1:9" x14ac:dyDescent="0.35">
      <c r="A2193" s="2" t="s">
        <v>244</v>
      </c>
      <c r="B2193" s="3">
        <v>45505</v>
      </c>
      <c r="C2193" s="2">
        <v>19</v>
      </c>
      <c r="D2193" s="2">
        <v>26757</v>
      </c>
      <c r="E2193" s="17">
        <v>54554.38</v>
      </c>
      <c r="F2193" s="11">
        <v>6.3</v>
      </c>
      <c r="G2193" s="9">
        <v>4366.8</v>
      </c>
      <c r="H2193" s="10">
        <v>0.42099999999999999</v>
      </c>
      <c r="I2193" s="11">
        <v>7.4</v>
      </c>
    </row>
    <row r="2194" spans="1:9" x14ac:dyDescent="0.35">
      <c r="A2194" s="2" t="s">
        <v>244</v>
      </c>
      <c r="B2194" s="3">
        <v>45536</v>
      </c>
      <c r="C2194" s="2">
        <v>22</v>
      </c>
      <c r="D2194" s="2">
        <v>32628</v>
      </c>
      <c r="E2194" s="17">
        <v>69177.289999999994</v>
      </c>
      <c r="F2194" s="11">
        <v>6.68</v>
      </c>
      <c r="G2194" s="9">
        <v>4846.3</v>
      </c>
      <c r="H2194" s="10">
        <v>0.45500000000000002</v>
      </c>
      <c r="I2194" s="11">
        <v>6.1</v>
      </c>
    </row>
    <row r="2195" spans="1:9" x14ac:dyDescent="0.35">
      <c r="A2195" s="2" t="s">
        <v>244</v>
      </c>
      <c r="B2195" s="3">
        <v>45566</v>
      </c>
      <c r="C2195" s="2">
        <v>24</v>
      </c>
      <c r="D2195" s="2">
        <v>32880</v>
      </c>
      <c r="E2195" s="17">
        <v>67620.31</v>
      </c>
      <c r="F2195" s="11">
        <v>6.39</v>
      </c>
      <c r="G2195" s="9">
        <v>5145.3</v>
      </c>
      <c r="H2195" s="10">
        <v>0.25</v>
      </c>
      <c r="I2195" s="11">
        <v>7.7</v>
      </c>
    </row>
    <row r="2196" spans="1:9" x14ac:dyDescent="0.35">
      <c r="A2196" s="2" t="s">
        <v>244</v>
      </c>
      <c r="B2196" s="3">
        <v>45597</v>
      </c>
      <c r="C2196" s="2">
        <v>16</v>
      </c>
      <c r="D2196" s="2">
        <v>23611</v>
      </c>
      <c r="E2196" s="17">
        <v>47098.68</v>
      </c>
      <c r="F2196" s="11">
        <v>6.58</v>
      </c>
      <c r="G2196" s="9">
        <v>3551.9</v>
      </c>
      <c r="H2196" s="10">
        <v>0.188</v>
      </c>
      <c r="I2196" s="11">
        <v>7.1</v>
      </c>
    </row>
    <row r="2197" spans="1:9" x14ac:dyDescent="0.35">
      <c r="A2197" s="2" t="s">
        <v>244</v>
      </c>
      <c r="B2197" s="3">
        <v>45627</v>
      </c>
      <c r="C2197" s="2">
        <v>17</v>
      </c>
      <c r="D2197" s="2">
        <v>23149</v>
      </c>
      <c r="E2197" s="17">
        <v>50444.39</v>
      </c>
      <c r="F2197" s="11">
        <v>6.45</v>
      </c>
      <c r="G2197" s="9">
        <v>3658.8</v>
      </c>
      <c r="H2197" s="10">
        <v>0.35299999999999998</v>
      </c>
      <c r="I2197" s="11">
        <v>7.1</v>
      </c>
    </row>
    <row r="2198" spans="1:9" x14ac:dyDescent="0.35">
      <c r="A2198" s="2" t="s">
        <v>248</v>
      </c>
      <c r="B2198" s="3">
        <v>44562</v>
      </c>
      <c r="C2198" s="2">
        <v>23</v>
      </c>
      <c r="D2198" s="2">
        <v>30227</v>
      </c>
      <c r="E2198" s="17">
        <v>65758.28</v>
      </c>
      <c r="F2198" s="11">
        <v>6.66</v>
      </c>
      <c r="G2198" s="9">
        <v>4685.8999999999996</v>
      </c>
      <c r="H2198" s="10">
        <v>0.56499999999999995</v>
      </c>
      <c r="I2198" s="11">
        <v>6.8</v>
      </c>
    </row>
    <row r="2199" spans="1:9" x14ac:dyDescent="0.35">
      <c r="A2199" s="2" t="s">
        <v>248</v>
      </c>
      <c r="B2199" s="3">
        <v>44593</v>
      </c>
      <c r="C2199" s="2">
        <v>20</v>
      </c>
      <c r="D2199" s="2">
        <v>27899</v>
      </c>
      <c r="E2199" s="17">
        <v>57386.3</v>
      </c>
      <c r="F2199" s="11">
        <v>6.24</v>
      </c>
      <c r="G2199" s="9">
        <v>4529.1000000000004</v>
      </c>
      <c r="H2199" s="10">
        <v>0.4</v>
      </c>
      <c r="I2199" s="11">
        <v>7</v>
      </c>
    </row>
    <row r="2200" spans="1:9" x14ac:dyDescent="0.35">
      <c r="A2200" s="2" t="s">
        <v>248</v>
      </c>
      <c r="B2200" s="3">
        <v>44621</v>
      </c>
      <c r="C2200" s="2">
        <v>19</v>
      </c>
      <c r="D2200" s="2">
        <v>26191</v>
      </c>
      <c r="E2200" s="17">
        <v>55251.199999999997</v>
      </c>
      <c r="F2200" s="11">
        <v>6.69</v>
      </c>
      <c r="G2200" s="9">
        <v>3925.3</v>
      </c>
      <c r="H2200" s="10">
        <v>0.26300000000000001</v>
      </c>
      <c r="I2200" s="11">
        <v>6.9</v>
      </c>
    </row>
    <row r="2201" spans="1:9" x14ac:dyDescent="0.35">
      <c r="A2201" s="2" t="s">
        <v>248</v>
      </c>
      <c r="B2201" s="3">
        <v>44652</v>
      </c>
      <c r="C2201" s="2">
        <v>11</v>
      </c>
      <c r="D2201" s="2">
        <v>17566</v>
      </c>
      <c r="E2201" s="17">
        <v>43181.35</v>
      </c>
      <c r="F2201" s="11">
        <v>6.27</v>
      </c>
      <c r="G2201" s="9">
        <v>2822.5</v>
      </c>
      <c r="H2201" s="10">
        <v>0.36399999999999999</v>
      </c>
      <c r="I2201" s="11">
        <v>8.6</v>
      </c>
    </row>
    <row r="2202" spans="1:9" x14ac:dyDescent="0.35">
      <c r="A2202" s="2" t="s">
        <v>248</v>
      </c>
      <c r="B2202" s="3">
        <v>44682</v>
      </c>
      <c r="C2202" s="2">
        <v>21</v>
      </c>
      <c r="D2202" s="2">
        <v>25440</v>
      </c>
      <c r="E2202" s="17">
        <v>53610.080000000002</v>
      </c>
      <c r="F2202" s="11">
        <v>6.47</v>
      </c>
      <c r="G2202" s="9">
        <v>4029.8</v>
      </c>
      <c r="H2202" s="10">
        <v>0.42899999999999999</v>
      </c>
      <c r="I2202" s="11">
        <v>7.4</v>
      </c>
    </row>
    <row r="2203" spans="1:9" x14ac:dyDescent="0.35">
      <c r="A2203" s="2" t="s">
        <v>248</v>
      </c>
      <c r="B2203" s="3">
        <v>44713</v>
      </c>
      <c r="C2203" s="2">
        <v>24</v>
      </c>
      <c r="D2203" s="2">
        <v>37454</v>
      </c>
      <c r="E2203" s="17">
        <v>77935.600000000006</v>
      </c>
      <c r="F2203" s="11">
        <v>6.5</v>
      </c>
      <c r="G2203" s="9">
        <v>5845.3</v>
      </c>
      <c r="H2203" s="10">
        <v>0.45800000000000002</v>
      </c>
      <c r="I2203" s="11">
        <v>7.6</v>
      </c>
    </row>
    <row r="2204" spans="1:9" x14ac:dyDescent="0.35">
      <c r="A2204" s="2" t="s">
        <v>248</v>
      </c>
      <c r="B2204" s="3">
        <v>44743</v>
      </c>
      <c r="C2204" s="2">
        <v>20</v>
      </c>
      <c r="D2204" s="2">
        <v>21150</v>
      </c>
      <c r="E2204" s="17">
        <v>43996.53</v>
      </c>
      <c r="F2204" s="11">
        <v>6.56</v>
      </c>
      <c r="G2204" s="9">
        <v>3266.8</v>
      </c>
      <c r="H2204" s="10">
        <v>0.5</v>
      </c>
      <c r="I2204" s="11">
        <v>7.7</v>
      </c>
    </row>
    <row r="2205" spans="1:9" x14ac:dyDescent="0.35">
      <c r="A2205" s="2" t="s">
        <v>248</v>
      </c>
      <c r="B2205" s="3">
        <v>44774</v>
      </c>
      <c r="C2205" s="2">
        <v>13</v>
      </c>
      <c r="D2205" s="2">
        <v>20626</v>
      </c>
      <c r="E2205" s="17">
        <v>45928.01</v>
      </c>
      <c r="F2205" s="11">
        <v>6.51</v>
      </c>
      <c r="G2205" s="9">
        <v>3221.7</v>
      </c>
      <c r="H2205" s="10">
        <v>0.61499999999999999</v>
      </c>
      <c r="I2205" s="11">
        <v>7.1</v>
      </c>
    </row>
    <row r="2206" spans="1:9" x14ac:dyDescent="0.35">
      <c r="A2206" s="2" t="s">
        <v>248</v>
      </c>
      <c r="B2206" s="3">
        <v>44805</v>
      </c>
      <c r="C2206" s="2">
        <v>7</v>
      </c>
      <c r="D2206" s="2">
        <v>10886</v>
      </c>
      <c r="E2206" s="17">
        <v>19870.810000000001</v>
      </c>
      <c r="F2206" s="11">
        <v>6.65</v>
      </c>
      <c r="G2206" s="9">
        <v>1670.8</v>
      </c>
      <c r="H2206" s="10">
        <v>0.57099999999999995</v>
      </c>
      <c r="I2206" s="11">
        <v>6.6</v>
      </c>
    </row>
    <row r="2207" spans="1:9" x14ac:dyDescent="0.35">
      <c r="A2207" s="2" t="s">
        <v>248</v>
      </c>
      <c r="B2207" s="3">
        <v>44835</v>
      </c>
      <c r="C2207" s="2">
        <v>15</v>
      </c>
      <c r="D2207" s="2">
        <v>22585</v>
      </c>
      <c r="E2207" s="17">
        <v>49311.78</v>
      </c>
      <c r="F2207" s="11">
        <v>6.51</v>
      </c>
      <c r="G2207" s="9">
        <v>3542.4</v>
      </c>
      <c r="H2207" s="10">
        <v>0.46700000000000003</v>
      </c>
      <c r="I2207" s="11">
        <v>6.7</v>
      </c>
    </row>
    <row r="2208" spans="1:9" x14ac:dyDescent="0.35">
      <c r="A2208" s="2" t="s">
        <v>248</v>
      </c>
      <c r="B2208" s="3">
        <v>44866</v>
      </c>
      <c r="C2208" s="2">
        <v>25</v>
      </c>
      <c r="D2208" s="2">
        <v>37113</v>
      </c>
      <c r="E2208" s="17">
        <v>80412.210000000006</v>
      </c>
      <c r="F2208" s="11">
        <v>6.45</v>
      </c>
      <c r="G2208" s="9">
        <v>5827.2</v>
      </c>
      <c r="H2208" s="10">
        <v>0.44</v>
      </c>
      <c r="I2208" s="11">
        <v>7</v>
      </c>
    </row>
    <row r="2209" spans="1:9" x14ac:dyDescent="0.35">
      <c r="A2209" s="2" t="s">
        <v>248</v>
      </c>
      <c r="B2209" s="3">
        <v>44896</v>
      </c>
      <c r="C2209" s="2">
        <v>17</v>
      </c>
      <c r="D2209" s="2">
        <v>26740</v>
      </c>
      <c r="E2209" s="17">
        <v>59507.71</v>
      </c>
      <c r="F2209" s="11">
        <v>6.51</v>
      </c>
      <c r="G2209" s="9">
        <v>4094.7</v>
      </c>
      <c r="H2209" s="10">
        <v>0.58799999999999997</v>
      </c>
      <c r="I2209" s="11">
        <v>7.3</v>
      </c>
    </row>
    <row r="2210" spans="1:9" x14ac:dyDescent="0.35">
      <c r="A2210" s="2" t="s">
        <v>248</v>
      </c>
      <c r="B2210" s="3">
        <v>44927</v>
      </c>
      <c r="C2210" s="2">
        <v>13</v>
      </c>
      <c r="D2210" s="2">
        <v>17132</v>
      </c>
      <c r="E2210" s="17">
        <v>36364.550000000003</v>
      </c>
      <c r="F2210" s="11">
        <v>6.29</v>
      </c>
      <c r="G2210" s="9">
        <v>2722.4</v>
      </c>
      <c r="H2210" s="10">
        <v>0.308</v>
      </c>
      <c r="I2210" s="11">
        <v>7.6</v>
      </c>
    </row>
    <row r="2211" spans="1:9" x14ac:dyDescent="0.35">
      <c r="A2211" s="2" t="s">
        <v>248</v>
      </c>
      <c r="B2211" s="3">
        <v>44958</v>
      </c>
      <c r="C2211" s="2">
        <v>13</v>
      </c>
      <c r="D2211" s="2">
        <v>17460</v>
      </c>
      <c r="E2211" s="17">
        <v>37191.46</v>
      </c>
      <c r="F2211" s="11">
        <v>6.24</v>
      </c>
      <c r="G2211" s="9">
        <v>2835.3</v>
      </c>
      <c r="H2211" s="10">
        <v>0.38500000000000001</v>
      </c>
      <c r="I2211" s="11">
        <v>7.1</v>
      </c>
    </row>
    <row r="2212" spans="1:9" x14ac:dyDescent="0.35">
      <c r="A2212" s="2" t="s">
        <v>248</v>
      </c>
      <c r="B2212" s="3">
        <v>44986</v>
      </c>
      <c r="C2212" s="2">
        <v>28</v>
      </c>
      <c r="D2212" s="2">
        <v>37817</v>
      </c>
      <c r="E2212" s="17">
        <v>79969.5</v>
      </c>
      <c r="F2212" s="11">
        <v>6.42</v>
      </c>
      <c r="G2212" s="9">
        <v>5843.1</v>
      </c>
      <c r="H2212" s="10">
        <v>0.39300000000000002</v>
      </c>
      <c r="I2212" s="11">
        <v>6.8</v>
      </c>
    </row>
    <row r="2213" spans="1:9" x14ac:dyDescent="0.35">
      <c r="A2213" s="2" t="s">
        <v>248</v>
      </c>
      <c r="B2213" s="3">
        <v>45017</v>
      </c>
      <c r="C2213" s="2">
        <v>22</v>
      </c>
      <c r="D2213" s="2">
        <v>33967</v>
      </c>
      <c r="E2213" s="17">
        <v>76120.509999999995</v>
      </c>
      <c r="F2213" s="11">
        <v>6.34</v>
      </c>
      <c r="G2213" s="9">
        <v>5433.3</v>
      </c>
      <c r="H2213" s="10">
        <v>0.59099999999999997</v>
      </c>
      <c r="I2213" s="11">
        <v>7.1</v>
      </c>
    </row>
    <row r="2214" spans="1:9" x14ac:dyDescent="0.35">
      <c r="A2214" s="2" t="s">
        <v>248</v>
      </c>
      <c r="B2214" s="3">
        <v>45047</v>
      </c>
      <c r="C2214" s="2">
        <v>19</v>
      </c>
      <c r="D2214" s="2">
        <v>24859</v>
      </c>
      <c r="E2214" s="17">
        <v>53491.96</v>
      </c>
      <c r="F2214" s="11">
        <v>6.52</v>
      </c>
      <c r="G2214" s="9">
        <v>3850.8</v>
      </c>
      <c r="H2214" s="10">
        <v>0.42099999999999999</v>
      </c>
      <c r="I2214" s="11">
        <v>6.7</v>
      </c>
    </row>
    <row r="2215" spans="1:9" x14ac:dyDescent="0.35">
      <c r="A2215" s="2" t="s">
        <v>248</v>
      </c>
      <c r="B2215" s="3">
        <v>45078</v>
      </c>
      <c r="C2215" s="2">
        <v>24</v>
      </c>
      <c r="D2215" s="2">
        <v>33925</v>
      </c>
      <c r="E2215" s="17">
        <v>70166.16</v>
      </c>
      <c r="F2215" s="11">
        <v>6.54</v>
      </c>
      <c r="G2215" s="9">
        <v>5129</v>
      </c>
      <c r="H2215" s="10">
        <v>0.33300000000000002</v>
      </c>
      <c r="I2215" s="11">
        <v>6.2</v>
      </c>
    </row>
    <row r="2216" spans="1:9" x14ac:dyDescent="0.35">
      <c r="A2216" s="2" t="s">
        <v>248</v>
      </c>
      <c r="B2216" s="3">
        <v>45108</v>
      </c>
      <c r="C2216" s="2">
        <v>16</v>
      </c>
      <c r="D2216" s="2">
        <v>19646</v>
      </c>
      <c r="E2216" s="17">
        <v>39694.300000000003</v>
      </c>
      <c r="F2216" s="11">
        <v>6.57</v>
      </c>
      <c r="G2216" s="9">
        <v>3065.8</v>
      </c>
      <c r="H2216" s="10">
        <v>0.625</v>
      </c>
      <c r="I2216" s="11">
        <v>5.9</v>
      </c>
    </row>
    <row r="2217" spans="1:9" x14ac:dyDescent="0.35">
      <c r="A2217" s="2" t="s">
        <v>248</v>
      </c>
      <c r="B2217" s="3">
        <v>45139</v>
      </c>
      <c r="C2217" s="2">
        <v>18</v>
      </c>
      <c r="D2217" s="2">
        <v>24334</v>
      </c>
      <c r="E2217" s="17">
        <v>53122.77</v>
      </c>
      <c r="F2217" s="11">
        <v>6.26</v>
      </c>
      <c r="G2217" s="9">
        <v>3905.1</v>
      </c>
      <c r="H2217" s="10">
        <v>0.33300000000000002</v>
      </c>
      <c r="I2217" s="11">
        <v>6.5</v>
      </c>
    </row>
    <row r="2218" spans="1:9" x14ac:dyDescent="0.35">
      <c r="A2218" s="2" t="s">
        <v>248</v>
      </c>
      <c r="B2218" s="3">
        <v>45170</v>
      </c>
      <c r="C2218" s="2">
        <v>29</v>
      </c>
      <c r="D2218" s="2">
        <v>46111</v>
      </c>
      <c r="E2218" s="17">
        <v>101468.67</v>
      </c>
      <c r="F2218" s="11">
        <v>6.47</v>
      </c>
      <c r="G2218" s="9">
        <v>7154.9</v>
      </c>
      <c r="H2218" s="10">
        <v>0.34499999999999997</v>
      </c>
      <c r="I2218" s="11">
        <v>6</v>
      </c>
    </row>
    <row r="2219" spans="1:9" x14ac:dyDescent="0.35">
      <c r="A2219" s="2" t="s">
        <v>248</v>
      </c>
      <c r="B2219" s="3">
        <v>45200</v>
      </c>
      <c r="C2219" s="2">
        <v>13</v>
      </c>
      <c r="D2219" s="2">
        <v>21709</v>
      </c>
      <c r="E2219" s="17">
        <v>51215.360000000001</v>
      </c>
      <c r="F2219" s="11">
        <v>6.73</v>
      </c>
      <c r="G2219" s="9">
        <v>3248.1</v>
      </c>
      <c r="H2219" s="10">
        <v>0.46200000000000002</v>
      </c>
      <c r="I2219" s="11">
        <v>6.6</v>
      </c>
    </row>
    <row r="2220" spans="1:9" x14ac:dyDescent="0.35">
      <c r="A2220" s="2" t="s">
        <v>248</v>
      </c>
      <c r="B2220" s="3">
        <v>45231</v>
      </c>
      <c r="C2220" s="2">
        <v>14</v>
      </c>
      <c r="D2220" s="2">
        <v>17909</v>
      </c>
      <c r="E2220" s="17">
        <v>41461.93</v>
      </c>
      <c r="F2220" s="11">
        <v>6.48</v>
      </c>
      <c r="G2220" s="9">
        <v>2777.6</v>
      </c>
      <c r="H2220" s="10">
        <v>0.214</v>
      </c>
      <c r="I2220" s="11">
        <v>5.6</v>
      </c>
    </row>
    <row r="2221" spans="1:9" x14ac:dyDescent="0.35">
      <c r="A2221" s="2" t="s">
        <v>248</v>
      </c>
      <c r="B2221" s="3">
        <v>45261</v>
      </c>
      <c r="C2221" s="2">
        <v>21</v>
      </c>
      <c r="D2221" s="2">
        <v>29650</v>
      </c>
      <c r="E2221" s="17">
        <v>68148.149999999994</v>
      </c>
      <c r="F2221" s="11">
        <v>6.49</v>
      </c>
      <c r="G2221" s="9">
        <v>4581.5</v>
      </c>
      <c r="H2221" s="10">
        <v>0.47599999999999998</v>
      </c>
      <c r="I2221" s="11">
        <v>8.6</v>
      </c>
    </row>
    <row r="2222" spans="1:9" x14ac:dyDescent="0.35">
      <c r="A2222" s="2" t="s">
        <v>248</v>
      </c>
      <c r="B2222" s="3">
        <v>45292</v>
      </c>
      <c r="C2222" s="2">
        <v>16</v>
      </c>
      <c r="D2222" s="2">
        <v>26289</v>
      </c>
      <c r="E2222" s="17">
        <v>56529.37</v>
      </c>
      <c r="F2222" s="11">
        <v>6.42</v>
      </c>
      <c r="G2222" s="9">
        <v>4128</v>
      </c>
      <c r="H2222" s="10">
        <v>0.375</v>
      </c>
      <c r="I2222" s="11">
        <v>6</v>
      </c>
    </row>
    <row r="2223" spans="1:9" x14ac:dyDescent="0.35">
      <c r="A2223" s="2" t="s">
        <v>248</v>
      </c>
      <c r="B2223" s="3">
        <v>45323</v>
      </c>
      <c r="C2223" s="2">
        <v>13</v>
      </c>
      <c r="D2223" s="2">
        <v>17598</v>
      </c>
      <c r="E2223" s="17">
        <v>40355.1</v>
      </c>
      <c r="F2223" s="11">
        <v>6.41</v>
      </c>
      <c r="G2223" s="9">
        <v>2774.2</v>
      </c>
      <c r="H2223" s="10">
        <v>0.46200000000000002</v>
      </c>
      <c r="I2223" s="11">
        <v>6.6</v>
      </c>
    </row>
    <row r="2224" spans="1:9" x14ac:dyDescent="0.35">
      <c r="A2224" s="2" t="s">
        <v>248</v>
      </c>
      <c r="B2224" s="3">
        <v>45352</v>
      </c>
      <c r="C2224" s="2">
        <v>19</v>
      </c>
      <c r="D2224" s="2">
        <v>24319</v>
      </c>
      <c r="E2224" s="17">
        <v>57522.85</v>
      </c>
      <c r="F2224" s="11">
        <v>6.5</v>
      </c>
      <c r="G2224" s="9">
        <v>3736.6</v>
      </c>
      <c r="H2224" s="10">
        <v>0.47399999999999998</v>
      </c>
      <c r="I2224" s="11">
        <v>6.6</v>
      </c>
    </row>
    <row r="2225" spans="1:9" x14ac:dyDescent="0.35">
      <c r="A2225" s="2" t="s">
        <v>248</v>
      </c>
      <c r="B2225" s="3">
        <v>45383</v>
      </c>
      <c r="C2225" s="2">
        <v>14</v>
      </c>
      <c r="D2225" s="2">
        <v>24100</v>
      </c>
      <c r="E2225" s="17">
        <v>49602.7</v>
      </c>
      <c r="F2225" s="11">
        <v>6.5</v>
      </c>
      <c r="G2225" s="9">
        <v>3781.5</v>
      </c>
      <c r="H2225" s="10">
        <v>0.5</v>
      </c>
      <c r="I2225" s="11">
        <v>7</v>
      </c>
    </row>
    <row r="2226" spans="1:9" x14ac:dyDescent="0.35">
      <c r="A2226" s="2" t="s">
        <v>248</v>
      </c>
      <c r="B2226" s="3">
        <v>45413</v>
      </c>
      <c r="C2226" s="2">
        <v>13</v>
      </c>
      <c r="D2226" s="2">
        <v>14620</v>
      </c>
      <c r="E2226" s="17">
        <v>32000.86</v>
      </c>
      <c r="F2226" s="11">
        <v>6.65</v>
      </c>
      <c r="G2226" s="9">
        <v>2279.1</v>
      </c>
      <c r="H2226" s="10">
        <v>0.46200000000000002</v>
      </c>
      <c r="I2226" s="11">
        <v>6.4</v>
      </c>
    </row>
    <row r="2227" spans="1:9" x14ac:dyDescent="0.35">
      <c r="A2227" s="2" t="s">
        <v>248</v>
      </c>
      <c r="B2227" s="3">
        <v>45444</v>
      </c>
      <c r="C2227" s="2">
        <v>22</v>
      </c>
      <c r="D2227" s="2">
        <v>27738</v>
      </c>
      <c r="E2227" s="17">
        <v>57504.24</v>
      </c>
      <c r="F2227" s="11">
        <v>6.7</v>
      </c>
      <c r="G2227" s="9">
        <v>4104.3999999999996</v>
      </c>
      <c r="H2227" s="10">
        <v>0.36399999999999999</v>
      </c>
      <c r="I2227" s="11">
        <v>7</v>
      </c>
    </row>
    <row r="2228" spans="1:9" x14ac:dyDescent="0.35">
      <c r="A2228" s="2" t="s">
        <v>248</v>
      </c>
      <c r="B2228" s="3">
        <v>45474</v>
      </c>
      <c r="C2228" s="2">
        <v>16</v>
      </c>
      <c r="D2228" s="2">
        <v>24181</v>
      </c>
      <c r="E2228" s="17">
        <v>50608.34</v>
      </c>
      <c r="F2228" s="11">
        <v>6.7</v>
      </c>
      <c r="G2228" s="9">
        <v>3584.7</v>
      </c>
      <c r="H2228" s="10">
        <v>0.68799999999999994</v>
      </c>
      <c r="I2228" s="11">
        <v>5.2</v>
      </c>
    </row>
    <row r="2229" spans="1:9" x14ac:dyDescent="0.35">
      <c r="A2229" s="2" t="s">
        <v>248</v>
      </c>
      <c r="B2229" s="3">
        <v>45505</v>
      </c>
      <c r="C2229" s="2">
        <v>21</v>
      </c>
      <c r="D2229" s="2">
        <v>22135</v>
      </c>
      <c r="E2229" s="17">
        <v>49628.89</v>
      </c>
      <c r="F2229" s="11">
        <v>6.39</v>
      </c>
      <c r="G2229" s="9">
        <v>3625</v>
      </c>
      <c r="H2229" s="10">
        <v>0.42899999999999999</v>
      </c>
      <c r="I2229" s="11">
        <v>7.3</v>
      </c>
    </row>
    <row r="2230" spans="1:9" x14ac:dyDescent="0.35">
      <c r="A2230" s="2" t="s">
        <v>248</v>
      </c>
      <c r="B2230" s="3">
        <v>45536</v>
      </c>
      <c r="C2230" s="2">
        <v>21</v>
      </c>
      <c r="D2230" s="2">
        <v>32165</v>
      </c>
      <c r="E2230" s="17">
        <v>69314.39</v>
      </c>
      <c r="F2230" s="11">
        <v>6.6</v>
      </c>
      <c r="G2230" s="9">
        <v>4993.3999999999996</v>
      </c>
      <c r="H2230" s="10">
        <v>0.57099999999999995</v>
      </c>
      <c r="I2230" s="11">
        <v>7.2</v>
      </c>
    </row>
    <row r="2231" spans="1:9" x14ac:dyDescent="0.35">
      <c r="A2231" s="2" t="s">
        <v>248</v>
      </c>
      <c r="B2231" s="3">
        <v>45566</v>
      </c>
      <c r="C2231" s="2">
        <v>14</v>
      </c>
      <c r="D2231" s="2">
        <v>18637</v>
      </c>
      <c r="E2231" s="17">
        <v>40156.82</v>
      </c>
      <c r="F2231" s="11">
        <v>6.57</v>
      </c>
      <c r="G2231" s="9">
        <v>2839</v>
      </c>
      <c r="H2231" s="10">
        <v>0.28599999999999998</v>
      </c>
      <c r="I2231" s="11">
        <v>6.7</v>
      </c>
    </row>
    <row r="2232" spans="1:9" x14ac:dyDescent="0.35">
      <c r="A2232" s="2" t="s">
        <v>248</v>
      </c>
      <c r="B2232" s="3">
        <v>45597</v>
      </c>
      <c r="C2232" s="2">
        <v>17</v>
      </c>
      <c r="D2232" s="2">
        <v>22023</v>
      </c>
      <c r="E2232" s="17">
        <v>44376.07</v>
      </c>
      <c r="F2232" s="11">
        <v>6.63</v>
      </c>
      <c r="G2232" s="9">
        <v>3338.9</v>
      </c>
      <c r="H2232" s="10">
        <v>0.41199999999999998</v>
      </c>
      <c r="I2232" s="11">
        <v>5.5</v>
      </c>
    </row>
    <row r="2233" spans="1:9" x14ac:dyDescent="0.35">
      <c r="A2233" s="2" t="s">
        <v>248</v>
      </c>
      <c r="B2233" s="3">
        <v>45627</v>
      </c>
      <c r="C2233" s="2">
        <v>16</v>
      </c>
      <c r="D2233" s="2">
        <v>19110</v>
      </c>
      <c r="E2233" s="17">
        <v>41704.94</v>
      </c>
      <c r="F2233" s="11">
        <v>6.29</v>
      </c>
      <c r="G2233" s="9">
        <v>3055.5</v>
      </c>
      <c r="H2233" s="10">
        <v>0.438</v>
      </c>
      <c r="I2233" s="11">
        <v>7</v>
      </c>
    </row>
    <row r="2234" spans="1:9" x14ac:dyDescent="0.35">
      <c r="A2234" s="2" t="s">
        <v>251</v>
      </c>
      <c r="B2234" s="3">
        <v>44562</v>
      </c>
      <c r="C2234" s="2">
        <v>13</v>
      </c>
      <c r="D2234" s="2">
        <v>20829</v>
      </c>
      <c r="E2234" s="17">
        <v>42304.21</v>
      </c>
      <c r="F2234" s="11">
        <v>6.42</v>
      </c>
      <c r="G2234" s="9">
        <v>3297.1</v>
      </c>
      <c r="H2234" s="10">
        <v>0.46200000000000002</v>
      </c>
      <c r="I2234" s="11">
        <v>7</v>
      </c>
    </row>
    <row r="2235" spans="1:9" x14ac:dyDescent="0.35">
      <c r="A2235" s="2" t="s">
        <v>251</v>
      </c>
      <c r="B2235" s="3">
        <v>44593</v>
      </c>
      <c r="C2235" s="2">
        <v>20</v>
      </c>
      <c r="D2235" s="2">
        <v>25521</v>
      </c>
      <c r="E2235" s="17">
        <v>55998.67</v>
      </c>
      <c r="F2235" s="11">
        <v>6.68</v>
      </c>
      <c r="G2235" s="9">
        <v>3889</v>
      </c>
      <c r="H2235" s="10">
        <v>0.35</v>
      </c>
      <c r="I2235" s="11">
        <v>7.4</v>
      </c>
    </row>
    <row r="2236" spans="1:9" x14ac:dyDescent="0.35">
      <c r="A2236" s="2" t="s">
        <v>251</v>
      </c>
      <c r="B2236" s="3">
        <v>44621</v>
      </c>
      <c r="C2236" s="2">
        <v>25</v>
      </c>
      <c r="D2236" s="2">
        <v>34979</v>
      </c>
      <c r="E2236" s="17">
        <v>77686.52</v>
      </c>
      <c r="F2236" s="11">
        <v>6.36</v>
      </c>
      <c r="G2236" s="9">
        <v>5538.8</v>
      </c>
      <c r="H2236" s="10">
        <v>0.44</v>
      </c>
      <c r="I2236" s="11">
        <v>7.1</v>
      </c>
    </row>
    <row r="2237" spans="1:9" x14ac:dyDescent="0.35">
      <c r="A2237" s="2" t="s">
        <v>251</v>
      </c>
      <c r="B2237" s="3">
        <v>44652</v>
      </c>
      <c r="C2237" s="2">
        <v>21</v>
      </c>
      <c r="D2237" s="2">
        <v>24444</v>
      </c>
      <c r="E2237" s="17">
        <v>52073.85</v>
      </c>
      <c r="F2237" s="11">
        <v>6.57</v>
      </c>
      <c r="G2237" s="9">
        <v>3768.4</v>
      </c>
      <c r="H2237" s="10">
        <v>0.33300000000000002</v>
      </c>
      <c r="I2237" s="11">
        <v>6.9</v>
      </c>
    </row>
    <row r="2238" spans="1:9" x14ac:dyDescent="0.35">
      <c r="A2238" s="2" t="s">
        <v>251</v>
      </c>
      <c r="B2238" s="3">
        <v>44682</v>
      </c>
      <c r="C2238" s="2">
        <v>22</v>
      </c>
      <c r="D2238" s="2">
        <v>27359</v>
      </c>
      <c r="E2238" s="17">
        <v>54770.18</v>
      </c>
      <c r="F2238" s="11">
        <v>6.55</v>
      </c>
      <c r="G2238" s="9">
        <v>4139</v>
      </c>
      <c r="H2238" s="10">
        <v>0.45500000000000002</v>
      </c>
      <c r="I2238" s="11">
        <v>6.6</v>
      </c>
    </row>
    <row r="2239" spans="1:9" x14ac:dyDescent="0.35">
      <c r="A2239" s="2" t="s">
        <v>251</v>
      </c>
      <c r="B2239" s="3">
        <v>44713</v>
      </c>
      <c r="C2239" s="2">
        <v>21</v>
      </c>
      <c r="D2239" s="2">
        <v>27842</v>
      </c>
      <c r="E2239" s="17">
        <v>63500.97</v>
      </c>
      <c r="F2239" s="11">
        <v>6.44</v>
      </c>
      <c r="G2239" s="9">
        <v>4326.3</v>
      </c>
      <c r="H2239" s="10">
        <v>0.38100000000000001</v>
      </c>
      <c r="I2239" s="11">
        <v>6.6</v>
      </c>
    </row>
    <row r="2240" spans="1:9" x14ac:dyDescent="0.35">
      <c r="A2240" s="2" t="s">
        <v>251</v>
      </c>
      <c r="B2240" s="3">
        <v>44743</v>
      </c>
      <c r="C2240" s="2">
        <v>9</v>
      </c>
      <c r="D2240" s="2">
        <v>18153</v>
      </c>
      <c r="E2240" s="17">
        <v>36230.089999999997</v>
      </c>
      <c r="F2240" s="11">
        <v>6.36</v>
      </c>
      <c r="G2240" s="9">
        <v>2837.4</v>
      </c>
      <c r="H2240" s="10">
        <v>0.55600000000000005</v>
      </c>
      <c r="I2240" s="11">
        <v>8</v>
      </c>
    </row>
    <row r="2241" spans="1:9" x14ac:dyDescent="0.35">
      <c r="A2241" s="2" t="s">
        <v>251</v>
      </c>
      <c r="B2241" s="3">
        <v>44774</v>
      </c>
      <c r="C2241" s="2">
        <v>21</v>
      </c>
      <c r="D2241" s="2">
        <v>31081</v>
      </c>
      <c r="E2241" s="17">
        <v>61361.97</v>
      </c>
      <c r="F2241" s="11">
        <v>6.42</v>
      </c>
      <c r="G2241" s="9">
        <v>4901.2</v>
      </c>
      <c r="H2241" s="10">
        <v>0.42899999999999999</v>
      </c>
      <c r="I2241" s="11">
        <v>7.2</v>
      </c>
    </row>
    <row r="2242" spans="1:9" x14ac:dyDescent="0.35">
      <c r="A2242" s="2" t="s">
        <v>251</v>
      </c>
      <c r="B2242" s="3">
        <v>44805</v>
      </c>
      <c r="C2242" s="2">
        <v>26</v>
      </c>
      <c r="D2242" s="2">
        <v>34196</v>
      </c>
      <c r="E2242" s="17">
        <v>77270.28</v>
      </c>
      <c r="F2242" s="11">
        <v>6.43</v>
      </c>
      <c r="G2242" s="9">
        <v>5351.7</v>
      </c>
      <c r="H2242" s="10">
        <v>0.308</v>
      </c>
      <c r="I2242" s="11">
        <v>7.6</v>
      </c>
    </row>
    <row r="2243" spans="1:9" x14ac:dyDescent="0.35">
      <c r="A2243" s="2" t="s">
        <v>251</v>
      </c>
      <c r="B2243" s="3">
        <v>44835</v>
      </c>
      <c r="C2243" s="2">
        <v>25</v>
      </c>
      <c r="D2243" s="2">
        <v>40373</v>
      </c>
      <c r="E2243" s="17">
        <v>78898.47</v>
      </c>
      <c r="F2243" s="11">
        <v>6.66</v>
      </c>
      <c r="G2243" s="9">
        <v>6126.2</v>
      </c>
      <c r="H2243" s="10">
        <v>0.36</v>
      </c>
      <c r="I2243" s="11">
        <v>7.1</v>
      </c>
    </row>
    <row r="2244" spans="1:9" x14ac:dyDescent="0.35">
      <c r="A2244" s="2" t="s">
        <v>251</v>
      </c>
      <c r="B2244" s="3">
        <v>44866</v>
      </c>
      <c r="C2244" s="2">
        <v>19</v>
      </c>
      <c r="D2244" s="2">
        <v>26698</v>
      </c>
      <c r="E2244" s="17">
        <v>56583.78</v>
      </c>
      <c r="F2244" s="11">
        <v>6.51</v>
      </c>
      <c r="G2244" s="9">
        <v>4131.8</v>
      </c>
      <c r="H2244" s="10">
        <v>0.42099999999999999</v>
      </c>
      <c r="I2244" s="11">
        <v>6.7</v>
      </c>
    </row>
    <row r="2245" spans="1:9" x14ac:dyDescent="0.35">
      <c r="A2245" s="2" t="s">
        <v>251</v>
      </c>
      <c r="B2245" s="3">
        <v>44896</v>
      </c>
      <c r="C2245" s="2">
        <v>17</v>
      </c>
      <c r="D2245" s="2">
        <v>20920</v>
      </c>
      <c r="E2245" s="17">
        <v>46333.5</v>
      </c>
      <c r="F2245" s="11">
        <v>6.8</v>
      </c>
      <c r="G2245" s="9">
        <v>3118.9</v>
      </c>
      <c r="H2245" s="10">
        <v>0.47099999999999997</v>
      </c>
      <c r="I2245" s="11">
        <v>6.5</v>
      </c>
    </row>
    <row r="2246" spans="1:9" x14ac:dyDescent="0.35">
      <c r="A2246" s="2" t="s">
        <v>251</v>
      </c>
      <c r="B2246" s="3">
        <v>44927</v>
      </c>
      <c r="C2246" s="2">
        <v>25</v>
      </c>
      <c r="D2246" s="2">
        <v>30722</v>
      </c>
      <c r="E2246" s="17">
        <v>67130.09</v>
      </c>
      <c r="F2246" s="11">
        <v>6.56</v>
      </c>
      <c r="G2246" s="9">
        <v>4705.8999999999996</v>
      </c>
      <c r="H2246" s="10">
        <v>0.4</v>
      </c>
      <c r="I2246" s="11">
        <v>7</v>
      </c>
    </row>
    <row r="2247" spans="1:9" x14ac:dyDescent="0.35">
      <c r="A2247" s="2" t="s">
        <v>251</v>
      </c>
      <c r="B2247" s="3">
        <v>44958</v>
      </c>
      <c r="C2247" s="2">
        <v>18</v>
      </c>
      <c r="D2247" s="2">
        <v>22150</v>
      </c>
      <c r="E2247" s="17">
        <v>44477.96</v>
      </c>
      <c r="F2247" s="11">
        <v>6.56</v>
      </c>
      <c r="G2247" s="9">
        <v>3329.1</v>
      </c>
      <c r="H2247" s="10">
        <v>0.61099999999999999</v>
      </c>
      <c r="I2247" s="11">
        <v>8.5</v>
      </c>
    </row>
    <row r="2248" spans="1:9" x14ac:dyDescent="0.35">
      <c r="A2248" s="2" t="s">
        <v>251</v>
      </c>
      <c r="B2248" s="3">
        <v>44986</v>
      </c>
      <c r="C2248" s="2">
        <v>19</v>
      </c>
      <c r="D2248" s="2">
        <v>25758</v>
      </c>
      <c r="E2248" s="17">
        <v>60024.800000000003</v>
      </c>
      <c r="F2248" s="11">
        <v>6.51</v>
      </c>
      <c r="G2248" s="9">
        <v>3911.2</v>
      </c>
      <c r="H2248" s="10">
        <v>0.36799999999999999</v>
      </c>
      <c r="I2248" s="11">
        <v>6.5</v>
      </c>
    </row>
    <row r="2249" spans="1:9" x14ac:dyDescent="0.35">
      <c r="A2249" s="2" t="s">
        <v>251</v>
      </c>
      <c r="B2249" s="3">
        <v>45017</v>
      </c>
      <c r="C2249" s="2">
        <v>16</v>
      </c>
      <c r="D2249" s="2">
        <v>24428</v>
      </c>
      <c r="E2249" s="17">
        <v>53070.85</v>
      </c>
      <c r="F2249" s="11">
        <v>6.48</v>
      </c>
      <c r="G2249" s="9">
        <v>3768.7</v>
      </c>
      <c r="H2249" s="10">
        <v>0.5</v>
      </c>
      <c r="I2249" s="11">
        <v>6.3</v>
      </c>
    </row>
    <row r="2250" spans="1:9" x14ac:dyDescent="0.35">
      <c r="A2250" s="2" t="s">
        <v>251</v>
      </c>
      <c r="B2250" s="3">
        <v>45047</v>
      </c>
      <c r="C2250" s="2">
        <v>22</v>
      </c>
      <c r="D2250" s="2">
        <v>31856</v>
      </c>
      <c r="E2250" s="17">
        <v>63594.93</v>
      </c>
      <c r="F2250" s="11">
        <v>6.46</v>
      </c>
      <c r="G2250" s="9">
        <v>5009.1000000000004</v>
      </c>
      <c r="H2250" s="10">
        <v>0.27300000000000002</v>
      </c>
      <c r="I2250" s="11">
        <v>6.8</v>
      </c>
    </row>
    <row r="2251" spans="1:9" x14ac:dyDescent="0.35">
      <c r="A2251" s="2" t="s">
        <v>251</v>
      </c>
      <c r="B2251" s="3">
        <v>45078</v>
      </c>
      <c r="C2251" s="2">
        <v>15</v>
      </c>
      <c r="D2251" s="2">
        <v>21729</v>
      </c>
      <c r="E2251" s="17">
        <v>49656.22</v>
      </c>
      <c r="F2251" s="11">
        <v>6.34</v>
      </c>
      <c r="G2251" s="9">
        <v>3475.8</v>
      </c>
      <c r="H2251" s="10">
        <v>0.26700000000000002</v>
      </c>
      <c r="I2251" s="11">
        <v>6.8</v>
      </c>
    </row>
    <row r="2252" spans="1:9" x14ac:dyDescent="0.35">
      <c r="A2252" s="2" t="s">
        <v>251</v>
      </c>
      <c r="B2252" s="3">
        <v>45108</v>
      </c>
      <c r="C2252" s="2">
        <v>25</v>
      </c>
      <c r="D2252" s="2">
        <v>32043</v>
      </c>
      <c r="E2252" s="17">
        <v>71384.960000000006</v>
      </c>
      <c r="F2252" s="11">
        <v>6.77</v>
      </c>
      <c r="G2252" s="9">
        <v>4786.8</v>
      </c>
      <c r="H2252" s="10">
        <v>0.6</v>
      </c>
      <c r="I2252" s="11">
        <v>7.6</v>
      </c>
    </row>
    <row r="2253" spans="1:9" x14ac:dyDescent="0.35">
      <c r="A2253" s="2" t="s">
        <v>251</v>
      </c>
      <c r="B2253" s="3">
        <v>45139</v>
      </c>
      <c r="C2253" s="2">
        <v>21</v>
      </c>
      <c r="D2253" s="2">
        <v>27698</v>
      </c>
      <c r="E2253" s="17">
        <v>59790.02</v>
      </c>
      <c r="F2253" s="11">
        <v>6.68</v>
      </c>
      <c r="G2253" s="9">
        <v>4171.3</v>
      </c>
      <c r="H2253" s="10">
        <v>0.38100000000000001</v>
      </c>
      <c r="I2253" s="11">
        <v>7.4</v>
      </c>
    </row>
    <row r="2254" spans="1:9" x14ac:dyDescent="0.35">
      <c r="A2254" s="2" t="s">
        <v>251</v>
      </c>
      <c r="B2254" s="3">
        <v>45170</v>
      </c>
      <c r="C2254" s="2">
        <v>12</v>
      </c>
      <c r="D2254" s="2">
        <v>19575</v>
      </c>
      <c r="E2254" s="17">
        <v>43892.11</v>
      </c>
      <c r="F2254" s="11">
        <v>6.62</v>
      </c>
      <c r="G2254" s="9">
        <v>2944.8</v>
      </c>
      <c r="H2254" s="10">
        <v>0.5</v>
      </c>
      <c r="I2254" s="11">
        <v>8.5</v>
      </c>
    </row>
    <row r="2255" spans="1:9" x14ac:dyDescent="0.35">
      <c r="A2255" s="2" t="s">
        <v>251</v>
      </c>
      <c r="B2255" s="3">
        <v>45200</v>
      </c>
      <c r="C2255" s="2">
        <v>21</v>
      </c>
      <c r="D2255" s="2">
        <v>35137</v>
      </c>
      <c r="E2255" s="17">
        <v>65331.06</v>
      </c>
      <c r="F2255" s="11">
        <v>6.27</v>
      </c>
      <c r="G2255" s="9">
        <v>5649.4</v>
      </c>
      <c r="H2255" s="10">
        <v>0.52400000000000002</v>
      </c>
      <c r="I2255" s="11">
        <v>6.8</v>
      </c>
    </row>
    <row r="2256" spans="1:9" x14ac:dyDescent="0.35">
      <c r="A2256" s="2" t="s">
        <v>251</v>
      </c>
      <c r="B2256" s="3">
        <v>45231</v>
      </c>
      <c r="C2256" s="2">
        <v>21</v>
      </c>
      <c r="D2256" s="2">
        <v>36913</v>
      </c>
      <c r="E2256" s="17">
        <v>82622.14</v>
      </c>
      <c r="F2256" s="11">
        <v>6.46</v>
      </c>
      <c r="G2256" s="9">
        <v>5863.7</v>
      </c>
      <c r="H2256" s="10">
        <v>0.33300000000000002</v>
      </c>
      <c r="I2256" s="11">
        <v>7.4</v>
      </c>
    </row>
    <row r="2257" spans="1:9" x14ac:dyDescent="0.35">
      <c r="A2257" s="2" t="s">
        <v>251</v>
      </c>
      <c r="B2257" s="3">
        <v>45261</v>
      </c>
      <c r="C2257" s="2">
        <v>15</v>
      </c>
      <c r="D2257" s="2">
        <v>17626</v>
      </c>
      <c r="E2257" s="17">
        <v>36942.9</v>
      </c>
      <c r="F2257" s="11">
        <v>6.38</v>
      </c>
      <c r="G2257" s="9">
        <v>2765.2</v>
      </c>
      <c r="H2257" s="10">
        <v>0.46700000000000003</v>
      </c>
      <c r="I2257" s="11">
        <v>7.6</v>
      </c>
    </row>
    <row r="2258" spans="1:9" x14ac:dyDescent="0.35">
      <c r="A2258" s="2" t="s">
        <v>251</v>
      </c>
      <c r="B2258" s="3">
        <v>45292</v>
      </c>
      <c r="C2258" s="2">
        <v>21</v>
      </c>
      <c r="D2258" s="2">
        <v>35336</v>
      </c>
      <c r="E2258" s="17">
        <v>74965.600000000006</v>
      </c>
      <c r="F2258" s="11">
        <v>6.51</v>
      </c>
      <c r="G2258" s="9">
        <v>5491.7</v>
      </c>
      <c r="H2258" s="10">
        <v>0.52400000000000002</v>
      </c>
      <c r="I2258" s="11">
        <v>6.2</v>
      </c>
    </row>
    <row r="2259" spans="1:9" x14ac:dyDescent="0.35">
      <c r="A2259" s="2" t="s">
        <v>251</v>
      </c>
      <c r="B2259" s="3">
        <v>45323</v>
      </c>
      <c r="C2259" s="2">
        <v>12</v>
      </c>
      <c r="D2259" s="2">
        <v>13163</v>
      </c>
      <c r="E2259" s="17">
        <v>29351.15</v>
      </c>
      <c r="F2259" s="11">
        <v>6.6</v>
      </c>
      <c r="G2259" s="9">
        <v>2024.4</v>
      </c>
      <c r="H2259" s="10">
        <v>0.25</v>
      </c>
      <c r="I2259" s="11">
        <v>6.5</v>
      </c>
    </row>
    <row r="2260" spans="1:9" x14ac:dyDescent="0.35">
      <c r="A2260" s="2" t="s">
        <v>251</v>
      </c>
      <c r="B2260" s="3">
        <v>45352</v>
      </c>
      <c r="C2260" s="2">
        <v>16</v>
      </c>
      <c r="D2260" s="2">
        <v>24647</v>
      </c>
      <c r="E2260" s="17">
        <v>58091.39</v>
      </c>
      <c r="F2260" s="11">
        <v>6.66</v>
      </c>
      <c r="G2260" s="9">
        <v>3762.8</v>
      </c>
      <c r="H2260" s="10">
        <v>0.625</v>
      </c>
      <c r="I2260" s="11">
        <v>6.9</v>
      </c>
    </row>
    <row r="2261" spans="1:9" x14ac:dyDescent="0.35">
      <c r="A2261" s="2" t="s">
        <v>251</v>
      </c>
      <c r="B2261" s="3">
        <v>45383</v>
      </c>
      <c r="C2261" s="2">
        <v>20</v>
      </c>
      <c r="D2261" s="2">
        <v>24624</v>
      </c>
      <c r="E2261" s="17">
        <v>52367.66</v>
      </c>
      <c r="F2261" s="11">
        <v>6.5</v>
      </c>
      <c r="G2261" s="9">
        <v>3827.1</v>
      </c>
      <c r="H2261" s="10">
        <v>0.45</v>
      </c>
      <c r="I2261" s="11">
        <v>6.8</v>
      </c>
    </row>
    <row r="2262" spans="1:9" x14ac:dyDescent="0.35">
      <c r="A2262" s="2" t="s">
        <v>251</v>
      </c>
      <c r="B2262" s="3">
        <v>45413</v>
      </c>
      <c r="C2262" s="2">
        <v>27</v>
      </c>
      <c r="D2262" s="2">
        <v>43630</v>
      </c>
      <c r="E2262" s="17">
        <v>101600.62</v>
      </c>
      <c r="F2262" s="11">
        <v>6.47</v>
      </c>
      <c r="G2262" s="9">
        <v>6845.6</v>
      </c>
      <c r="H2262" s="10">
        <v>0.44400000000000001</v>
      </c>
      <c r="I2262" s="11">
        <v>6.7</v>
      </c>
    </row>
    <row r="2263" spans="1:9" x14ac:dyDescent="0.35">
      <c r="A2263" s="2" t="s">
        <v>251</v>
      </c>
      <c r="B2263" s="3">
        <v>45444</v>
      </c>
      <c r="C2263" s="2">
        <v>22</v>
      </c>
      <c r="D2263" s="2">
        <v>31925</v>
      </c>
      <c r="E2263" s="17">
        <v>65944.7</v>
      </c>
      <c r="F2263" s="11">
        <v>6.66</v>
      </c>
      <c r="G2263" s="9">
        <v>4835.3</v>
      </c>
      <c r="H2263" s="10">
        <v>0.5</v>
      </c>
      <c r="I2263" s="11">
        <v>5.9</v>
      </c>
    </row>
    <row r="2264" spans="1:9" x14ac:dyDescent="0.35">
      <c r="A2264" s="2" t="s">
        <v>251</v>
      </c>
      <c r="B2264" s="3">
        <v>45474</v>
      </c>
      <c r="C2264" s="2">
        <v>8</v>
      </c>
      <c r="D2264" s="2">
        <v>12320</v>
      </c>
      <c r="E2264" s="17">
        <v>31260.62</v>
      </c>
      <c r="F2264" s="11">
        <v>6.5</v>
      </c>
      <c r="G2264" s="9">
        <v>1949.8</v>
      </c>
      <c r="H2264" s="10">
        <v>0.625</v>
      </c>
      <c r="I2264" s="11">
        <v>7.6</v>
      </c>
    </row>
    <row r="2265" spans="1:9" x14ac:dyDescent="0.35">
      <c r="A2265" s="2" t="s">
        <v>251</v>
      </c>
      <c r="B2265" s="3">
        <v>45505</v>
      </c>
      <c r="C2265" s="2">
        <v>29</v>
      </c>
      <c r="D2265" s="2">
        <v>38071</v>
      </c>
      <c r="E2265" s="17">
        <v>83094.179999999993</v>
      </c>
      <c r="F2265" s="11">
        <v>6.45</v>
      </c>
      <c r="G2265" s="9">
        <v>5871.9</v>
      </c>
      <c r="H2265" s="10">
        <v>0.55200000000000005</v>
      </c>
      <c r="I2265" s="11">
        <v>6.5</v>
      </c>
    </row>
    <row r="2266" spans="1:9" x14ac:dyDescent="0.35">
      <c r="A2266" s="2" t="s">
        <v>251</v>
      </c>
      <c r="B2266" s="3">
        <v>45536</v>
      </c>
      <c r="C2266" s="2">
        <v>17</v>
      </c>
      <c r="D2266" s="2">
        <v>22413</v>
      </c>
      <c r="E2266" s="17">
        <v>46948.35</v>
      </c>
      <c r="F2266" s="11">
        <v>6.6</v>
      </c>
      <c r="G2266" s="9">
        <v>3420.9</v>
      </c>
      <c r="H2266" s="10">
        <v>0.52900000000000003</v>
      </c>
      <c r="I2266" s="11">
        <v>6.4</v>
      </c>
    </row>
    <row r="2267" spans="1:9" x14ac:dyDescent="0.35">
      <c r="A2267" s="2" t="s">
        <v>251</v>
      </c>
      <c r="B2267" s="3">
        <v>45566</v>
      </c>
      <c r="C2267" s="2">
        <v>21</v>
      </c>
      <c r="D2267" s="2">
        <v>33721</v>
      </c>
      <c r="E2267" s="17">
        <v>63443.81</v>
      </c>
      <c r="F2267" s="11">
        <v>6.46</v>
      </c>
      <c r="G2267" s="9">
        <v>5235.8</v>
      </c>
      <c r="H2267" s="10">
        <v>0.38100000000000001</v>
      </c>
      <c r="I2267" s="11">
        <v>7</v>
      </c>
    </row>
    <row r="2268" spans="1:9" x14ac:dyDescent="0.35">
      <c r="A2268" s="2" t="s">
        <v>251</v>
      </c>
      <c r="B2268" s="3">
        <v>45597</v>
      </c>
      <c r="C2268" s="2">
        <v>28</v>
      </c>
      <c r="D2268" s="2">
        <v>39449</v>
      </c>
      <c r="E2268" s="17">
        <v>89365.9</v>
      </c>
      <c r="F2268" s="11">
        <v>6.61</v>
      </c>
      <c r="G2268" s="9">
        <v>5999</v>
      </c>
      <c r="H2268" s="10">
        <v>0.39300000000000002</v>
      </c>
      <c r="I2268" s="11">
        <v>7.3</v>
      </c>
    </row>
    <row r="2269" spans="1:9" x14ac:dyDescent="0.35">
      <c r="A2269" s="2" t="s">
        <v>251</v>
      </c>
      <c r="B2269" s="3">
        <v>45627</v>
      </c>
      <c r="C2269" s="2">
        <v>27</v>
      </c>
      <c r="D2269" s="2">
        <v>30354</v>
      </c>
      <c r="E2269" s="17">
        <v>69924.600000000006</v>
      </c>
      <c r="F2269" s="11">
        <v>6.44</v>
      </c>
      <c r="G2269" s="9">
        <v>4804.8</v>
      </c>
      <c r="H2269" s="10">
        <v>0.51900000000000002</v>
      </c>
      <c r="I2269" s="11">
        <v>6.8</v>
      </c>
    </row>
    <row r="2270" spans="1:9" x14ac:dyDescent="0.35">
      <c r="A2270" s="2" t="s">
        <v>253</v>
      </c>
      <c r="B2270" s="3">
        <v>44562</v>
      </c>
      <c r="C2270" s="2">
        <v>18</v>
      </c>
      <c r="D2270" s="2">
        <v>23821</v>
      </c>
      <c r="E2270" s="17">
        <v>51154</v>
      </c>
      <c r="F2270" s="11">
        <v>6.53</v>
      </c>
      <c r="G2270" s="9">
        <v>3613.9</v>
      </c>
      <c r="H2270" s="10">
        <v>0.33300000000000002</v>
      </c>
      <c r="I2270" s="11">
        <v>6.3</v>
      </c>
    </row>
    <row r="2271" spans="1:9" x14ac:dyDescent="0.35">
      <c r="A2271" s="2" t="s">
        <v>253</v>
      </c>
      <c r="B2271" s="3">
        <v>44593</v>
      </c>
      <c r="C2271" s="2">
        <v>19</v>
      </c>
      <c r="D2271" s="2">
        <v>31338</v>
      </c>
      <c r="E2271" s="17">
        <v>67513.58</v>
      </c>
      <c r="F2271" s="11">
        <v>6.2</v>
      </c>
      <c r="G2271" s="9">
        <v>5061.2</v>
      </c>
      <c r="H2271" s="10">
        <v>0.47399999999999998</v>
      </c>
      <c r="I2271" s="11">
        <v>7.4</v>
      </c>
    </row>
    <row r="2272" spans="1:9" x14ac:dyDescent="0.35">
      <c r="A2272" s="2" t="s">
        <v>253</v>
      </c>
      <c r="B2272" s="3">
        <v>44621</v>
      </c>
      <c r="C2272" s="2">
        <v>25</v>
      </c>
      <c r="D2272" s="2">
        <v>40545</v>
      </c>
      <c r="E2272" s="17">
        <v>88147.75</v>
      </c>
      <c r="F2272" s="11">
        <v>6.32</v>
      </c>
      <c r="G2272" s="9">
        <v>6406.2</v>
      </c>
      <c r="H2272" s="10">
        <v>0.64</v>
      </c>
      <c r="I2272" s="11">
        <v>5.6</v>
      </c>
    </row>
    <row r="2273" spans="1:9" x14ac:dyDescent="0.35">
      <c r="A2273" s="2" t="s">
        <v>253</v>
      </c>
      <c r="B2273" s="3">
        <v>44652</v>
      </c>
      <c r="C2273" s="2">
        <v>14</v>
      </c>
      <c r="D2273" s="2">
        <v>24942</v>
      </c>
      <c r="E2273" s="17">
        <v>47950.67</v>
      </c>
      <c r="F2273" s="11">
        <v>6.6</v>
      </c>
      <c r="G2273" s="9">
        <v>3796.4</v>
      </c>
      <c r="H2273" s="10">
        <v>0.35699999999999998</v>
      </c>
      <c r="I2273" s="11">
        <v>6.6</v>
      </c>
    </row>
    <row r="2274" spans="1:9" x14ac:dyDescent="0.35">
      <c r="A2274" s="2" t="s">
        <v>253</v>
      </c>
      <c r="B2274" s="3">
        <v>44682</v>
      </c>
      <c r="C2274" s="2">
        <v>16</v>
      </c>
      <c r="D2274" s="2">
        <v>20262</v>
      </c>
      <c r="E2274" s="17">
        <v>44555.46</v>
      </c>
      <c r="F2274" s="11">
        <v>6.6</v>
      </c>
      <c r="G2274" s="9">
        <v>3066.8</v>
      </c>
      <c r="H2274" s="10">
        <v>0.25</v>
      </c>
      <c r="I2274" s="11">
        <v>7.6</v>
      </c>
    </row>
    <row r="2275" spans="1:9" x14ac:dyDescent="0.35">
      <c r="A2275" s="2" t="s">
        <v>253</v>
      </c>
      <c r="B2275" s="3">
        <v>44713</v>
      </c>
      <c r="C2275" s="2">
        <v>19</v>
      </c>
      <c r="D2275" s="2">
        <v>23836</v>
      </c>
      <c r="E2275" s="17">
        <v>52231</v>
      </c>
      <c r="F2275" s="11">
        <v>6.58</v>
      </c>
      <c r="G2275" s="9">
        <v>3661.9</v>
      </c>
      <c r="H2275" s="10">
        <v>0.42099999999999999</v>
      </c>
      <c r="I2275" s="11">
        <v>8.1</v>
      </c>
    </row>
    <row r="2276" spans="1:9" x14ac:dyDescent="0.35">
      <c r="A2276" s="2" t="s">
        <v>253</v>
      </c>
      <c r="B2276" s="3">
        <v>44743</v>
      </c>
      <c r="C2276" s="2">
        <v>19</v>
      </c>
      <c r="D2276" s="2">
        <v>31127</v>
      </c>
      <c r="E2276" s="17">
        <v>69523.509999999995</v>
      </c>
      <c r="F2276" s="11">
        <v>6.58</v>
      </c>
      <c r="G2276" s="9">
        <v>4732.8999999999996</v>
      </c>
      <c r="H2276" s="10">
        <v>0.47399999999999998</v>
      </c>
      <c r="I2276" s="11">
        <v>6.7</v>
      </c>
    </row>
    <row r="2277" spans="1:9" x14ac:dyDescent="0.35">
      <c r="A2277" s="2" t="s">
        <v>253</v>
      </c>
      <c r="B2277" s="3">
        <v>44774</v>
      </c>
      <c r="C2277" s="2">
        <v>24</v>
      </c>
      <c r="D2277" s="2">
        <v>33981</v>
      </c>
      <c r="E2277" s="17">
        <v>76356.740000000005</v>
      </c>
      <c r="F2277" s="11">
        <v>6.47</v>
      </c>
      <c r="G2277" s="9">
        <v>5326.2</v>
      </c>
      <c r="H2277" s="10">
        <v>0.375</v>
      </c>
      <c r="I2277" s="11">
        <v>5.5</v>
      </c>
    </row>
    <row r="2278" spans="1:9" x14ac:dyDescent="0.35">
      <c r="A2278" s="2" t="s">
        <v>253</v>
      </c>
      <c r="B2278" s="3">
        <v>44805</v>
      </c>
      <c r="C2278" s="2">
        <v>19</v>
      </c>
      <c r="D2278" s="2">
        <v>30804</v>
      </c>
      <c r="E2278" s="17">
        <v>62372.19</v>
      </c>
      <c r="F2278" s="11">
        <v>6.77</v>
      </c>
      <c r="G2278" s="9">
        <v>4535.6000000000004</v>
      </c>
      <c r="H2278" s="10">
        <v>0.63200000000000001</v>
      </c>
      <c r="I2278" s="11">
        <v>7.6</v>
      </c>
    </row>
    <row r="2279" spans="1:9" x14ac:dyDescent="0.35">
      <c r="A2279" s="2" t="s">
        <v>253</v>
      </c>
      <c r="B2279" s="3">
        <v>44835</v>
      </c>
      <c r="C2279" s="2">
        <v>17</v>
      </c>
      <c r="D2279" s="2">
        <v>22739</v>
      </c>
      <c r="E2279" s="17">
        <v>50717.65</v>
      </c>
      <c r="F2279" s="11">
        <v>6.43</v>
      </c>
      <c r="G2279" s="9">
        <v>3469.1</v>
      </c>
      <c r="H2279" s="10">
        <v>0.47099999999999997</v>
      </c>
      <c r="I2279" s="11">
        <v>6.7</v>
      </c>
    </row>
    <row r="2280" spans="1:9" x14ac:dyDescent="0.35">
      <c r="A2280" s="2" t="s">
        <v>253</v>
      </c>
      <c r="B2280" s="3">
        <v>44866</v>
      </c>
      <c r="C2280" s="2">
        <v>17</v>
      </c>
      <c r="D2280" s="2">
        <v>21756</v>
      </c>
      <c r="E2280" s="17">
        <v>50333.97</v>
      </c>
      <c r="F2280" s="11">
        <v>6.65</v>
      </c>
      <c r="G2280" s="9">
        <v>3382.6</v>
      </c>
      <c r="H2280" s="10">
        <v>0.64700000000000002</v>
      </c>
      <c r="I2280" s="11">
        <v>7.6</v>
      </c>
    </row>
    <row r="2281" spans="1:9" x14ac:dyDescent="0.35">
      <c r="A2281" s="2" t="s">
        <v>253</v>
      </c>
      <c r="B2281" s="3">
        <v>44896</v>
      </c>
      <c r="C2281" s="2">
        <v>21</v>
      </c>
      <c r="D2281" s="2">
        <v>27410</v>
      </c>
      <c r="E2281" s="17">
        <v>55626.239999999998</v>
      </c>
      <c r="F2281" s="11">
        <v>6.28</v>
      </c>
      <c r="G2281" s="9">
        <v>4416.7</v>
      </c>
      <c r="H2281" s="10">
        <v>0.38100000000000001</v>
      </c>
      <c r="I2281" s="11">
        <v>7.5</v>
      </c>
    </row>
    <row r="2282" spans="1:9" x14ac:dyDescent="0.35">
      <c r="A2282" s="2" t="s">
        <v>253</v>
      </c>
      <c r="B2282" s="3">
        <v>44927</v>
      </c>
      <c r="C2282" s="2">
        <v>20</v>
      </c>
      <c r="D2282" s="2">
        <v>28709</v>
      </c>
      <c r="E2282" s="17">
        <v>59599.96</v>
      </c>
      <c r="F2282" s="11">
        <v>6.47</v>
      </c>
      <c r="G2282" s="9">
        <v>4421</v>
      </c>
      <c r="H2282" s="10">
        <v>0.5</v>
      </c>
      <c r="I2282" s="11">
        <v>6.6</v>
      </c>
    </row>
    <row r="2283" spans="1:9" x14ac:dyDescent="0.35">
      <c r="A2283" s="2" t="s">
        <v>253</v>
      </c>
      <c r="B2283" s="3">
        <v>44958</v>
      </c>
      <c r="C2283" s="2">
        <v>15</v>
      </c>
      <c r="D2283" s="2">
        <v>24325</v>
      </c>
      <c r="E2283" s="17">
        <v>55772.78</v>
      </c>
      <c r="F2283" s="11">
        <v>6.68</v>
      </c>
      <c r="G2283" s="9">
        <v>3775</v>
      </c>
      <c r="H2283" s="10">
        <v>0.4</v>
      </c>
      <c r="I2283" s="11">
        <v>7.5</v>
      </c>
    </row>
    <row r="2284" spans="1:9" x14ac:dyDescent="0.35">
      <c r="A2284" s="2" t="s">
        <v>253</v>
      </c>
      <c r="B2284" s="3">
        <v>44986</v>
      </c>
      <c r="C2284" s="2">
        <v>29</v>
      </c>
      <c r="D2284" s="2">
        <v>44735</v>
      </c>
      <c r="E2284" s="17">
        <v>96380.77</v>
      </c>
      <c r="F2284" s="11">
        <v>6.3</v>
      </c>
      <c r="G2284" s="9">
        <v>7107</v>
      </c>
      <c r="H2284" s="10">
        <v>0.41399999999999998</v>
      </c>
      <c r="I2284" s="11">
        <v>7.8</v>
      </c>
    </row>
    <row r="2285" spans="1:9" x14ac:dyDescent="0.35">
      <c r="A2285" s="2" t="s">
        <v>253</v>
      </c>
      <c r="B2285" s="3">
        <v>45017</v>
      </c>
      <c r="C2285" s="2">
        <v>23</v>
      </c>
      <c r="D2285" s="2">
        <v>33038</v>
      </c>
      <c r="E2285" s="17">
        <v>69840.02</v>
      </c>
      <c r="F2285" s="11">
        <v>6.6</v>
      </c>
      <c r="G2285" s="9">
        <v>5002.2</v>
      </c>
      <c r="H2285" s="10">
        <v>0.73899999999999999</v>
      </c>
      <c r="I2285" s="11">
        <v>6.8</v>
      </c>
    </row>
    <row r="2286" spans="1:9" x14ac:dyDescent="0.35">
      <c r="A2286" s="2" t="s">
        <v>253</v>
      </c>
      <c r="B2286" s="3">
        <v>45047</v>
      </c>
      <c r="C2286" s="2">
        <v>13</v>
      </c>
      <c r="D2286" s="2">
        <v>23076</v>
      </c>
      <c r="E2286" s="17">
        <v>52347.34</v>
      </c>
      <c r="F2286" s="11">
        <v>6.24</v>
      </c>
      <c r="G2286" s="9">
        <v>3752.6</v>
      </c>
      <c r="H2286" s="10">
        <v>0.38500000000000001</v>
      </c>
      <c r="I2286" s="11">
        <v>8.6</v>
      </c>
    </row>
    <row r="2287" spans="1:9" x14ac:dyDescent="0.35">
      <c r="A2287" s="2" t="s">
        <v>253</v>
      </c>
      <c r="B2287" s="3">
        <v>45078</v>
      </c>
      <c r="C2287" s="2">
        <v>15</v>
      </c>
      <c r="D2287" s="2">
        <v>21723</v>
      </c>
      <c r="E2287" s="17">
        <v>39876.26</v>
      </c>
      <c r="F2287" s="11">
        <v>6.61</v>
      </c>
      <c r="G2287" s="9">
        <v>3304.1</v>
      </c>
      <c r="H2287" s="10">
        <v>0.4</v>
      </c>
      <c r="I2287" s="11">
        <v>5.3</v>
      </c>
    </row>
    <row r="2288" spans="1:9" x14ac:dyDescent="0.35">
      <c r="A2288" s="2" t="s">
        <v>253</v>
      </c>
      <c r="B2288" s="3">
        <v>45108</v>
      </c>
      <c r="C2288" s="2">
        <v>17</v>
      </c>
      <c r="D2288" s="2">
        <v>24927</v>
      </c>
      <c r="E2288" s="17">
        <v>57628.89</v>
      </c>
      <c r="F2288" s="11">
        <v>6.44</v>
      </c>
      <c r="G2288" s="9">
        <v>3819.8</v>
      </c>
      <c r="H2288" s="10">
        <v>0.11799999999999999</v>
      </c>
      <c r="I2288" s="11">
        <v>6.9</v>
      </c>
    </row>
    <row r="2289" spans="1:9" x14ac:dyDescent="0.35">
      <c r="A2289" s="2" t="s">
        <v>253</v>
      </c>
      <c r="B2289" s="3">
        <v>45139</v>
      </c>
      <c r="C2289" s="2">
        <v>22</v>
      </c>
      <c r="D2289" s="2">
        <v>26401</v>
      </c>
      <c r="E2289" s="17">
        <v>59874.720000000001</v>
      </c>
      <c r="F2289" s="11">
        <v>6.37</v>
      </c>
      <c r="G2289" s="9">
        <v>4278.2</v>
      </c>
      <c r="H2289" s="10">
        <v>0.5</v>
      </c>
      <c r="I2289" s="11">
        <v>5.6</v>
      </c>
    </row>
    <row r="2290" spans="1:9" x14ac:dyDescent="0.35">
      <c r="A2290" s="2" t="s">
        <v>253</v>
      </c>
      <c r="B2290" s="3">
        <v>45170</v>
      </c>
      <c r="C2290" s="2">
        <v>19</v>
      </c>
      <c r="D2290" s="2">
        <v>26130</v>
      </c>
      <c r="E2290" s="17">
        <v>62066.89</v>
      </c>
      <c r="F2290" s="11">
        <v>6.35</v>
      </c>
      <c r="G2290" s="9">
        <v>4125.7</v>
      </c>
      <c r="H2290" s="10">
        <v>0.42099999999999999</v>
      </c>
      <c r="I2290" s="11">
        <v>6.9</v>
      </c>
    </row>
    <row r="2291" spans="1:9" x14ac:dyDescent="0.35">
      <c r="A2291" s="2" t="s">
        <v>253</v>
      </c>
      <c r="B2291" s="3">
        <v>45200</v>
      </c>
      <c r="C2291" s="2">
        <v>13</v>
      </c>
      <c r="D2291" s="2">
        <v>17693</v>
      </c>
      <c r="E2291" s="17">
        <v>37242.769999999997</v>
      </c>
      <c r="F2291" s="11">
        <v>6.72</v>
      </c>
      <c r="G2291" s="9">
        <v>2665.7</v>
      </c>
      <c r="H2291" s="10">
        <v>0.154</v>
      </c>
      <c r="I2291" s="11">
        <v>7.2</v>
      </c>
    </row>
    <row r="2292" spans="1:9" x14ac:dyDescent="0.35">
      <c r="A2292" s="2" t="s">
        <v>253</v>
      </c>
      <c r="B2292" s="3">
        <v>45231</v>
      </c>
      <c r="C2292" s="2">
        <v>16</v>
      </c>
      <c r="D2292" s="2">
        <v>21096</v>
      </c>
      <c r="E2292" s="17">
        <v>45799.11</v>
      </c>
      <c r="F2292" s="11">
        <v>6.56</v>
      </c>
      <c r="G2292" s="9">
        <v>3237.4</v>
      </c>
      <c r="H2292" s="10">
        <v>0.5</v>
      </c>
      <c r="I2292" s="11">
        <v>8.1</v>
      </c>
    </row>
    <row r="2293" spans="1:9" x14ac:dyDescent="0.35">
      <c r="A2293" s="2" t="s">
        <v>253</v>
      </c>
      <c r="B2293" s="3">
        <v>45261</v>
      </c>
      <c r="C2293" s="2">
        <v>18</v>
      </c>
      <c r="D2293" s="2">
        <v>23014</v>
      </c>
      <c r="E2293" s="17">
        <v>49553.9</v>
      </c>
      <c r="F2293" s="11">
        <v>6.7</v>
      </c>
      <c r="G2293" s="9">
        <v>3409.8</v>
      </c>
      <c r="H2293" s="10">
        <v>0.16700000000000001</v>
      </c>
      <c r="I2293" s="11">
        <v>7.4</v>
      </c>
    </row>
    <row r="2294" spans="1:9" x14ac:dyDescent="0.35">
      <c r="A2294" s="2" t="s">
        <v>253</v>
      </c>
      <c r="B2294" s="3">
        <v>45292</v>
      </c>
      <c r="C2294" s="2">
        <v>21</v>
      </c>
      <c r="D2294" s="2">
        <v>27427</v>
      </c>
      <c r="E2294" s="17">
        <v>60466.99</v>
      </c>
      <c r="F2294" s="11">
        <v>6.5</v>
      </c>
      <c r="G2294" s="9">
        <v>4237.8</v>
      </c>
      <c r="H2294" s="10">
        <v>0.33300000000000002</v>
      </c>
      <c r="I2294" s="11">
        <v>6.7</v>
      </c>
    </row>
    <row r="2295" spans="1:9" x14ac:dyDescent="0.35">
      <c r="A2295" s="2" t="s">
        <v>253</v>
      </c>
      <c r="B2295" s="3">
        <v>45323</v>
      </c>
      <c r="C2295" s="2">
        <v>23</v>
      </c>
      <c r="D2295" s="2">
        <v>32522</v>
      </c>
      <c r="E2295" s="17">
        <v>68895.31</v>
      </c>
      <c r="F2295" s="11">
        <v>6.6</v>
      </c>
      <c r="G2295" s="9">
        <v>4901</v>
      </c>
      <c r="H2295" s="10">
        <v>0.56499999999999995</v>
      </c>
      <c r="I2295" s="11">
        <v>6.9</v>
      </c>
    </row>
    <row r="2296" spans="1:9" x14ac:dyDescent="0.35">
      <c r="A2296" s="2" t="s">
        <v>253</v>
      </c>
      <c r="B2296" s="3">
        <v>45352</v>
      </c>
      <c r="C2296" s="2">
        <v>22</v>
      </c>
      <c r="D2296" s="2">
        <v>32574</v>
      </c>
      <c r="E2296" s="17">
        <v>75291.070000000007</v>
      </c>
      <c r="F2296" s="11">
        <v>6.6</v>
      </c>
      <c r="G2296" s="9">
        <v>5019.3999999999996</v>
      </c>
      <c r="H2296" s="10">
        <v>0.40899999999999997</v>
      </c>
      <c r="I2296" s="11">
        <v>8.1</v>
      </c>
    </row>
    <row r="2297" spans="1:9" x14ac:dyDescent="0.35">
      <c r="A2297" s="2" t="s">
        <v>253</v>
      </c>
      <c r="B2297" s="3">
        <v>45383</v>
      </c>
      <c r="C2297" s="2">
        <v>15</v>
      </c>
      <c r="D2297" s="2">
        <v>25386</v>
      </c>
      <c r="E2297" s="17">
        <v>50941.02</v>
      </c>
      <c r="F2297" s="11">
        <v>6.52</v>
      </c>
      <c r="G2297" s="9">
        <v>3916.4</v>
      </c>
      <c r="H2297" s="10">
        <v>0.26700000000000002</v>
      </c>
      <c r="I2297" s="11">
        <v>7.5</v>
      </c>
    </row>
    <row r="2298" spans="1:9" x14ac:dyDescent="0.35">
      <c r="A2298" s="2" t="s">
        <v>253</v>
      </c>
      <c r="B2298" s="3">
        <v>45413</v>
      </c>
      <c r="C2298" s="2">
        <v>18</v>
      </c>
      <c r="D2298" s="2">
        <v>26550</v>
      </c>
      <c r="E2298" s="17">
        <v>57642</v>
      </c>
      <c r="F2298" s="11">
        <v>6.76</v>
      </c>
      <c r="G2298" s="9">
        <v>3963.2</v>
      </c>
      <c r="H2298" s="10">
        <v>0.5</v>
      </c>
      <c r="I2298" s="11">
        <v>6.6</v>
      </c>
    </row>
    <row r="2299" spans="1:9" x14ac:dyDescent="0.35">
      <c r="A2299" s="2" t="s">
        <v>253</v>
      </c>
      <c r="B2299" s="3">
        <v>45444</v>
      </c>
      <c r="C2299" s="2">
        <v>18</v>
      </c>
      <c r="D2299" s="2">
        <v>25718</v>
      </c>
      <c r="E2299" s="17">
        <v>52507.87</v>
      </c>
      <c r="F2299" s="11">
        <v>6.67</v>
      </c>
      <c r="G2299" s="9">
        <v>3968</v>
      </c>
      <c r="H2299" s="10">
        <v>0.38900000000000001</v>
      </c>
      <c r="I2299" s="11">
        <v>7.1</v>
      </c>
    </row>
    <row r="2300" spans="1:9" x14ac:dyDescent="0.35">
      <c r="A2300" s="2" t="s">
        <v>253</v>
      </c>
      <c r="B2300" s="3">
        <v>45474</v>
      </c>
      <c r="C2300" s="2">
        <v>20</v>
      </c>
      <c r="D2300" s="2">
        <v>30181</v>
      </c>
      <c r="E2300" s="17">
        <v>64057.8</v>
      </c>
      <c r="F2300" s="11">
        <v>6.6</v>
      </c>
      <c r="G2300" s="9">
        <v>4548.8999999999996</v>
      </c>
      <c r="H2300" s="10">
        <v>0.45</v>
      </c>
      <c r="I2300" s="11">
        <v>6.9</v>
      </c>
    </row>
    <row r="2301" spans="1:9" x14ac:dyDescent="0.35">
      <c r="A2301" s="2" t="s">
        <v>253</v>
      </c>
      <c r="B2301" s="3">
        <v>45505</v>
      </c>
      <c r="C2301" s="2">
        <v>20</v>
      </c>
      <c r="D2301" s="2">
        <v>23219</v>
      </c>
      <c r="E2301" s="17">
        <v>50784.95</v>
      </c>
      <c r="F2301" s="11">
        <v>6.51</v>
      </c>
      <c r="G2301" s="9">
        <v>3575.1</v>
      </c>
      <c r="H2301" s="10">
        <v>0.45</v>
      </c>
      <c r="I2301" s="11">
        <v>7.4</v>
      </c>
    </row>
    <row r="2302" spans="1:9" x14ac:dyDescent="0.35">
      <c r="A2302" s="2" t="s">
        <v>253</v>
      </c>
      <c r="B2302" s="3">
        <v>45536</v>
      </c>
      <c r="C2302" s="2">
        <v>16</v>
      </c>
      <c r="D2302" s="2">
        <v>18398</v>
      </c>
      <c r="E2302" s="17">
        <v>41096.25</v>
      </c>
      <c r="F2302" s="11">
        <v>6.33</v>
      </c>
      <c r="G2302" s="9">
        <v>2946</v>
      </c>
      <c r="H2302" s="10">
        <v>0.56200000000000006</v>
      </c>
      <c r="I2302" s="11">
        <v>7.3</v>
      </c>
    </row>
    <row r="2303" spans="1:9" x14ac:dyDescent="0.35">
      <c r="A2303" s="2" t="s">
        <v>253</v>
      </c>
      <c r="B2303" s="3">
        <v>45566</v>
      </c>
      <c r="C2303" s="2">
        <v>22</v>
      </c>
      <c r="D2303" s="2">
        <v>33729</v>
      </c>
      <c r="E2303" s="17">
        <v>71443.100000000006</v>
      </c>
      <c r="F2303" s="11">
        <v>6.21</v>
      </c>
      <c r="G2303" s="9">
        <v>5451.5</v>
      </c>
      <c r="H2303" s="10">
        <v>0.36399999999999999</v>
      </c>
      <c r="I2303" s="11">
        <v>6.3</v>
      </c>
    </row>
    <row r="2304" spans="1:9" x14ac:dyDescent="0.35">
      <c r="A2304" s="2" t="s">
        <v>253</v>
      </c>
      <c r="B2304" s="3">
        <v>45597</v>
      </c>
      <c r="C2304" s="2">
        <v>21</v>
      </c>
      <c r="D2304" s="2">
        <v>27767</v>
      </c>
      <c r="E2304" s="17">
        <v>56431.61</v>
      </c>
      <c r="F2304" s="11">
        <v>6.4</v>
      </c>
      <c r="G2304" s="9">
        <v>4367.1000000000004</v>
      </c>
      <c r="H2304" s="10">
        <v>0.52400000000000002</v>
      </c>
      <c r="I2304" s="11">
        <v>7.3</v>
      </c>
    </row>
    <row r="2305" spans="1:9" x14ac:dyDescent="0.35">
      <c r="A2305" s="2" t="s">
        <v>253</v>
      </c>
      <c r="B2305" s="3">
        <v>45627</v>
      </c>
      <c r="C2305" s="2">
        <v>14</v>
      </c>
      <c r="D2305" s="2">
        <v>19296</v>
      </c>
      <c r="E2305" s="17">
        <v>45719.1</v>
      </c>
      <c r="F2305" s="11">
        <v>6.65</v>
      </c>
      <c r="G2305" s="9">
        <v>2965.2</v>
      </c>
      <c r="H2305" s="10">
        <v>0.5</v>
      </c>
      <c r="I2305" s="11">
        <v>8.3000000000000007</v>
      </c>
    </row>
    <row r="2306" spans="1:9" x14ac:dyDescent="0.35">
      <c r="A2306" s="2" t="s">
        <v>255</v>
      </c>
      <c r="B2306" s="3">
        <v>44562</v>
      </c>
      <c r="C2306" s="2">
        <v>19</v>
      </c>
      <c r="D2306" s="2">
        <v>28532</v>
      </c>
      <c r="E2306" s="17">
        <v>62045.43</v>
      </c>
      <c r="F2306" s="11">
        <v>6.64</v>
      </c>
      <c r="G2306" s="9">
        <v>4452.3</v>
      </c>
      <c r="H2306" s="10">
        <v>0.47399999999999998</v>
      </c>
      <c r="I2306" s="11">
        <v>7.6</v>
      </c>
    </row>
    <row r="2307" spans="1:9" x14ac:dyDescent="0.35">
      <c r="A2307" s="2" t="s">
        <v>255</v>
      </c>
      <c r="B2307" s="3">
        <v>44593</v>
      </c>
      <c r="C2307" s="2">
        <v>15</v>
      </c>
      <c r="D2307" s="2">
        <v>17915</v>
      </c>
      <c r="E2307" s="17">
        <v>41395.68</v>
      </c>
      <c r="F2307" s="11">
        <v>6.64</v>
      </c>
      <c r="G2307" s="9">
        <v>2686.6</v>
      </c>
      <c r="H2307" s="10">
        <v>0.26700000000000002</v>
      </c>
      <c r="I2307" s="11">
        <v>7.3</v>
      </c>
    </row>
    <row r="2308" spans="1:9" x14ac:dyDescent="0.35">
      <c r="A2308" s="2" t="s">
        <v>255</v>
      </c>
      <c r="B2308" s="3">
        <v>44621</v>
      </c>
      <c r="C2308" s="2">
        <v>15</v>
      </c>
      <c r="D2308" s="2">
        <v>18689</v>
      </c>
      <c r="E2308" s="17">
        <v>36699.79</v>
      </c>
      <c r="F2308" s="11">
        <v>6.61</v>
      </c>
      <c r="G2308" s="9">
        <v>2795</v>
      </c>
      <c r="H2308" s="10">
        <v>0.4</v>
      </c>
      <c r="I2308" s="11">
        <v>5.7</v>
      </c>
    </row>
    <row r="2309" spans="1:9" x14ac:dyDescent="0.35">
      <c r="A2309" s="2" t="s">
        <v>255</v>
      </c>
      <c r="B2309" s="3">
        <v>44652</v>
      </c>
      <c r="C2309" s="2">
        <v>18</v>
      </c>
      <c r="D2309" s="2">
        <v>30220</v>
      </c>
      <c r="E2309" s="17">
        <v>63974.26</v>
      </c>
      <c r="F2309" s="11">
        <v>6.63</v>
      </c>
      <c r="G2309" s="9">
        <v>4593.2</v>
      </c>
      <c r="H2309" s="10">
        <v>0.5</v>
      </c>
      <c r="I2309" s="11">
        <v>6.6</v>
      </c>
    </row>
    <row r="2310" spans="1:9" x14ac:dyDescent="0.35">
      <c r="A2310" s="2" t="s">
        <v>255</v>
      </c>
      <c r="B2310" s="3">
        <v>44682</v>
      </c>
      <c r="C2310" s="2">
        <v>21</v>
      </c>
      <c r="D2310" s="2">
        <v>30216</v>
      </c>
      <c r="E2310" s="17">
        <v>60858.3</v>
      </c>
      <c r="F2310" s="11">
        <v>6.58</v>
      </c>
      <c r="G2310" s="9">
        <v>4652.2</v>
      </c>
      <c r="H2310" s="10">
        <v>0.28599999999999998</v>
      </c>
      <c r="I2310" s="11">
        <v>6.3</v>
      </c>
    </row>
    <row r="2311" spans="1:9" x14ac:dyDescent="0.35">
      <c r="A2311" s="2" t="s">
        <v>255</v>
      </c>
      <c r="B2311" s="3">
        <v>44713</v>
      </c>
      <c r="C2311" s="2">
        <v>20</v>
      </c>
      <c r="D2311" s="2">
        <v>30717</v>
      </c>
      <c r="E2311" s="17">
        <v>63065.440000000002</v>
      </c>
      <c r="F2311" s="11">
        <v>6.63</v>
      </c>
      <c r="G2311" s="9">
        <v>4724</v>
      </c>
      <c r="H2311" s="10">
        <v>0.5</v>
      </c>
      <c r="I2311" s="11">
        <v>7.2</v>
      </c>
    </row>
    <row r="2312" spans="1:9" x14ac:dyDescent="0.35">
      <c r="A2312" s="2" t="s">
        <v>255</v>
      </c>
      <c r="B2312" s="3">
        <v>44743</v>
      </c>
      <c r="C2312" s="2">
        <v>16</v>
      </c>
      <c r="D2312" s="2">
        <v>23839</v>
      </c>
      <c r="E2312" s="17">
        <v>53471.37</v>
      </c>
      <c r="F2312" s="11">
        <v>6.35</v>
      </c>
      <c r="G2312" s="9">
        <v>3840.2</v>
      </c>
      <c r="H2312" s="10">
        <v>0.312</v>
      </c>
      <c r="I2312" s="11">
        <v>8.3000000000000007</v>
      </c>
    </row>
    <row r="2313" spans="1:9" x14ac:dyDescent="0.35">
      <c r="A2313" s="2" t="s">
        <v>255</v>
      </c>
      <c r="B2313" s="3">
        <v>44774</v>
      </c>
      <c r="C2313" s="2">
        <v>17</v>
      </c>
      <c r="D2313" s="2">
        <v>28015</v>
      </c>
      <c r="E2313" s="17">
        <v>57566.39</v>
      </c>
      <c r="F2313" s="11">
        <v>6.33</v>
      </c>
      <c r="G2313" s="9">
        <v>4469.5</v>
      </c>
      <c r="H2313" s="10">
        <v>0.52900000000000003</v>
      </c>
      <c r="I2313" s="11">
        <v>7.3</v>
      </c>
    </row>
    <row r="2314" spans="1:9" x14ac:dyDescent="0.35">
      <c r="A2314" s="2" t="s">
        <v>255</v>
      </c>
      <c r="B2314" s="3">
        <v>44805</v>
      </c>
      <c r="C2314" s="2">
        <v>16</v>
      </c>
      <c r="D2314" s="2">
        <v>25554</v>
      </c>
      <c r="E2314" s="17">
        <v>57226.66</v>
      </c>
      <c r="F2314" s="11">
        <v>6.47</v>
      </c>
      <c r="G2314" s="9">
        <v>4015.7</v>
      </c>
      <c r="H2314" s="10">
        <v>0.188</v>
      </c>
      <c r="I2314" s="11">
        <v>7</v>
      </c>
    </row>
    <row r="2315" spans="1:9" x14ac:dyDescent="0.35">
      <c r="A2315" s="2" t="s">
        <v>255</v>
      </c>
      <c r="B2315" s="3">
        <v>44835</v>
      </c>
      <c r="C2315" s="2">
        <v>17</v>
      </c>
      <c r="D2315" s="2">
        <v>22455</v>
      </c>
      <c r="E2315" s="17">
        <v>48314.58</v>
      </c>
      <c r="F2315" s="11">
        <v>6.5</v>
      </c>
      <c r="G2315" s="9">
        <v>3445.8</v>
      </c>
      <c r="H2315" s="10">
        <v>0.35299999999999998</v>
      </c>
      <c r="I2315" s="11">
        <v>8.1</v>
      </c>
    </row>
    <row r="2316" spans="1:9" x14ac:dyDescent="0.35">
      <c r="A2316" s="2" t="s">
        <v>255</v>
      </c>
      <c r="B2316" s="3">
        <v>44866</v>
      </c>
      <c r="C2316" s="2">
        <v>14</v>
      </c>
      <c r="D2316" s="2">
        <v>13952</v>
      </c>
      <c r="E2316" s="17">
        <v>32387.26</v>
      </c>
      <c r="F2316" s="11">
        <v>6.48</v>
      </c>
      <c r="G2316" s="9">
        <v>2204.6</v>
      </c>
      <c r="H2316" s="10">
        <v>0.57099999999999995</v>
      </c>
      <c r="I2316" s="11">
        <v>7</v>
      </c>
    </row>
    <row r="2317" spans="1:9" x14ac:dyDescent="0.35">
      <c r="A2317" s="2" t="s">
        <v>255</v>
      </c>
      <c r="B2317" s="3">
        <v>44896</v>
      </c>
      <c r="C2317" s="2">
        <v>17</v>
      </c>
      <c r="D2317" s="2">
        <v>26747</v>
      </c>
      <c r="E2317" s="17">
        <v>57626.14</v>
      </c>
      <c r="F2317" s="11">
        <v>6.52</v>
      </c>
      <c r="G2317" s="9">
        <v>4021</v>
      </c>
      <c r="H2317" s="10">
        <v>0.47099999999999997</v>
      </c>
      <c r="I2317" s="11">
        <v>7.5</v>
      </c>
    </row>
    <row r="2318" spans="1:9" x14ac:dyDescent="0.35">
      <c r="A2318" s="2" t="s">
        <v>255</v>
      </c>
      <c r="B2318" s="3">
        <v>44927</v>
      </c>
      <c r="C2318" s="2">
        <v>18</v>
      </c>
      <c r="D2318" s="2">
        <v>22056</v>
      </c>
      <c r="E2318" s="17">
        <v>54425.24</v>
      </c>
      <c r="F2318" s="11">
        <v>6.35</v>
      </c>
      <c r="G2318" s="9">
        <v>3499.1</v>
      </c>
      <c r="H2318" s="10">
        <v>0.61099999999999999</v>
      </c>
      <c r="I2318" s="11">
        <v>7.6</v>
      </c>
    </row>
    <row r="2319" spans="1:9" x14ac:dyDescent="0.35">
      <c r="A2319" s="2" t="s">
        <v>255</v>
      </c>
      <c r="B2319" s="3">
        <v>44958</v>
      </c>
      <c r="C2319" s="2">
        <v>18</v>
      </c>
      <c r="D2319" s="2">
        <v>22343</v>
      </c>
      <c r="E2319" s="17">
        <v>51719.14</v>
      </c>
      <c r="F2319" s="11">
        <v>6.62</v>
      </c>
      <c r="G2319" s="9">
        <v>3506.7</v>
      </c>
      <c r="H2319" s="10">
        <v>0.38900000000000001</v>
      </c>
      <c r="I2319" s="11">
        <v>8</v>
      </c>
    </row>
    <row r="2320" spans="1:9" x14ac:dyDescent="0.35">
      <c r="A2320" s="2" t="s">
        <v>255</v>
      </c>
      <c r="B2320" s="3">
        <v>44986</v>
      </c>
      <c r="C2320" s="2">
        <v>16</v>
      </c>
      <c r="D2320" s="2">
        <v>19128</v>
      </c>
      <c r="E2320" s="17">
        <v>40477.71</v>
      </c>
      <c r="F2320" s="11">
        <v>6.51</v>
      </c>
      <c r="G2320" s="9">
        <v>2938.3</v>
      </c>
      <c r="H2320" s="10">
        <v>0.438</v>
      </c>
      <c r="I2320" s="11">
        <v>7.4</v>
      </c>
    </row>
    <row r="2321" spans="1:9" x14ac:dyDescent="0.35">
      <c r="A2321" s="2" t="s">
        <v>255</v>
      </c>
      <c r="B2321" s="3">
        <v>45017</v>
      </c>
      <c r="C2321" s="2">
        <v>20</v>
      </c>
      <c r="D2321" s="2">
        <v>26868</v>
      </c>
      <c r="E2321" s="17">
        <v>54564.52</v>
      </c>
      <c r="F2321" s="11">
        <v>6.36</v>
      </c>
      <c r="G2321" s="9">
        <v>4353.1000000000004</v>
      </c>
      <c r="H2321" s="10">
        <v>0.5</v>
      </c>
      <c r="I2321" s="11">
        <v>7.3</v>
      </c>
    </row>
    <row r="2322" spans="1:9" x14ac:dyDescent="0.35">
      <c r="A2322" s="2" t="s">
        <v>255</v>
      </c>
      <c r="B2322" s="3">
        <v>45047</v>
      </c>
      <c r="C2322" s="2">
        <v>19</v>
      </c>
      <c r="D2322" s="2">
        <v>30205</v>
      </c>
      <c r="E2322" s="17">
        <v>68712.070000000007</v>
      </c>
      <c r="F2322" s="11">
        <v>6.52</v>
      </c>
      <c r="G2322" s="9">
        <v>4680.1000000000004</v>
      </c>
      <c r="H2322" s="10">
        <v>0.63200000000000001</v>
      </c>
      <c r="I2322" s="11">
        <v>7</v>
      </c>
    </row>
    <row r="2323" spans="1:9" x14ac:dyDescent="0.35">
      <c r="A2323" s="2" t="s">
        <v>255</v>
      </c>
      <c r="B2323" s="3">
        <v>45078</v>
      </c>
      <c r="C2323" s="2">
        <v>9</v>
      </c>
      <c r="D2323" s="2">
        <v>11273</v>
      </c>
      <c r="E2323" s="17">
        <v>25921.22</v>
      </c>
      <c r="F2323" s="11">
        <v>6.54</v>
      </c>
      <c r="G2323" s="9">
        <v>1747</v>
      </c>
      <c r="H2323" s="10">
        <v>0.55600000000000005</v>
      </c>
      <c r="I2323" s="11">
        <v>7.8</v>
      </c>
    </row>
    <row r="2324" spans="1:9" x14ac:dyDescent="0.35">
      <c r="A2324" s="2" t="s">
        <v>255</v>
      </c>
      <c r="B2324" s="3">
        <v>45108</v>
      </c>
      <c r="C2324" s="2">
        <v>17</v>
      </c>
      <c r="D2324" s="2">
        <v>16966</v>
      </c>
      <c r="E2324" s="17">
        <v>36556.93</v>
      </c>
      <c r="F2324" s="11">
        <v>6.32</v>
      </c>
      <c r="G2324" s="9">
        <v>2737.5</v>
      </c>
      <c r="H2324" s="10">
        <v>0.70599999999999996</v>
      </c>
      <c r="I2324" s="11">
        <v>7.3</v>
      </c>
    </row>
    <row r="2325" spans="1:9" x14ac:dyDescent="0.35">
      <c r="A2325" s="2" t="s">
        <v>255</v>
      </c>
      <c r="B2325" s="3">
        <v>45139</v>
      </c>
      <c r="C2325" s="2">
        <v>11</v>
      </c>
      <c r="D2325" s="2">
        <v>14139</v>
      </c>
      <c r="E2325" s="17">
        <v>30106.12</v>
      </c>
      <c r="F2325" s="11">
        <v>6.5</v>
      </c>
      <c r="G2325" s="9">
        <v>2117.1</v>
      </c>
      <c r="H2325" s="10">
        <v>0.63600000000000001</v>
      </c>
      <c r="I2325" s="11">
        <v>5.9</v>
      </c>
    </row>
    <row r="2326" spans="1:9" x14ac:dyDescent="0.35">
      <c r="A2326" s="2" t="s">
        <v>255</v>
      </c>
      <c r="B2326" s="3">
        <v>45170</v>
      </c>
      <c r="C2326" s="2">
        <v>17</v>
      </c>
      <c r="D2326" s="2">
        <v>24124</v>
      </c>
      <c r="E2326" s="17">
        <v>50053.9</v>
      </c>
      <c r="F2326" s="11">
        <v>6.5</v>
      </c>
      <c r="G2326" s="9">
        <v>3719.4</v>
      </c>
      <c r="H2326" s="10">
        <v>0.41199999999999998</v>
      </c>
      <c r="I2326" s="11">
        <v>6.5</v>
      </c>
    </row>
    <row r="2327" spans="1:9" x14ac:dyDescent="0.35">
      <c r="A2327" s="2" t="s">
        <v>255</v>
      </c>
      <c r="B2327" s="3">
        <v>45200</v>
      </c>
      <c r="C2327" s="2">
        <v>20</v>
      </c>
      <c r="D2327" s="2">
        <v>29879</v>
      </c>
      <c r="E2327" s="17">
        <v>62479.96</v>
      </c>
      <c r="F2327" s="11">
        <v>6.4</v>
      </c>
      <c r="G2327" s="9">
        <v>4664.1000000000004</v>
      </c>
      <c r="H2327" s="10">
        <v>0.45</v>
      </c>
      <c r="I2327" s="11">
        <v>7.8</v>
      </c>
    </row>
    <row r="2328" spans="1:9" x14ac:dyDescent="0.35">
      <c r="A2328" s="2" t="s">
        <v>255</v>
      </c>
      <c r="B2328" s="3">
        <v>45231</v>
      </c>
      <c r="C2328" s="2">
        <v>20</v>
      </c>
      <c r="D2328" s="2">
        <v>25906</v>
      </c>
      <c r="E2328" s="17">
        <v>51847.01</v>
      </c>
      <c r="F2328" s="11">
        <v>6.59</v>
      </c>
      <c r="G2328" s="9">
        <v>3819.2</v>
      </c>
      <c r="H2328" s="10">
        <v>0.45</v>
      </c>
      <c r="I2328" s="11">
        <v>6.5</v>
      </c>
    </row>
    <row r="2329" spans="1:9" x14ac:dyDescent="0.35">
      <c r="A2329" s="2" t="s">
        <v>255</v>
      </c>
      <c r="B2329" s="3">
        <v>45261</v>
      </c>
      <c r="C2329" s="2">
        <v>21</v>
      </c>
      <c r="D2329" s="2">
        <v>31306</v>
      </c>
      <c r="E2329" s="17">
        <v>58136.61</v>
      </c>
      <c r="F2329" s="11">
        <v>6.46</v>
      </c>
      <c r="G2329" s="9">
        <v>4922.7</v>
      </c>
      <c r="H2329" s="10">
        <v>0.47599999999999998</v>
      </c>
      <c r="I2329" s="11">
        <v>7.2</v>
      </c>
    </row>
    <row r="2330" spans="1:9" x14ac:dyDescent="0.35">
      <c r="A2330" s="2" t="s">
        <v>255</v>
      </c>
      <c r="B2330" s="3">
        <v>45292</v>
      </c>
      <c r="C2330" s="2">
        <v>12</v>
      </c>
      <c r="D2330" s="2">
        <v>17356</v>
      </c>
      <c r="E2330" s="17">
        <v>37321.07</v>
      </c>
      <c r="F2330" s="11">
        <v>6.48</v>
      </c>
      <c r="G2330" s="9">
        <v>2677</v>
      </c>
      <c r="H2330" s="10">
        <v>0.33300000000000002</v>
      </c>
      <c r="I2330" s="11">
        <v>7.5</v>
      </c>
    </row>
    <row r="2331" spans="1:9" x14ac:dyDescent="0.35">
      <c r="A2331" s="2" t="s">
        <v>255</v>
      </c>
      <c r="B2331" s="3">
        <v>45323</v>
      </c>
      <c r="C2331" s="2">
        <v>16</v>
      </c>
      <c r="D2331" s="2">
        <v>14153</v>
      </c>
      <c r="E2331" s="17">
        <v>29320.75</v>
      </c>
      <c r="F2331" s="11">
        <v>6.36</v>
      </c>
      <c r="G2331" s="9">
        <v>2258.3000000000002</v>
      </c>
      <c r="H2331" s="10">
        <v>0.438</v>
      </c>
      <c r="I2331" s="11">
        <v>5.8</v>
      </c>
    </row>
    <row r="2332" spans="1:9" x14ac:dyDescent="0.35">
      <c r="A2332" s="2" t="s">
        <v>255</v>
      </c>
      <c r="B2332" s="3">
        <v>45352</v>
      </c>
      <c r="C2332" s="2">
        <v>16</v>
      </c>
      <c r="D2332" s="2">
        <v>25134</v>
      </c>
      <c r="E2332" s="17">
        <v>54898.73</v>
      </c>
      <c r="F2332" s="11">
        <v>6.65</v>
      </c>
      <c r="G2332" s="9">
        <v>3831.2</v>
      </c>
      <c r="H2332" s="10">
        <v>0.438</v>
      </c>
      <c r="I2332" s="11">
        <v>7.1</v>
      </c>
    </row>
    <row r="2333" spans="1:9" x14ac:dyDescent="0.35">
      <c r="A2333" s="2" t="s">
        <v>255</v>
      </c>
      <c r="B2333" s="3">
        <v>45383</v>
      </c>
      <c r="C2333" s="2">
        <v>10</v>
      </c>
      <c r="D2333" s="2">
        <v>13966</v>
      </c>
      <c r="E2333" s="17">
        <v>30009.82</v>
      </c>
      <c r="F2333" s="11">
        <v>6.45</v>
      </c>
      <c r="G2333" s="9">
        <v>2179.5</v>
      </c>
      <c r="H2333" s="10">
        <v>0.2</v>
      </c>
      <c r="I2333" s="11">
        <v>6.9</v>
      </c>
    </row>
    <row r="2334" spans="1:9" x14ac:dyDescent="0.35">
      <c r="A2334" s="2" t="s">
        <v>255</v>
      </c>
      <c r="B2334" s="3">
        <v>45413</v>
      </c>
      <c r="C2334" s="2">
        <v>25</v>
      </c>
      <c r="D2334" s="2">
        <v>28450</v>
      </c>
      <c r="E2334" s="17">
        <v>53853.01</v>
      </c>
      <c r="F2334" s="11">
        <v>6.46</v>
      </c>
      <c r="G2334" s="9">
        <v>4412.5</v>
      </c>
      <c r="H2334" s="10">
        <v>0.56000000000000005</v>
      </c>
      <c r="I2334" s="11">
        <v>7.2</v>
      </c>
    </row>
    <row r="2335" spans="1:9" x14ac:dyDescent="0.35">
      <c r="A2335" s="2" t="s">
        <v>255</v>
      </c>
      <c r="B2335" s="3">
        <v>45444</v>
      </c>
      <c r="C2335" s="2">
        <v>17</v>
      </c>
      <c r="D2335" s="2">
        <v>30805</v>
      </c>
      <c r="E2335" s="17">
        <v>71207.490000000005</v>
      </c>
      <c r="F2335" s="11">
        <v>6.54</v>
      </c>
      <c r="G2335" s="9">
        <v>4789.3</v>
      </c>
      <c r="H2335" s="10">
        <v>0.52900000000000003</v>
      </c>
      <c r="I2335" s="11">
        <v>6.9</v>
      </c>
    </row>
    <row r="2336" spans="1:9" x14ac:dyDescent="0.35">
      <c r="A2336" s="2" t="s">
        <v>255</v>
      </c>
      <c r="B2336" s="3">
        <v>45474</v>
      </c>
      <c r="C2336" s="2">
        <v>12</v>
      </c>
      <c r="D2336" s="2">
        <v>13067</v>
      </c>
      <c r="E2336" s="17">
        <v>31764.46</v>
      </c>
      <c r="F2336" s="11">
        <v>6.14</v>
      </c>
      <c r="G2336" s="9">
        <v>2137.8000000000002</v>
      </c>
      <c r="H2336" s="10">
        <v>0.75</v>
      </c>
      <c r="I2336" s="11">
        <v>6.3</v>
      </c>
    </row>
    <row r="2337" spans="1:9" x14ac:dyDescent="0.35">
      <c r="A2337" s="2" t="s">
        <v>255</v>
      </c>
      <c r="B2337" s="3">
        <v>45505</v>
      </c>
      <c r="C2337" s="2">
        <v>14</v>
      </c>
      <c r="D2337" s="2">
        <v>20751</v>
      </c>
      <c r="E2337" s="17">
        <v>42866.23</v>
      </c>
      <c r="F2337" s="11">
        <v>6.3</v>
      </c>
      <c r="G2337" s="9">
        <v>3390.3</v>
      </c>
      <c r="H2337" s="10">
        <v>0.14299999999999999</v>
      </c>
      <c r="I2337" s="11">
        <v>7.4</v>
      </c>
    </row>
    <row r="2338" spans="1:9" x14ac:dyDescent="0.35">
      <c r="A2338" s="2" t="s">
        <v>255</v>
      </c>
      <c r="B2338" s="3">
        <v>45536</v>
      </c>
      <c r="C2338" s="2">
        <v>25</v>
      </c>
      <c r="D2338" s="2">
        <v>37567</v>
      </c>
      <c r="E2338" s="17">
        <v>84867.54</v>
      </c>
      <c r="F2338" s="11">
        <v>6.49</v>
      </c>
      <c r="G2338" s="9">
        <v>5771.6</v>
      </c>
      <c r="H2338" s="10">
        <v>0.52</v>
      </c>
      <c r="I2338" s="11">
        <v>6.2</v>
      </c>
    </row>
    <row r="2339" spans="1:9" x14ac:dyDescent="0.35">
      <c r="A2339" s="2" t="s">
        <v>255</v>
      </c>
      <c r="B2339" s="3">
        <v>45566</v>
      </c>
      <c r="C2339" s="2">
        <v>23</v>
      </c>
      <c r="D2339" s="2">
        <v>30059</v>
      </c>
      <c r="E2339" s="17">
        <v>58731.3</v>
      </c>
      <c r="F2339" s="11">
        <v>6.67</v>
      </c>
      <c r="G2339" s="9">
        <v>4416.7</v>
      </c>
      <c r="H2339" s="10">
        <v>0.47799999999999998</v>
      </c>
      <c r="I2339" s="11">
        <v>7.6</v>
      </c>
    </row>
    <row r="2340" spans="1:9" x14ac:dyDescent="0.35">
      <c r="A2340" s="2" t="s">
        <v>255</v>
      </c>
      <c r="B2340" s="3">
        <v>45597</v>
      </c>
      <c r="C2340" s="2">
        <v>11</v>
      </c>
      <c r="D2340" s="2">
        <v>19221</v>
      </c>
      <c r="E2340" s="17">
        <v>41999.43</v>
      </c>
      <c r="F2340" s="11">
        <v>6.54</v>
      </c>
      <c r="G2340" s="9">
        <v>3031</v>
      </c>
      <c r="H2340" s="10">
        <v>0.54500000000000004</v>
      </c>
      <c r="I2340" s="11">
        <v>5.7</v>
      </c>
    </row>
    <row r="2341" spans="1:9" x14ac:dyDescent="0.35">
      <c r="A2341" s="2" t="s">
        <v>255</v>
      </c>
      <c r="B2341" s="3">
        <v>45627</v>
      </c>
      <c r="C2341" s="2">
        <v>22</v>
      </c>
      <c r="D2341" s="2">
        <v>36841</v>
      </c>
      <c r="E2341" s="17">
        <v>80685.289999999994</v>
      </c>
      <c r="F2341" s="11">
        <v>6.55</v>
      </c>
      <c r="G2341" s="9">
        <v>5684.3</v>
      </c>
      <c r="H2341" s="10">
        <v>0.5</v>
      </c>
      <c r="I2341" s="11">
        <v>7.8</v>
      </c>
    </row>
    <row r="2342" spans="1:9" x14ac:dyDescent="0.35">
      <c r="A2342" s="2" t="s">
        <v>257</v>
      </c>
      <c r="B2342" s="3">
        <v>44562</v>
      </c>
      <c r="C2342" s="2">
        <v>19</v>
      </c>
      <c r="D2342" s="2">
        <v>20184</v>
      </c>
      <c r="E2342" s="17">
        <v>44999.66</v>
      </c>
      <c r="F2342" s="11">
        <v>6.58</v>
      </c>
      <c r="G2342" s="9">
        <v>3119.4</v>
      </c>
      <c r="H2342" s="10">
        <v>0.47399999999999998</v>
      </c>
      <c r="I2342" s="11">
        <v>7.5</v>
      </c>
    </row>
    <row r="2343" spans="1:9" x14ac:dyDescent="0.35">
      <c r="A2343" s="2" t="s">
        <v>257</v>
      </c>
      <c r="B2343" s="3">
        <v>44593</v>
      </c>
      <c r="C2343" s="2">
        <v>17</v>
      </c>
      <c r="D2343" s="2">
        <v>22001</v>
      </c>
      <c r="E2343" s="17">
        <v>45665.97</v>
      </c>
      <c r="F2343" s="11">
        <v>6.32</v>
      </c>
      <c r="G2343" s="9">
        <v>3513.9</v>
      </c>
      <c r="H2343" s="10">
        <v>0.29399999999999998</v>
      </c>
      <c r="I2343" s="11">
        <v>7.3</v>
      </c>
    </row>
    <row r="2344" spans="1:9" x14ac:dyDescent="0.35">
      <c r="A2344" s="2" t="s">
        <v>257</v>
      </c>
      <c r="B2344" s="3">
        <v>44621</v>
      </c>
      <c r="C2344" s="2">
        <v>17</v>
      </c>
      <c r="D2344" s="2">
        <v>25222</v>
      </c>
      <c r="E2344" s="17">
        <v>57618.49</v>
      </c>
      <c r="F2344" s="11">
        <v>6.63</v>
      </c>
      <c r="G2344" s="9">
        <v>3828.8</v>
      </c>
      <c r="H2344" s="10">
        <v>0.52900000000000003</v>
      </c>
      <c r="I2344" s="11">
        <v>7.7</v>
      </c>
    </row>
    <row r="2345" spans="1:9" x14ac:dyDescent="0.35">
      <c r="A2345" s="2" t="s">
        <v>257</v>
      </c>
      <c r="B2345" s="3">
        <v>44652</v>
      </c>
      <c r="C2345" s="2">
        <v>15</v>
      </c>
      <c r="D2345" s="2">
        <v>18068</v>
      </c>
      <c r="E2345" s="17">
        <v>40476.1</v>
      </c>
      <c r="F2345" s="11">
        <v>6.71</v>
      </c>
      <c r="G2345" s="9">
        <v>2744.8</v>
      </c>
      <c r="H2345" s="10">
        <v>0.46700000000000003</v>
      </c>
      <c r="I2345" s="11">
        <v>7.4</v>
      </c>
    </row>
    <row r="2346" spans="1:9" x14ac:dyDescent="0.35">
      <c r="A2346" s="2" t="s">
        <v>257</v>
      </c>
      <c r="B2346" s="3">
        <v>44682</v>
      </c>
      <c r="C2346" s="2">
        <v>13</v>
      </c>
      <c r="D2346" s="2">
        <v>18864</v>
      </c>
      <c r="E2346" s="17">
        <v>36950.11</v>
      </c>
      <c r="F2346" s="11">
        <v>6.57</v>
      </c>
      <c r="G2346" s="9">
        <v>2876.8</v>
      </c>
      <c r="H2346" s="10">
        <v>0.53800000000000003</v>
      </c>
      <c r="I2346" s="11">
        <v>6.7</v>
      </c>
    </row>
    <row r="2347" spans="1:9" x14ac:dyDescent="0.35">
      <c r="A2347" s="2" t="s">
        <v>257</v>
      </c>
      <c r="B2347" s="3">
        <v>44713</v>
      </c>
      <c r="C2347" s="2">
        <v>22</v>
      </c>
      <c r="D2347" s="2">
        <v>35446</v>
      </c>
      <c r="E2347" s="17">
        <v>78278.05</v>
      </c>
      <c r="F2347" s="11">
        <v>6.6</v>
      </c>
      <c r="G2347" s="9">
        <v>5415.2</v>
      </c>
      <c r="H2347" s="10">
        <v>0.5</v>
      </c>
      <c r="I2347" s="11">
        <v>7.2</v>
      </c>
    </row>
    <row r="2348" spans="1:9" x14ac:dyDescent="0.35">
      <c r="A2348" s="2" t="s">
        <v>257</v>
      </c>
      <c r="B2348" s="3">
        <v>44743</v>
      </c>
      <c r="C2348" s="2">
        <v>24</v>
      </c>
      <c r="D2348" s="2">
        <v>35220</v>
      </c>
      <c r="E2348" s="17">
        <v>70153.58</v>
      </c>
      <c r="F2348" s="11">
        <v>6.51</v>
      </c>
      <c r="G2348" s="9">
        <v>5446.2</v>
      </c>
      <c r="H2348" s="10">
        <v>0.29199999999999998</v>
      </c>
      <c r="I2348" s="11">
        <v>7.6</v>
      </c>
    </row>
    <row r="2349" spans="1:9" x14ac:dyDescent="0.35">
      <c r="A2349" s="2" t="s">
        <v>257</v>
      </c>
      <c r="B2349" s="3">
        <v>44774</v>
      </c>
      <c r="C2349" s="2">
        <v>23</v>
      </c>
      <c r="D2349" s="2">
        <v>31186</v>
      </c>
      <c r="E2349" s="17">
        <v>71051.58</v>
      </c>
      <c r="F2349" s="11">
        <v>6.46</v>
      </c>
      <c r="G2349" s="9">
        <v>4882.3999999999996</v>
      </c>
      <c r="H2349" s="10">
        <v>0.60899999999999999</v>
      </c>
      <c r="I2349" s="11">
        <v>7.2</v>
      </c>
    </row>
    <row r="2350" spans="1:9" x14ac:dyDescent="0.35">
      <c r="A2350" s="2" t="s">
        <v>257</v>
      </c>
      <c r="B2350" s="3">
        <v>44805</v>
      </c>
      <c r="C2350" s="2">
        <v>23</v>
      </c>
      <c r="D2350" s="2">
        <v>34294</v>
      </c>
      <c r="E2350" s="17">
        <v>68715.350000000006</v>
      </c>
      <c r="F2350" s="11">
        <v>6.53</v>
      </c>
      <c r="G2350" s="9">
        <v>5306.4</v>
      </c>
      <c r="H2350" s="10">
        <v>0.34799999999999998</v>
      </c>
      <c r="I2350" s="11">
        <v>6.5</v>
      </c>
    </row>
    <row r="2351" spans="1:9" x14ac:dyDescent="0.35">
      <c r="A2351" s="2" t="s">
        <v>257</v>
      </c>
      <c r="B2351" s="3">
        <v>44835</v>
      </c>
      <c r="C2351" s="2">
        <v>15</v>
      </c>
      <c r="D2351" s="2">
        <v>12253</v>
      </c>
      <c r="E2351" s="17">
        <v>26469.42</v>
      </c>
      <c r="F2351" s="11">
        <v>6.74</v>
      </c>
      <c r="G2351" s="9">
        <v>1841.7</v>
      </c>
      <c r="H2351" s="10">
        <v>0.46700000000000003</v>
      </c>
      <c r="I2351" s="11">
        <v>7.7</v>
      </c>
    </row>
    <row r="2352" spans="1:9" x14ac:dyDescent="0.35">
      <c r="A2352" s="2" t="s">
        <v>257</v>
      </c>
      <c r="B2352" s="3">
        <v>44866</v>
      </c>
      <c r="C2352" s="2">
        <v>14</v>
      </c>
      <c r="D2352" s="2">
        <v>21991</v>
      </c>
      <c r="E2352" s="17">
        <v>44277.71</v>
      </c>
      <c r="F2352" s="11">
        <v>6.47</v>
      </c>
      <c r="G2352" s="9">
        <v>3413.4</v>
      </c>
      <c r="H2352" s="10">
        <v>0.42899999999999999</v>
      </c>
      <c r="I2352" s="11">
        <v>7.5</v>
      </c>
    </row>
    <row r="2353" spans="1:9" x14ac:dyDescent="0.35">
      <c r="A2353" s="2" t="s">
        <v>257</v>
      </c>
      <c r="B2353" s="3">
        <v>44896</v>
      </c>
      <c r="C2353" s="2">
        <v>23</v>
      </c>
      <c r="D2353" s="2">
        <v>27981</v>
      </c>
      <c r="E2353" s="17">
        <v>58666.58</v>
      </c>
      <c r="F2353" s="11">
        <v>6.43</v>
      </c>
      <c r="G2353" s="9">
        <v>4462.7</v>
      </c>
      <c r="H2353" s="10">
        <v>0.39100000000000001</v>
      </c>
      <c r="I2353" s="11">
        <v>6.9</v>
      </c>
    </row>
    <row r="2354" spans="1:9" x14ac:dyDescent="0.35">
      <c r="A2354" s="2" t="s">
        <v>257</v>
      </c>
      <c r="B2354" s="3">
        <v>44927</v>
      </c>
      <c r="C2354" s="2">
        <v>12</v>
      </c>
      <c r="D2354" s="2">
        <v>19783</v>
      </c>
      <c r="E2354" s="17">
        <v>42205.52</v>
      </c>
      <c r="F2354" s="11">
        <v>6.72</v>
      </c>
      <c r="G2354" s="9">
        <v>2999</v>
      </c>
      <c r="H2354" s="10">
        <v>0.41699999999999998</v>
      </c>
      <c r="I2354" s="11">
        <v>8.1</v>
      </c>
    </row>
    <row r="2355" spans="1:9" x14ac:dyDescent="0.35">
      <c r="A2355" s="2" t="s">
        <v>257</v>
      </c>
      <c r="B2355" s="3">
        <v>44958</v>
      </c>
      <c r="C2355" s="2">
        <v>17</v>
      </c>
      <c r="D2355" s="2">
        <v>23813</v>
      </c>
      <c r="E2355" s="17">
        <v>57610.16</v>
      </c>
      <c r="F2355" s="11">
        <v>6.3</v>
      </c>
      <c r="G2355" s="9">
        <v>3792.4</v>
      </c>
      <c r="H2355" s="10">
        <v>0.29399999999999998</v>
      </c>
      <c r="I2355" s="11">
        <v>6.2</v>
      </c>
    </row>
    <row r="2356" spans="1:9" x14ac:dyDescent="0.35">
      <c r="A2356" s="2" t="s">
        <v>257</v>
      </c>
      <c r="B2356" s="3">
        <v>44986</v>
      </c>
      <c r="C2356" s="2">
        <v>16</v>
      </c>
      <c r="D2356" s="2">
        <v>24400</v>
      </c>
      <c r="E2356" s="17">
        <v>49420.88</v>
      </c>
      <c r="F2356" s="11">
        <v>6.31</v>
      </c>
      <c r="G2356" s="9">
        <v>3815.7</v>
      </c>
      <c r="H2356" s="10">
        <v>0.56200000000000006</v>
      </c>
      <c r="I2356" s="11">
        <v>7.4</v>
      </c>
    </row>
    <row r="2357" spans="1:9" x14ac:dyDescent="0.35">
      <c r="A2357" s="2" t="s">
        <v>257</v>
      </c>
      <c r="B2357" s="3">
        <v>45017</v>
      </c>
      <c r="C2357" s="2">
        <v>16</v>
      </c>
      <c r="D2357" s="2">
        <v>21168</v>
      </c>
      <c r="E2357" s="17">
        <v>44499.89</v>
      </c>
      <c r="F2357" s="11">
        <v>6.59</v>
      </c>
      <c r="G2357" s="9">
        <v>3190.2</v>
      </c>
      <c r="H2357" s="10">
        <v>0.56200000000000006</v>
      </c>
      <c r="I2357" s="11">
        <v>7.6</v>
      </c>
    </row>
    <row r="2358" spans="1:9" x14ac:dyDescent="0.35">
      <c r="A2358" s="2" t="s">
        <v>257</v>
      </c>
      <c r="B2358" s="3">
        <v>45047</v>
      </c>
      <c r="C2358" s="2">
        <v>20</v>
      </c>
      <c r="D2358" s="2">
        <v>33182</v>
      </c>
      <c r="E2358" s="17">
        <v>73825.52</v>
      </c>
      <c r="F2358" s="11">
        <v>6.4</v>
      </c>
      <c r="G2358" s="9">
        <v>5130.7</v>
      </c>
      <c r="H2358" s="10">
        <v>0.45</v>
      </c>
      <c r="I2358" s="11">
        <v>6.9</v>
      </c>
    </row>
    <row r="2359" spans="1:9" x14ac:dyDescent="0.35">
      <c r="A2359" s="2" t="s">
        <v>257</v>
      </c>
      <c r="B2359" s="3">
        <v>45078</v>
      </c>
      <c r="C2359" s="2">
        <v>19</v>
      </c>
      <c r="D2359" s="2">
        <v>24848</v>
      </c>
      <c r="E2359" s="17">
        <v>51591.59</v>
      </c>
      <c r="F2359" s="11">
        <v>6.77</v>
      </c>
      <c r="G2359" s="9">
        <v>3701.6</v>
      </c>
      <c r="H2359" s="10">
        <v>0.36799999999999999</v>
      </c>
      <c r="I2359" s="11">
        <v>7</v>
      </c>
    </row>
    <row r="2360" spans="1:9" x14ac:dyDescent="0.35">
      <c r="A2360" s="2" t="s">
        <v>257</v>
      </c>
      <c r="B2360" s="3">
        <v>45108</v>
      </c>
      <c r="C2360" s="2">
        <v>12</v>
      </c>
      <c r="D2360" s="2">
        <v>13161</v>
      </c>
      <c r="E2360" s="17">
        <v>25852.15</v>
      </c>
      <c r="F2360" s="11">
        <v>6.68</v>
      </c>
      <c r="G2360" s="9">
        <v>1991.5</v>
      </c>
      <c r="H2360" s="10">
        <v>0.5</v>
      </c>
      <c r="I2360" s="11">
        <v>6.5</v>
      </c>
    </row>
    <row r="2361" spans="1:9" x14ac:dyDescent="0.35">
      <c r="A2361" s="2" t="s">
        <v>257</v>
      </c>
      <c r="B2361" s="3">
        <v>45139</v>
      </c>
      <c r="C2361" s="2">
        <v>15</v>
      </c>
      <c r="D2361" s="2">
        <v>18358</v>
      </c>
      <c r="E2361" s="17">
        <v>40368.54</v>
      </c>
      <c r="F2361" s="11">
        <v>6.72</v>
      </c>
      <c r="G2361" s="9">
        <v>2736.6</v>
      </c>
      <c r="H2361" s="10">
        <v>0.6</v>
      </c>
      <c r="I2361" s="11">
        <v>7.3</v>
      </c>
    </row>
    <row r="2362" spans="1:9" x14ac:dyDescent="0.35">
      <c r="A2362" s="2" t="s">
        <v>257</v>
      </c>
      <c r="B2362" s="3">
        <v>45170</v>
      </c>
      <c r="C2362" s="2">
        <v>23</v>
      </c>
      <c r="D2362" s="2">
        <v>41257</v>
      </c>
      <c r="E2362" s="17">
        <v>91385.39</v>
      </c>
      <c r="F2362" s="11">
        <v>6.4</v>
      </c>
      <c r="G2362" s="9">
        <v>6483.4</v>
      </c>
      <c r="H2362" s="10">
        <v>0.47799999999999998</v>
      </c>
      <c r="I2362" s="11">
        <v>7.4</v>
      </c>
    </row>
    <row r="2363" spans="1:9" x14ac:dyDescent="0.35">
      <c r="A2363" s="2" t="s">
        <v>257</v>
      </c>
      <c r="B2363" s="3">
        <v>45200</v>
      </c>
      <c r="C2363" s="2">
        <v>22</v>
      </c>
      <c r="D2363" s="2">
        <v>29636</v>
      </c>
      <c r="E2363" s="17">
        <v>67395.69</v>
      </c>
      <c r="F2363" s="11">
        <v>6.6</v>
      </c>
      <c r="G2363" s="9">
        <v>4473.2</v>
      </c>
      <c r="H2363" s="10">
        <v>0.27300000000000002</v>
      </c>
      <c r="I2363" s="11">
        <v>6.3</v>
      </c>
    </row>
    <row r="2364" spans="1:9" x14ac:dyDescent="0.35">
      <c r="A2364" s="2" t="s">
        <v>257</v>
      </c>
      <c r="B2364" s="3">
        <v>45231</v>
      </c>
      <c r="C2364" s="2">
        <v>17</v>
      </c>
      <c r="D2364" s="2">
        <v>29724</v>
      </c>
      <c r="E2364" s="17">
        <v>63361.26</v>
      </c>
      <c r="F2364" s="11">
        <v>6.33</v>
      </c>
      <c r="G2364" s="9">
        <v>4657.6000000000004</v>
      </c>
      <c r="H2364" s="10">
        <v>0.52900000000000003</v>
      </c>
      <c r="I2364" s="11">
        <v>6.4</v>
      </c>
    </row>
    <row r="2365" spans="1:9" x14ac:dyDescent="0.35">
      <c r="A2365" s="2" t="s">
        <v>257</v>
      </c>
      <c r="B2365" s="3">
        <v>45261</v>
      </c>
      <c r="C2365" s="2">
        <v>17</v>
      </c>
      <c r="D2365" s="2">
        <v>24561</v>
      </c>
      <c r="E2365" s="17">
        <v>52038.04</v>
      </c>
      <c r="F2365" s="11">
        <v>6.38</v>
      </c>
      <c r="G2365" s="9">
        <v>3796</v>
      </c>
      <c r="H2365" s="10">
        <v>0.41199999999999998</v>
      </c>
      <c r="I2365" s="11">
        <v>7.2</v>
      </c>
    </row>
    <row r="2366" spans="1:9" x14ac:dyDescent="0.35">
      <c r="A2366" s="2" t="s">
        <v>257</v>
      </c>
      <c r="B2366" s="3">
        <v>45292</v>
      </c>
      <c r="C2366" s="2">
        <v>14</v>
      </c>
      <c r="D2366" s="2">
        <v>25336</v>
      </c>
      <c r="E2366" s="17">
        <v>55096.17</v>
      </c>
      <c r="F2366" s="11">
        <v>6.78</v>
      </c>
      <c r="G2366" s="9">
        <v>3764.9</v>
      </c>
      <c r="H2366" s="10">
        <v>0.57099999999999995</v>
      </c>
      <c r="I2366" s="11">
        <v>6.4</v>
      </c>
    </row>
    <row r="2367" spans="1:9" x14ac:dyDescent="0.35">
      <c r="A2367" s="2" t="s">
        <v>257</v>
      </c>
      <c r="B2367" s="3">
        <v>45323</v>
      </c>
      <c r="C2367" s="2">
        <v>24</v>
      </c>
      <c r="D2367" s="2">
        <v>42492</v>
      </c>
      <c r="E2367" s="17">
        <v>89432.54</v>
      </c>
      <c r="F2367" s="11">
        <v>6.57</v>
      </c>
      <c r="G2367" s="9">
        <v>6533.2</v>
      </c>
      <c r="H2367" s="10">
        <v>0.29199999999999998</v>
      </c>
      <c r="I2367" s="11">
        <v>6.6</v>
      </c>
    </row>
    <row r="2368" spans="1:9" x14ac:dyDescent="0.35">
      <c r="A2368" s="2" t="s">
        <v>257</v>
      </c>
      <c r="B2368" s="3">
        <v>45352</v>
      </c>
      <c r="C2368" s="2">
        <v>20</v>
      </c>
      <c r="D2368" s="2">
        <v>29051</v>
      </c>
      <c r="E2368" s="17">
        <v>65606.62</v>
      </c>
      <c r="F2368" s="11">
        <v>6.75</v>
      </c>
      <c r="G2368" s="9">
        <v>4275.6000000000004</v>
      </c>
      <c r="H2368" s="10">
        <v>0.45</v>
      </c>
      <c r="I2368" s="11">
        <v>6.7</v>
      </c>
    </row>
    <row r="2369" spans="1:9" x14ac:dyDescent="0.35">
      <c r="A2369" s="2" t="s">
        <v>257</v>
      </c>
      <c r="B2369" s="3">
        <v>45383</v>
      </c>
      <c r="C2369" s="2">
        <v>19</v>
      </c>
      <c r="D2369" s="2">
        <v>22201</v>
      </c>
      <c r="E2369" s="17">
        <v>42643.05</v>
      </c>
      <c r="F2369" s="11">
        <v>6.73</v>
      </c>
      <c r="G2369" s="9">
        <v>3317.5</v>
      </c>
      <c r="H2369" s="10">
        <v>0.57899999999999996</v>
      </c>
      <c r="I2369" s="11">
        <v>7.9</v>
      </c>
    </row>
    <row r="2370" spans="1:9" x14ac:dyDescent="0.35">
      <c r="A2370" s="2" t="s">
        <v>257</v>
      </c>
      <c r="B2370" s="3">
        <v>45413</v>
      </c>
      <c r="C2370" s="2">
        <v>24</v>
      </c>
      <c r="D2370" s="2">
        <v>38384</v>
      </c>
      <c r="E2370" s="17">
        <v>84452.81</v>
      </c>
      <c r="F2370" s="11">
        <v>6.32</v>
      </c>
      <c r="G2370" s="9">
        <v>6119.7</v>
      </c>
      <c r="H2370" s="10">
        <v>0.54200000000000004</v>
      </c>
      <c r="I2370" s="11">
        <v>7</v>
      </c>
    </row>
    <row r="2371" spans="1:9" x14ac:dyDescent="0.35">
      <c r="A2371" s="2" t="s">
        <v>257</v>
      </c>
      <c r="B2371" s="3">
        <v>45444</v>
      </c>
      <c r="C2371" s="2">
        <v>14</v>
      </c>
      <c r="D2371" s="2">
        <v>17598</v>
      </c>
      <c r="E2371" s="17">
        <v>37364.78</v>
      </c>
      <c r="F2371" s="11">
        <v>6.48</v>
      </c>
      <c r="G2371" s="9">
        <v>2710.1</v>
      </c>
      <c r="H2371" s="10">
        <v>0.64300000000000002</v>
      </c>
      <c r="I2371" s="11">
        <v>5.3</v>
      </c>
    </row>
    <row r="2372" spans="1:9" x14ac:dyDescent="0.35">
      <c r="A2372" s="2" t="s">
        <v>257</v>
      </c>
      <c r="B2372" s="3">
        <v>45474</v>
      </c>
      <c r="C2372" s="2">
        <v>24</v>
      </c>
      <c r="D2372" s="2">
        <v>31808</v>
      </c>
      <c r="E2372" s="17">
        <v>66534.37</v>
      </c>
      <c r="F2372" s="11">
        <v>6.38</v>
      </c>
      <c r="G2372" s="9">
        <v>4972.3</v>
      </c>
      <c r="H2372" s="10">
        <v>0.54200000000000004</v>
      </c>
      <c r="I2372" s="11">
        <v>7.3</v>
      </c>
    </row>
    <row r="2373" spans="1:9" x14ac:dyDescent="0.35">
      <c r="A2373" s="2" t="s">
        <v>257</v>
      </c>
      <c r="B2373" s="3">
        <v>45505</v>
      </c>
      <c r="C2373" s="2">
        <v>16</v>
      </c>
      <c r="D2373" s="2">
        <v>21113</v>
      </c>
      <c r="E2373" s="17">
        <v>45544.69</v>
      </c>
      <c r="F2373" s="11">
        <v>6.52</v>
      </c>
      <c r="G2373" s="9">
        <v>3236.6</v>
      </c>
      <c r="H2373" s="10">
        <v>0.56200000000000006</v>
      </c>
      <c r="I2373" s="11">
        <v>6.5</v>
      </c>
    </row>
    <row r="2374" spans="1:9" x14ac:dyDescent="0.35">
      <c r="A2374" s="2" t="s">
        <v>257</v>
      </c>
      <c r="B2374" s="3">
        <v>45536</v>
      </c>
      <c r="C2374" s="2">
        <v>17</v>
      </c>
      <c r="D2374" s="2">
        <v>21312</v>
      </c>
      <c r="E2374" s="17">
        <v>45407.29</v>
      </c>
      <c r="F2374" s="11">
        <v>6.68</v>
      </c>
      <c r="G2374" s="9">
        <v>3151.5</v>
      </c>
      <c r="H2374" s="10">
        <v>0.52900000000000003</v>
      </c>
      <c r="I2374" s="11">
        <v>6.6</v>
      </c>
    </row>
    <row r="2375" spans="1:9" x14ac:dyDescent="0.35">
      <c r="A2375" s="2" t="s">
        <v>257</v>
      </c>
      <c r="B2375" s="3">
        <v>45566</v>
      </c>
      <c r="C2375" s="2">
        <v>20</v>
      </c>
      <c r="D2375" s="2">
        <v>34192</v>
      </c>
      <c r="E2375" s="17">
        <v>70908.05</v>
      </c>
      <c r="F2375" s="11">
        <v>6.53</v>
      </c>
      <c r="G2375" s="9">
        <v>5248.9</v>
      </c>
      <c r="H2375" s="10">
        <v>0.45</v>
      </c>
      <c r="I2375" s="11">
        <v>6.3</v>
      </c>
    </row>
    <row r="2376" spans="1:9" x14ac:dyDescent="0.35">
      <c r="A2376" s="2" t="s">
        <v>257</v>
      </c>
      <c r="B2376" s="3">
        <v>45597</v>
      </c>
      <c r="C2376" s="2">
        <v>20</v>
      </c>
      <c r="D2376" s="2">
        <v>27109</v>
      </c>
      <c r="E2376" s="17">
        <v>57462.96</v>
      </c>
      <c r="F2376" s="11">
        <v>6.49</v>
      </c>
      <c r="G2376" s="9">
        <v>4216.5</v>
      </c>
      <c r="H2376" s="10">
        <v>0.45</v>
      </c>
      <c r="I2376" s="11">
        <v>6.6</v>
      </c>
    </row>
    <row r="2377" spans="1:9" x14ac:dyDescent="0.35">
      <c r="A2377" s="2" t="s">
        <v>257</v>
      </c>
      <c r="B2377" s="3">
        <v>45627</v>
      </c>
      <c r="C2377" s="2">
        <v>23</v>
      </c>
      <c r="D2377" s="2">
        <v>29516</v>
      </c>
      <c r="E2377" s="17">
        <v>64508.73</v>
      </c>
      <c r="F2377" s="11">
        <v>6.7</v>
      </c>
      <c r="G2377" s="9">
        <v>4495.3999999999996</v>
      </c>
      <c r="H2377" s="10">
        <v>0.435</v>
      </c>
      <c r="I2377" s="11">
        <v>7</v>
      </c>
    </row>
    <row r="2378" spans="1:9" x14ac:dyDescent="0.35">
      <c r="A2378" s="2" t="s">
        <v>259</v>
      </c>
      <c r="B2378" s="3">
        <v>44562</v>
      </c>
      <c r="C2378" s="2">
        <v>23</v>
      </c>
      <c r="D2378" s="2">
        <v>28292</v>
      </c>
      <c r="E2378" s="17">
        <v>62482.31</v>
      </c>
      <c r="F2378" s="11">
        <v>6.69</v>
      </c>
      <c r="G2378" s="9">
        <v>4316.3</v>
      </c>
      <c r="H2378" s="10">
        <v>0.39100000000000001</v>
      </c>
      <c r="I2378" s="11">
        <v>8.4</v>
      </c>
    </row>
    <row r="2379" spans="1:9" x14ac:dyDescent="0.35">
      <c r="A2379" s="2" t="s">
        <v>259</v>
      </c>
      <c r="B2379" s="3">
        <v>44593</v>
      </c>
      <c r="C2379" s="2">
        <v>20</v>
      </c>
      <c r="D2379" s="2">
        <v>29269</v>
      </c>
      <c r="E2379" s="17">
        <v>63904.29</v>
      </c>
      <c r="F2379" s="11">
        <v>6.43</v>
      </c>
      <c r="G2379" s="9">
        <v>4635.1000000000004</v>
      </c>
      <c r="H2379" s="10">
        <v>0.55000000000000004</v>
      </c>
      <c r="I2379" s="11">
        <v>6.2</v>
      </c>
    </row>
    <row r="2380" spans="1:9" x14ac:dyDescent="0.35">
      <c r="A2380" s="2" t="s">
        <v>259</v>
      </c>
      <c r="B2380" s="3">
        <v>44621</v>
      </c>
      <c r="C2380" s="2">
        <v>11</v>
      </c>
      <c r="D2380" s="2">
        <v>9512</v>
      </c>
      <c r="E2380" s="17">
        <v>21823.040000000001</v>
      </c>
      <c r="F2380" s="11">
        <v>6.63</v>
      </c>
      <c r="G2380" s="9">
        <v>1408.3</v>
      </c>
      <c r="H2380" s="10">
        <v>0.36399999999999999</v>
      </c>
      <c r="I2380" s="11">
        <v>9.4</v>
      </c>
    </row>
    <row r="2381" spans="1:9" x14ac:dyDescent="0.35">
      <c r="A2381" s="2" t="s">
        <v>259</v>
      </c>
      <c r="B2381" s="3">
        <v>44652</v>
      </c>
      <c r="C2381" s="2">
        <v>18</v>
      </c>
      <c r="D2381" s="2">
        <v>26756</v>
      </c>
      <c r="E2381" s="17">
        <v>56500.92</v>
      </c>
      <c r="F2381" s="11">
        <v>6.39</v>
      </c>
      <c r="G2381" s="9">
        <v>4155.8</v>
      </c>
      <c r="H2381" s="10">
        <v>0.33300000000000002</v>
      </c>
      <c r="I2381" s="11">
        <v>7.4</v>
      </c>
    </row>
    <row r="2382" spans="1:9" x14ac:dyDescent="0.35">
      <c r="A2382" s="2" t="s">
        <v>259</v>
      </c>
      <c r="B2382" s="3">
        <v>44682</v>
      </c>
      <c r="C2382" s="2">
        <v>17</v>
      </c>
      <c r="D2382" s="2">
        <v>21191</v>
      </c>
      <c r="E2382" s="17">
        <v>44187.1</v>
      </c>
      <c r="F2382" s="11">
        <v>6.63</v>
      </c>
      <c r="G2382" s="9">
        <v>3255.3</v>
      </c>
      <c r="H2382" s="10">
        <v>0.52900000000000003</v>
      </c>
      <c r="I2382" s="11">
        <v>7.5</v>
      </c>
    </row>
    <row r="2383" spans="1:9" x14ac:dyDescent="0.35">
      <c r="A2383" s="2" t="s">
        <v>259</v>
      </c>
      <c r="B2383" s="3">
        <v>44713</v>
      </c>
      <c r="C2383" s="2">
        <v>16</v>
      </c>
      <c r="D2383" s="2">
        <v>21215</v>
      </c>
      <c r="E2383" s="17">
        <v>45197.599999999999</v>
      </c>
      <c r="F2383" s="11">
        <v>6.28</v>
      </c>
      <c r="G2383" s="9">
        <v>3369</v>
      </c>
      <c r="H2383" s="10">
        <v>0.5</v>
      </c>
      <c r="I2383" s="11">
        <v>7.5</v>
      </c>
    </row>
    <row r="2384" spans="1:9" x14ac:dyDescent="0.35">
      <c r="A2384" s="2" t="s">
        <v>259</v>
      </c>
      <c r="B2384" s="3">
        <v>44743</v>
      </c>
      <c r="C2384" s="2">
        <v>26</v>
      </c>
      <c r="D2384" s="2">
        <v>35558</v>
      </c>
      <c r="E2384" s="17">
        <v>74298.16</v>
      </c>
      <c r="F2384" s="11">
        <v>6.54</v>
      </c>
      <c r="G2384" s="9">
        <v>5424.1</v>
      </c>
      <c r="H2384" s="10">
        <v>0.192</v>
      </c>
      <c r="I2384" s="11">
        <v>6.4</v>
      </c>
    </row>
    <row r="2385" spans="1:9" x14ac:dyDescent="0.35">
      <c r="A2385" s="2" t="s">
        <v>259</v>
      </c>
      <c r="B2385" s="3">
        <v>44774</v>
      </c>
      <c r="C2385" s="2">
        <v>19</v>
      </c>
      <c r="D2385" s="2">
        <v>22523</v>
      </c>
      <c r="E2385" s="17">
        <v>48821.24</v>
      </c>
      <c r="F2385" s="11">
        <v>6.43</v>
      </c>
      <c r="G2385" s="9">
        <v>3506.4</v>
      </c>
      <c r="H2385" s="10">
        <v>0.36799999999999999</v>
      </c>
      <c r="I2385" s="11">
        <v>6.2</v>
      </c>
    </row>
    <row r="2386" spans="1:9" x14ac:dyDescent="0.35">
      <c r="A2386" s="2" t="s">
        <v>259</v>
      </c>
      <c r="B2386" s="3">
        <v>44805</v>
      </c>
      <c r="C2386" s="2">
        <v>19</v>
      </c>
      <c r="D2386" s="2">
        <v>29398</v>
      </c>
      <c r="E2386" s="17">
        <v>65258.31</v>
      </c>
      <c r="F2386" s="11">
        <v>6.5</v>
      </c>
      <c r="G2386" s="9">
        <v>4499.2</v>
      </c>
      <c r="H2386" s="10">
        <v>0.52600000000000002</v>
      </c>
      <c r="I2386" s="11">
        <v>7.8</v>
      </c>
    </row>
    <row r="2387" spans="1:9" x14ac:dyDescent="0.35">
      <c r="A2387" s="2" t="s">
        <v>259</v>
      </c>
      <c r="B2387" s="3">
        <v>44835</v>
      </c>
      <c r="C2387" s="2">
        <v>27</v>
      </c>
      <c r="D2387" s="2">
        <v>39893</v>
      </c>
      <c r="E2387" s="17">
        <v>83951.02</v>
      </c>
      <c r="F2387" s="11">
        <v>6.32</v>
      </c>
      <c r="G2387" s="9">
        <v>6342.7</v>
      </c>
      <c r="H2387" s="10">
        <v>0.37</v>
      </c>
      <c r="I2387" s="11">
        <v>7.3</v>
      </c>
    </row>
    <row r="2388" spans="1:9" x14ac:dyDescent="0.35">
      <c r="A2388" s="2" t="s">
        <v>259</v>
      </c>
      <c r="B2388" s="3">
        <v>44866</v>
      </c>
      <c r="C2388" s="2">
        <v>20</v>
      </c>
      <c r="D2388" s="2">
        <v>25915</v>
      </c>
      <c r="E2388" s="17">
        <v>59659.07</v>
      </c>
      <c r="F2388" s="11">
        <v>6.62</v>
      </c>
      <c r="G2388" s="9">
        <v>3940.5</v>
      </c>
      <c r="H2388" s="10">
        <v>0.45</v>
      </c>
      <c r="I2388" s="11">
        <v>7</v>
      </c>
    </row>
    <row r="2389" spans="1:9" x14ac:dyDescent="0.35">
      <c r="A2389" s="2" t="s">
        <v>259</v>
      </c>
      <c r="B2389" s="3">
        <v>44896</v>
      </c>
      <c r="C2389" s="2">
        <v>23</v>
      </c>
      <c r="D2389" s="2">
        <v>36587</v>
      </c>
      <c r="E2389" s="17">
        <v>86875.63</v>
      </c>
      <c r="F2389" s="11">
        <v>6.65</v>
      </c>
      <c r="G2389" s="9">
        <v>5489.1</v>
      </c>
      <c r="H2389" s="10">
        <v>0.47799999999999998</v>
      </c>
      <c r="I2389" s="11">
        <v>7.4</v>
      </c>
    </row>
    <row r="2390" spans="1:9" x14ac:dyDescent="0.35">
      <c r="A2390" s="2" t="s">
        <v>259</v>
      </c>
      <c r="B2390" s="3">
        <v>44927</v>
      </c>
      <c r="C2390" s="2">
        <v>19</v>
      </c>
      <c r="D2390" s="2">
        <v>23107</v>
      </c>
      <c r="E2390" s="17">
        <v>48535.14</v>
      </c>
      <c r="F2390" s="11">
        <v>6.41</v>
      </c>
      <c r="G2390" s="9">
        <v>3666.4</v>
      </c>
      <c r="H2390" s="10">
        <v>0.26300000000000001</v>
      </c>
      <c r="I2390" s="11">
        <v>6.2</v>
      </c>
    </row>
    <row r="2391" spans="1:9" x14ac:dyDescent="0.35">
      <c r="A2391" s="2" t="s">
        <v>259</v>
      </c>
      <c r="B2391" s="3">
        <v>44958</v>
      </c>
      <c r="C2391" s="2">
        <v>17</v>
      </c>
      <c r="D2391" s="2">
        <v>23537</v>
      </c>
      <c r="E2391" s="17">
        <v>50730.26</v>
      </c>
      <c r="F2391" s="11">
        <v>6.42</v>
      </c>
      <c r="G2391" s="9">
        <v>3640.7</v>
      </c>
      <c r="H2391" s="10">
        <v>0.41199999999999998</v>
      </c>
      <c r="I2391" s="11">
        <v>6.2</v>
      </c>
    </row>
    <row r="2392" spans="1:9" x14ac:dyDescent="0.35">
      <c r="A2392" s="2" t="s">
        <v>259</v>
      </c>
      <c r="B2392" s="3">
        <v>44986</v>
      </c>
      <c r="C2392" s="2">
        <v>19</v>
      </c>
      <c r="D2392" s="2">
        <v>23587</v>
      </c>
      <c r="E2392" s="17">
        <v>47339.83</v>
      </c>
      <c r="F2392" s="11">
        <v>6.65</v>
      </c>
      <c r="G2392" s="9">
        <v>3520.3</v>
      </c>
      <c r="H2392" s="10">
        <v>0.47399999999999998</v>
      </c>
      <c r="I2392" s="11">
        <v>6.2</v>
      </c>
    </row>
    <row r="2393" spans="1:9" x14ac:dyDescent="0.35">
      <c r="A2393" s="2" t="s">
        <v>259</v>
      </c>
      <c r="B2393" s="3">
        <v>45017</v>
      </c>
      <c r="C2393" s="2">
        <v>16</v>
      </c>
      <c r="D2393" s="2">
        <v>21689</v>
      </c>
      <c r="E2393" s="17">
        <v>45374.41</v>
      </c>
      <c r="F2393" s="11">
        <v>6.57</v>
      </c>
      <c r="G2393" s="9">
        <v>3257.4</v>
      </c>
      <c r="H2393" s="10">
        <v>0.56200000000000006</v>
      </c>
      <c r="I2393" s="11">
        <v>6.8</v>
      </c>
    </row>
    <row r="2394" spans="1:9" x14ac:dyDescent="0.35">
      <c r="A2394" s="2" t="s">
        <v>259</v>
      </c>
      <c r="B2394" s="3">
        <v>45047</v>
      </c>
      <c r="C2394" s="2">
        <v>17</v>
      </c>
      <c r="D2394" s="2">
        <v>24706</v>
      </c>
      <c r="E2394" s="17">
        <v>47114.86</v>
      </c>
      <c r="F2394" s="11">
        <v>6.64</v>
      </c>
      <c r="G2394" s="9">
        <v>3770</v>
      </c>
      <c r="H2394" s="10">
        <v>0.52900000000000003</v>
      </c>
      <c r="I2394" s="11">
        <v>7</v>
      </c>
    </row>
    <row r="2395" spans="1:9" x14ac:dyDescent="0.35">
      <c r="A2395" s="2" t="s">
        <v>259</v>
      </c>
      <c r="B2395" s="3">
        <v>45078</v>
      </c>
      <c r="C2395" s="2">
        <v>20</v>
      </c>
      <c r="D2395" s="2">
        <v>33721</v>
      </c>
      <c r="E2395" s="17">
        <v>74323.710000000006</v>
      </c>
      <c r="F2395" s="11">
        <v>6.65</v>
      </c>
      <c r="G2395" s="9">
        <v>5096.3</v>
      </c>
      <c r="H2395" s="10">
        <v>0.45</v>
      </c>
      <c r="I2395" s="11">
        <v>7.2</v>
      </c>
    </row>
    <row r="2396" spans="1:9" x14ac:dyDescent="0.35">
      <c r="A2396" s="2" t="s">
        <v>259</v>
      </c>
      <c r="B2396" s="3">
        <v>45108</v>
      </c>
      <c r="C2396" s="2">
        <v>19</v>
      </c>
      <c r="D2396" s="2">
        <v>30386</v>
      </c>
      <c r="E2396" s="17">
        <v>65078.69</v>
      </c>
      <c r="F2396" s="11">
        <v>6.36</v>
      </c>
      <c r="G2396" s="9">
        <v>4822.3999999999996</v>
      </c>
      <c r="H2396" s="10">
        <v>0.63200000000000001</v>
      </c>
      <c r="I2396" s="11">
        <v>6.9</v>
      </c>
    </row>
    <row r="2397" spans="1:9" x14ac:dyDescent="0.35">
      <c r="A2397" s="2" t="s">
        <v>259</v>
      </c>
      <c r="B2397" s="3">
        <v>45139</v>
      </c>
      <c r="C2397" s="2">
        <v>17</v>
      </c>
      <c r="D2397" s="2">
        <v>24605</v>
      </c>
      <c r="E2397" s="17">
        <v>55138.06</v>
      </c>
      <c r="F2397" s="11">
        <v>6.47</v>
      </c>
      <c r="G2397" s="9">
        <v>3818.1</v>
      </c>
      <c r="H2397" s="10">
        <v>0.52900000000000003</v>
      </c>
      <c r="I2397" s="11">
        <v>6.1</v>
      </c>
    </row>
    <row r="2398" spans="1:9" x14ac:dyDescent="0.35">
      <c r="A2398" s="2" t="s">
        <v>259</v>
      </c>
      <c r="B2398" s="3">
        <v>45170</v>
      </c>
      <c r="C2398" s="2">
        <v>22</v>
      </c>
      <c r="D2398" s="2">
        <v>32844</v>
      </c>
      <c r="E2398" s="17">
        <v>63128.23</v>
      </c>
      <c r="F2398" s="11">
        <v>6.49</v>
      </c>
      <c r="G2398" s="9">
        <v>4992.8</v>
      </c>
      <c r="H2398" s="10">
        <v>0.318</v>
      </c>
      <c r="I2398" s="11">
        <v>7.6</v>
      </c>
    </row>
    <row r="2399" spans="1:9" x14ac:dyDescent="0.35">
      <c r="A2399" s="2" t="s">
        <v>259</v>
      </c>
      <c r="B2399" s="3">
        <v>45200</v>
      </c>
      <c r="C2399" s="2">
        <v>21</v>
      </c>
      <c r="D2399" s="2">
        <v>37555</v>
      </c>
      <c r="E2399" s="17">
        <v>78325.36</v>
      </c>
      <c r="F2399" s="11">
        <v>6.68</v>
      </c>
      <c r="G2399" s="9">
        <v>5702.3</v>
      </c>
      <c r="H2399" s="10">
        <v>0.52400000000000002</v>
      </c>
      <c r="I2399" s="11">
        <v>6</v>
      </c>
    </row>
    <row r="2400" spans="1:9" x14ac:dyDescent="0.35">
      <c r="A2400" s="2" t="s">
        <v>259</v>
      </c>
      <c r="B2400" s="3">
        <v>45231</v>
      </c>
      <c r="C2400" s="2">
        <v>17</v>
      </c>
      <c r="D2400" s="2">
        <v>26962</v>
      </c>
      <c r="E2400" s="17">
        <v>60012.71</v>
      </c>
      <c r="F2400" s="11">
        <v>6.27</v>
      </c>
      <c r="G2400" s="9">
        <v>4287.6000000000004</v>
      </c>
      <c r="H2400" s="10">
        <v>0.35299999999999998</v>
      </c>
      <c r="I2400" s="11">
        <v>6.6</v>
      </c>
    </row>
    <row r="2401" spans="1:9" x14ac:dyDescent="0.35">
      <c r="A2401" s="2" t="s">
        <v>259</v>
      </c>
      <c r="B2401" s="3">
        <v>45261</v>
      </c>
      <c r="C2401" s="2">
        <v>22</v>
      </c>
      <c r="D2401" s="2">
        <v>29921</v>
      </c>
      <c r="E2401" s="17">
        <v>67508.98</v>
      </c>
      <c r="F2401" s="11">
        <v>6.48</v>
      </c>
      <c r="G2401" s="9">
        <v>4663.1000000000004</v>
      </c>
      <c r="H2401" s="10">
        <v>0.27300000000000002</v>
      </c>
      <c r="I2401" s="11">
        <v>7.2</v>
      </c>
    </row>
    <row r="2402" spans="1:9" x14ac:dyDescent="0.35">
      <c r="A2402" s="2" t="s">
        <v>259</v>
      </c>
      <c r="B2402" s="3">
        <v>45292</v>
      </c>
      <c r="C2402" s="2">
        <v>19</v>
      </c>
      <c r="D2402" s="2">
        <v>23597</v>
      </c>
      <c r="E2402" s="17">
        <v>51723.5</v>
      </c>
      <c r="F2402" s="11">
        <v>6.53</v>
      </c>
      <c r="G2402" s="9">
        <v>3679</v>
      </c>
      <c r="H2402" s="10">
        <v>0.52600000000000002</v>
      </c>
      <c r="I2402" s="11">
        <v>7.8</v>
      </c>
    </row>
    <row r="2403" spans="1:9" x14ac:dyDescent="0.35">
      <c r="A2403" s="2" t="s">
        <v>259</v>
      </c>
      <c r="B2403" s="3">
        <v>45323</v>
      </c>
      <c r="C2403" s="2">
        <v>11</v>
      </c>
      <c r="D2403" s="2">
        <v>21817</v>
      </c>
      <c r="E2403" s="17">
        <v>38973.040000000001</v>
      </c>
      <c r="F2403" s="11">
        <v>6.28</v>
      </c>
      <c r="G2403" s="9">
        <v>3495.2</v>
      </c>
      <c r="H2403" s="10">
        <v>0.27300000000000002</v>
      </c>
      <c r="I2403" s="11">
        <v>6.7</v>
      </c>
    </row>
    <row r="2404" spans="1:9" x14ac:dyDescent="0.35">
      <c r="A2404" s="2" t="s">
        <v>259</v>
      </c>
      <c r="B2404" s="3">
        <v>45352</v>
      </c>
      <c r="C2404" s="2">
        <v>17</v>
      </c>
      <c r="D2404" s="2">
        <v>28466</v>
      </c>
      <c r="E2404" s="17">
        <v>61447.35</v>
      </c>
      <c r="F2404" s="11">
        <v>6.49</v>
      </c>
      <c r="G2404" s="9">
        <v>4409.6000000000004</v>
      </c>
      <c r="H2404" s="10">
        <v>0.23499999999999999</v>
      </c>
      <c r="I2404" s="11">
        <v>6.5</v>
      </c>
    </row>
    <row r="2405" spans="1:9" x14ac:dyDescent="0.35">
      <c r="A2405" s="2" t="s">
        <v>259</v>
      </c>
      <c r="B2405" s="3">
        <v>45383</v>
      </c>
      <c r="C2405" s="2">
        <v>21</v>
      </c>
      <c r="D2405" s="2">
        <v>26016</v>
      </c>
      <c r="E2405" s="17">
        <v>54474.14</v>
      </c>
      <c r="F2405" s="11">
        <v>6.62</v>
      </c>
      <c r="G2405" s="9">
        <v>3941.7</v>
      </c>
      <c r="H2405" s="10">
        <v>0.52400000000000002</v>
      </c>
      <c r="I2405" s="11">
        <v>6.5</v>
      </c>
    </row>
    <row r="2406" spans="1:9" x14ac:dyDescent="0.35">
      <c r="A2406" s="2" t="s">
        <v>259</v>
      </c>
      <c r="B2406" s="3">
        <v>45413</v>
      </c>
      <c r="C2406" s="2">
        <v>29</v>
      </c>
      <c r="D2406" s="2">
        <v>48101</v>
      </c>
      <c r="E2406" s="17">
        <v>97526.75</v>
      </c>
      <c r="F2406" s="11">
        <v>6.41</v>
      </c>
      <c r="G2406" s="9">
        <v>7530.7</v>
      </c>
      <c r="H2406" s="10">
        <v>0.51700000000000002</v>
      </c>
      <c r="I2406" s="11">
        <v>7.4</v>
      </c>
    </row>
    <row r="2407" spans="1:9" x14ac:dyDescent="0.35">
      <c r="A2407" s="2" t="s">
        <v>259</v>
      </c>
      <c r="B2407" s="3">
        <v>45444</v>
      </c>
      <c r="C2407" s="2">
        <v>21</v>
      </c>
      <c r="D2407" s="2">
        <v>30802</v>
      </c>
      <c r="E2407" s="17">
        <v>62996.87</v>
      </c>
      <c r="F2407" s="11">
        <v>6.56</v>
      </c>
      <c r="G2407" s="9">
        <v>4855.7</v>
      </c>
      <c r="H2407" s="10">
        <v>0.61899999999999999</v>
      </c>
      <c r="I2407" s="11">
        <v>7.4</v>
      </c>
    </row>
    <row r="2408" spans="1:9" x14ac:dyDescent="0.35">
      <c r="A2408" s="2" t="s">
        <v>259</v>
      </c>
      <c r="B2408" s="3">
        <v>45474</v>
      </c>
      <c r="C2408" s="2">
        <v>20</v>
      </c>
      <c r="D2408" s="2">
        <v>24664</v>
      </c>
      <c r="E2408" s="17">
        <v>54361.93</v>
      </c>
      <c r="F2408" s="11">
        <v>6.24</v>
      </c>
      <c r="G2408" s="9">
        <v>4056.7</v>
      </c>
      <c r="H2408" s="10">
        <v>0.35</v>
      </c>
      <c r="I2408" s="11">
        <v>7.4</v>
      </c>
    </row>
    <row r="2409" spans="1:9" x14ac:dyDescent="0.35">
      <c r="A2409" s="2" t="s">
        <v>259</v>
      </c>
      <c r="B2409" s="3">
        <v>45505</v>
      </c>
      <c r="C2409" s="2">
        <v>27</v>
      </c>
      <c r="D2409" s="2">
        <v>38309</v>
      </c>
      <c r="E2409" s="17">
        <v>80730.84</v>
      </c>
      <c r="F2409" s="11">
        <v>6.41</v>
      </c>
      <c r="G2409" s="9">
        <v>6042.3</v>
      </c>
      <c r="H2409" s="10">
        <v>0.51900000000000002</v>
      </c>
      <c r="I2409" s="11">
        <v>7.4</v>
      </c>
    </row>
    <row r="2410" spans="1:9" x14ac:dyDescent="0.35">
      <c r="A2410" s="2" t="s">
        <v>259</v>
      </c>
      <c r="B2410" s="3">
        <v>45536</v>
      </c>
      <c r="C2410" s="2">
        <v>12</v>
      </c>
      <c r="D2410" s="2">
        <v>17409</v>
      </c>
      <c r="E2410" s="17">
        <v>39234.89</v>
      </c>
      <c r="F2410" s="11">
        <v>6.64</v>
      </c>
      <c r="G2410" s="9">
        <v>2642.9</v>
      </c>
      <c r="H2410" s="10">
        <v>0.33300000000000002</v>
      </c>
      <c r="I2410" s="11">
        <v>6.7</v>
      </c>
    </row>
    <row r="2411" spans="1:9" x14ac:dyDescent="0.35">
      <c r="A2411" s="2" t="s">
        <v>259</v>
      </c>
      <c r="B2411" s="3">
        <v>45566</v>
      </c>
      <c r="C2411" s="2">
        <v>22</v>
      </c>
      <c r="D2411" s="2">
        <v>31473</v>
      </c>
      <c r="E2411" s="17">
        <v>67854.63</v>
      </c>
      <c r="F2411" s="11">
        <v>6.51</v>
      </c>
      <c r="G2411" s="9">
        <v>4847.8999999999996</v>
      </c>
      <c r="H2411" s="10">
        <v>0.40899999999999997</v>
      </c>
      <c r="I2411" s="11">
        <v>7.5</v>
      </c>
    </row>
    <row r="2412" spans="1:9" x14ac:dyDescent="0.35">
      <c r="A2412" s="2" t="s">
        <v>259</v>
      </c>
      <c r="B2412" s="3">
        <v>45597</v>
      </c>
      <c r="C2412" s="2">
        <v>19</v>
      </c>
      <c r="D2412" s="2">
        <v>17435</v>
      </c>
      <c r="E2412" s="17">
        <v>37653.08</v>
      </c>
      <c r="F2412" s="11">
        <v>6.54</v>
      </c>
      <c r="G2412" s="9">
        <v>2660.4</v>
      </c>
      <c r="H2412" s="10">
        <v>0.47399999999999998</v>
      </c>
      <c r="I2412" s="11">
        <v>7.6</v>
      </c>
    </row>
    <row r="2413" spans="1:9" x14ac:dyDescent="0.35">
      <c r="A2413" s="2" t="s">
        <v>259</v>
      </c>
      <c r="B2413" s="3">
        <v>45627</v>
      </c>
      <c r="C2413" s="2">
        <v>16</v>
      </c>
      <c r="D2413" s="2">
        <v>18032</v>
      </c>
      <c r="E2413" s="17">
        <v>41426.720000000001</v>
      </c>
      <c r="F2413" s="11">
        <v>6.54</v>
      </c>
      <c r="G2413" s="9">
        <v>2749.7</v>
      </c>
      <c r="H2413" s="10">
        <v>0.56200000000000006</v>
      </c>
      <c r="I2413" s="11">
        <v>7.6</v>
      </c>
    </row>
    <row r="2414" spans="1:9" x14ac:dyDescent="0.35">
      <c r="A2414" s="2" t="s">
        <v>261</v>
      </c>
      <c r="B2414" s="3">
        <v>44562</v>
      </c>
      <c r="C2414" s="2">
        <v>24</v>
      </c>
      <c r="D2414" s="2">
        <v>30839</v>
      </c>
      <c r="E2414" s="17">
        <v>64591.39</v>
      </c>
      <c r="F2414" s="11">
        <v>6.43</v>
      </c>
      <c r="G2414" s="9">
        <v>4928.8999999999996</v>
      </c>
      <c r="H2414" s="10">
        <v>0.66700000000000004</v>
      </c>
      <c r="I2414" s="11">
        <v>7</v>
      </c>
    </row>
    <row r="2415" spans="1:9" x14ac:dyDescent="0.35">
      <c r="A2415" s="2" t="s">
        <v>261</v>
      </c>
      <c r="B2415" s="3">
        <v>44593</v>
      </c>
      <c r="C2415" s="2">
        <v>16</v>
      </c>
      <c r="D2415" s="2">
        <v>22666</v>
      </c>
      <c r="E2415" s="17">
        <v>49678.3</v>
      </c>
      <c r="F2415" s="11">
        <v>6.7</v>
      </c>
      <c r="G2415" s="9">
        <v>3416.8</v>
      </c>
      <c r="H2415" s="10">
        <v>0.25</v>
      </c>
      <c r="I2415" s="11">
        <v>7.8</v>
      </c>
    </row>
    <row r="2416" spans="1:9" x14ac:dyDescent="0.35">
      <c r="A2416" s="2" t="s">
        <v>261</v>
      </c>
      <c r="B2416" s="3">
        <v>44621</v>
      </c>
      <c r="C2416" s="2">
        <v>22</v>
      </c>
      <c r="D2416" s="2">
        <v>28718</v>
      </c>
      <c r="E2416" s="17">
        <v>59400.86</v>
      </c>
      <c r="F2416" s="11">
        <v>6.39</v>
      </c>
      <c r="G2416" s="9">
        <v>4462.5</v>
      </c>
      <c r="H2416" s="10">
        <v>0.40899999999999997</v>
      </c>
      <c r="I2416" s="11">
        <v>7.9</v>
      </c>
    </row>
    <row r="2417" spans="1:9" x14ac:dyDescent="0.35">
      <c r="A2417" s="2" t="s">
        <v>261</v>
      </c>
      <c r="B2417" s="3">
        <v>44652</v>
      </c>
      <c r="C2417" s="2">
        <v>18</v>
      </c>
      <c r="D2417" s="2">
        <v>30758</v>
      </c>
      <c r="E2417" s="17">
        <v>64095.76</v>
      </c>
      <c r="F2417" s="11">
        <v>6.62</v>
      </c>
      <c r="G2417" s="9">
        <v>4722.8</v>
      </c>
      <c r="H2417" s="10">
        <v>0.5</v>
      </c>
      <c r="I2417" s="11">
        <v>8.4</v>
      </c>
    </row>
    <row r="2418" spans="1:9" x14ac:dyDescent="0.35">
      <c r="A2418" s="2" t="s">
        <v>261</v>
      </c>
      <c r="B2418" s="3">
        <v>44682</v>
      </c>
      <c r="C2418" s="2">
        <v>15</v>
      </c>
      <c r="D2418" s="2">
        <v>19437</v>
      </c>
      <c r="E2418" s="17">
        <v>39710.15</v>
      </c>
      <c r="F2418" s="11">
        <v>6.15</v>
      </c>
      <c r="G2418" s="9">
        <v>3153.9</v>
      </c>
      <c r="H2418" s="10">
        <v>0.33300000000000002</v>
      </c>
      <c r="I2418" s="11">
        <v>7.4</v>
      </c>
    </row>
    <row r="2419" spans="1:9" x14ac:dyDescent="0.35">
      <c r="A2419" s="2" t="s">
        <v>261</v>
      </c>
      <c r="B2419" s="3">
        <v>44713</v>
      </c>
      <c r="C2419" s="2">
        <v>15</v>
      </c>
      <c r="D2419" s="2">
        <v>21931</v>
      </c>
      <c r="E2419" s="17">
        <v>48314.43</v>
      </c>
      <c r="F2419" s="11">
        <v>6.67</v>
      </c>
      <c r="G2419" s="9">
        <v>3283.7</v>
      </c>
      <c r="H2419" s="10">
        <v>0.6</v>
      </c>
      <c r="I2419" s="11">
        <v>7.2</v>
      </c>
    </row>
    <row r="2420" spans="1:9" x14ac:dyDescent="0.35">
      <c r="A2420" s="2" t="s">
        <v>261</v>
      </c>
      <c r="B2420" s="3">
        <v>44743</v>
      </c>
      <c r="C2420" s="2">
        <v>17</v>
      </c>
      <c r="D2420" s="2">
        <v>22977</v>
      </c>
      <c r="E2420" s="17">
        <v>42712.97</v>
      </c>
      <c r="F2420" s="11">
        <v>6.54</v>
      </c>
      <c r="G2420" s="9">
        <v>3550</v>
      </c>
      <c r="H2420" s="10">
        <v>0.47099999999999997</v>
      </c>
      <c r="I2420" s="11">
        <v>7.7</v>
      </c>
    </row>
    <row r="2421" spans="1:9" x14ac:dyDescent="0.35">
      <c r="A2421" s="2" t="s">
        <v>261</v>
      </c>
      <c r="B2421" s="3">
        <v>44774</v>
      </c>
      <c r="C2421" s="2">
        <v>15</v>
      </c>
      <c r="D2421" s="2">
        <v>15311</v>
      </c>
      <c r="E2421" s="17">
        <v>31263.1</v>
      </c>
      <c r="F2421" s="11">
        <v>6.36</v>
      </c>
      <c r="G2421" s="9">
        <v>2378.6</v>
      </c>
      <c r="H2421" s="10">
        <v>0.6</v>
      </c>
      <c r="I2421" s="11">
        <v>6.4</v>
      </c>
    </row>
    <row r="2422" spans="1:9" x14ac:dyDescent="0.35">
      <c r="A2422" s="2" t="s">
        <v>261</v>
      </c>
      <c r="B2422" s="3">
        <v>44805</v>
      </c>
      <c r="C2422" s="2">
        <v>29</v>
      </c>
      <c r="D2422" s="2">
        <v>40147</v>
      </c>
      <c r="E2422" s="17">
        <v>85507.89</v>
      </c>
      <c r="F2422" s="11">
        <v>6.46</v>
      </c>
      <c r="G2422" s="9">
        <v>6320.3</v>
      </c>
      <c r="H2422" s="10">
        <v>0.41399999999999998</v>
      </c>
      <c r="I2422" s="11">
        <v>6.6</v>
      </c>
    </row>
    <row r="2423" spans="1:9" x14ac:dyDescent="0.35">
      <c r="A2423" s="2" t="s">
        <v>261</v>
      </c>
      <c r="B2423" s="3">
        <v>44835</v>
      </c>
      <c r="C2423" s="2">
        <v>19</v>
      </c>
      <c r="D2423" s="2">
        <v>27939</v>
      </c>
      <c r="E2423" s="17">
        <v>65541.52</v>
      </c>
      <c r="F2423" s="11">
        <v>6.6</v>
      </c>
      <c r="G2423" s="9">
        <v>4242.7</v>
      </c>
      <c r="H2423" s="10">
        <v>0.42099999999999999</v>
      </c>
      <c r="I2423" s="11">
        <v>8.1</v>
      </c>
    </row>
    <row r="2424" spans="1:9" x14ac:dyDescent="0.35">
      <c r="A2424" s="2" t="s">
        <v>261</v>
      </c>
      <c r="B2424" s="3">
        <v>44866</v>
      </c>
      <c r="C2424" s="2">
        <v>24</v>
      </c>
      <c r="D2424" s="2">
        <v>32823</v>
      </c>
      <c r="E2424" s="17">
        <v>79606.84</v>
      </c>
      <c r="F2424" s="11">
        <v>6.31</v>
      </c>
      <c r="G2424" s="9">
        <v>5194.1000000000004</v>
      </c>
      <c r="H2424" s="10">
        <v>0.54200000000000004</v>
      </c>
      <c r="I2424" s="11">
        <v>7.1</v>
      </c>
    </row>
    <row r="2425" spans="1:9" x14ac:dyDescent="0.35">
      <c r="A2425" s="2" t="s">
        <v>261</v>
      </c>
      <c r="B2425" s="3">
        <v>44896</v>
      </c>
      <c r="C2425" s="2">
        <v>16</v>
      </c>
      <c r="D2425" s="2">
        <v>27778</v>
      </c>
      <c r="E2425" s="17">
        <v>64622.73</v>
      </c>
      <c r="F2425" s="11">
        <v>6.59</v>
      </c>
      <c r="G2425" s="9">
        <v>4180.2</v>
      </c>
      <c r="H2425" s="10">
        <v>0.438</v>
      </c>
      <c r="I2425" s="11">
        <v>6.3</v>
      </c>
    </row>
    <row r="2426" spans="1:9" x14ac:dyDescent="0.35">
      <c r="A2426" s="2" t="s">
        <v>261</v>
      </c>
      <c r="B2426" s="3">
        <v>44927</v>
      </c>
      <c r="C2426" s="2">
        <v>26</v>
      </c>
      <c r="D2426" s="2">
        <v>43917</v>
      </c>
      <c r="E2426" s="17">
        <v>98798.82</v>
      </c>
      <c r="F2426" s="11">
        <v>6.43</v>
      </c>
      <c r="G2426" s="9">
        <v>6844.9</v>
      </c>
      <c r="H2426" s="10">
        <v>0.53800000000000003</v>
      </c>
      <c r="I2426" s="11">
        <v>7.1</v>
      </c>
    </row>
    <row r="2427" spans="1:9" x14ac:dyDescent="0.35">
      <c r="A2427" s="2" t="s">
        <v>261</v>
      </c>
      <c r="B2427" s="3">
        <v>44958</v>
      </c>
      <c r="C2427" s="2">
        <v>16</v>
      </c>
      <c r="D2427" s="2">
        <v>19528</v>
      </c>
      <c r="E2427" s="17">
        <v>40205.120000000003</v>
      </c>
      <c r="F2427" s="11">
        <v>6.4</v>
      </c>
      <c r="G2427" s="9">
        <v>3025.4</v>
      </c>
      <c r="H2427" s="10">
        <v>0.5</v>
      </c>
      <c r="I2427" s="11">
        <v>6.5</v>
      </c>
    </row>
    <row r="2428" spans="1:9" x14ac:dyDescent="0.35">
      <c r="A2428" s="2" t="s">
        <v>261</v>
      </c>
      <c r="B2428" s="3">
        <v>44986</v>
      </c>
      <c r="C2428" s="2">
        <v>17</v>
      </c>
      <c r="D2428" s="2">
        <v>17134</v>
      </c>
      <c r="E2428" s="17">
        <v>35093.980000000003</v>
      </c>
      <c r="F2428" s="11">
        <v>6.47</v>
      </c>
      <c r="G2428" s="9">
        <v>2729.5</v>
      </c>
      <c r="H2428" s="10">
        <v>0.35299999999999998</v>
      </c>
      <c r="I2428" s="11">
        <v>7.5</v>
      </c>
    </row>
    <row r="2429" spans="1:9" x14ac:dyDescent="0.35">
      <c r="A2429" s="2" t="s">
        <v>261</v>
      </c>
      <c r="B2429" s="3">
        <v>45017</v>
      </c>
      <c r="C2429" s="2">
        <v>13</v>
      </c>
      <c r="D2429" s="2">
        <v>22897</v>
      </c>
      <c r="E2429" s="17">
        <v>42563.71</v>
      </c>
      <c r="F2429" s="11">
        <v>6.66</v>
      </c>
      <c r="G2429" s="9">
        <v>3430.6</v>
      </c>
      <c r="H2429" s="10">
        <v>0.46200000000000002</v>
      </c>
      <c r="I2429" s="11">
        <v>6.8</v>
      </c>
    </row>
    <row r="2430" spans="1:9" x14ac:dyDescent="0.35">
      <c r="A2430" s="2" t="s">
        <v>261</v>
      </c>
      <c r="B2430" s="3">
        <v>45047</v>
      </c>
      <c r="C2430" s="2">
        <v>14</v>
      </c>
      <c r="D2430" s="2">
        <v>18746</v>
      </c>
      <c r="E2430" s="17">
        <v>42909.33</v>
      </c>
      <c r="F2430" s="11">
        <v>6.49</v>
      </c>
      <c r="G2430" s="9">
        <v>2885.6</v>
      </c>
      <c r="H2430" s="10">
        <v>0.42899999999999999</v>
      </c>
      <c r="I2430" s="11">
        <v>5.9</v>
      </c>
    </row>
    <row r="2431" spans="1:9" x14ac:dyDescent="0.35">
      <c r="A2431" s="2" t="s">
        <v>261</v>
      </c>
      <c r="B2431" s="3">
        <v>45078</v>
      </c>
      <c r="C2431" s="2">
        <v>13</v>
      </c>
      <c r="D2431" s="2">
        <v>16706</v>
      </c>
      <c r="E2431" s="17">
        <v>34320.269999999997</v>
      </c>
      <c r="F2431" s="11">
        <v>6.59</v>
      </c>
      <c r="G2431" s="9">
        <v>2529.9</v>
      </c>
      <c r="H2431" s="10">
        <v>0.38500000000000001</v>
      </c>
      <c r="I2431" s="11">
        <v>7.7</v>
      </c>
    </row>
    <row r="2432" spans="1:9" x14ac:dyDescent="0.35">
      <c r="A2432" s="2" t="s">
        <v>261</v>
      </c>
      <c r="B2432" s="3">
        <v>45108</v>
      </c>
      <c r="C2432" s="2">
        <v>18</v>
      </c>
      <c r="D2432" s="2">
        <v>27005</v>
      </c>
      <c r="E2432" s="17">
        <v>57569.84</v>
      </c>
      <c r="F2432" s="11">
        <v>6.49</v>
      </c>
      <c r="G2432" s="9">
        <v>4153.6000000000004</v>
      </c>
      <c r="H2432" s="10">
        <v>0.55600000000000005</v>
      </c>
      <c r="I2432" s="11">
        <v>6.6</v>
      </c>
    </row>
    <row r="2433" spans="1:9" x14ac:dyDescent="0.35">
      <c r="A2433" s="2" t="s">
        <v>261</v>
      </c>
      <c r="B2433" s="3">
        <v>45139</v>
      </c>
      <c r="C2433" s="2">
        <v>25</v>
      </c>
      <c r="D2433" s="2">
        <v>34831</v>
      </c>
      <c r="E2433" s="17">
        <v>75417.94</v>
      </c>
      <c r="F2433" s="11">
        <v>6.65</v>
      </c>
      <c r="G2433" s="9">
        <v>5313.8</v>
      </c>
      <c r="H2433" s="10">
        <v>0.4</v>
      </c>
      <c r="I2433" s="11">
        <v>7.1</v>
      </c>
    </row>
    <row r="2434" spans="1:9" x14ac:dyDescent="0.35">
      <c r="A2434" s="2" t="s">
        <v>261</v>
      </c>
      <c r="B2434" s="3">
        <v>45170</v>
      </c>
      <c r="C2434" s="2">
        <v>21</v>
      </c>
      <c r="D2434" s="2">
        <v>34292</v>
      </c>
      <c r="E2434" s="17">
        <v>76352.22</v>
      </c>
      <c r="F2434" s="11">
        <v>6.42</v>
      </c>
      <c r="G2434" s="9">
        <v>5463.3</v>
      </c>
      <c r="H2434" s="10">
        <v>0.66700000000000004</v>
      </c>
      <c r="I2434" s="11">
        <v>7.4</v>
      </c>
    </row>
    <row r="2435" spans="1:9" x14ac:dyDescent="0.35">
      <c r="A2435" s="2" t="s">
        <v>261</v>
      </c>
      <c r="B2435" s="3">
        <v>45200</v>
      </c>
      <c r="C2435" s="2">
        <v>21</v>
      </c>
      <c r="D2435" s="2">
        <v>26647</v>
      </c>
      <c r="E2435" s="17">
        <v>59916.88</v>
      </c>
      <c r="F2435" s="11">
        <v>6.6</v>
      </c>
      <c r="G2435" s="9">
        <v>4016</v>
      </c>
      <c r="H2435" s="10">
        <v>0.47599999999999998</v>
      </c>
      <c r="I2435" s="11">
        <v>8</v>
      </c>
    </row>
    <row r="2436" spans="1:9" x14ac:dyDescent="0.35">
      <c r="A2436" s="2" t="s">
        <v>261</v>
      </c>
      <c r="B2436" s="3">
        <v>45231</v>
      </c>
      <c r="C2436" s="2">
        <v>22</v>
      </c>
      <c r="D2436" s="2">
        <v>27941</v>
      </c>
      <c r="E2436" s="17">
        <v>59109.45</v>
      </c>
      <c r="F2436" s="11">
        <v>6.36</v>
      </c>
      <c r="G2436" s="9">
        <v>4453.1000000000004</v>
      </c>
      <c r="H2436" s="10">
        <v>0.5</v>
      </c>
      <c r="I2436" s="11">
        <v>5.7</v>
      </c>
    </row>
    <row r="2437" spans="1:9" x14ac:dyDescent="0.35">
      <c r="A2437" s="2" t="s">
        <v>261</v>
      </c>
      <c r="B2437" s="3">
        <v>45261</v>
      </c>
      <c r="C2437" s="2">
        <v>17</v>
      </c>
      <c r="D2437" s="2">
        <v>28268</v>
      </c>
      <c r="E2437" s="17">
        <v>57657.2</v>
      </c>
      <c r="F2437" s="11">
        <v>6.53</v>
      </c>
      <c r="G2437" s="9">
        <v>4333.5</v>
      </c>
      <c r="H2437" s="10">
        <v>0.41199999999999998</v>
      </c>
      <c r="I2437" s="11">
        <v>7.3</v>
      </c>
    </row>
    <row r="2438" spans="1:9" x14ac:dyDescent="0.35">
      <c r="A2438" s="2" t="s">
        <v>261</v>
      </c>
      <c r="B2438" s="3">
        <v>45292</v>
      </c>
      <c r="C2438" s="2">
        <v>24</v>
      </c>
      <c r="D2438" s="2">
        <v>33782</v>
      </c>
      <c r="E2438" s="17">
        <v>72344.13</v>
      </c>
      <c r="F2438" s="11">
        <v>6.42</v>
      </c>
      <c r="G2438" s="9">
        <v>5345.4</v>
      </c>
      <c r="H2438" s="10">
        <v>0.45800000000000002</v>
      </c>
      <c r="I2438" s="11">
        <v>7.3</v>
      </c>
    </row>
    <row r="2439" spans="1:9" x14ac:dyDescent="0.35">
      <c r="A2439" s="2" t="s">
        <v>261</v>
      </c>
      <c r="B2439" s="3">
        <v>45323</v>
      </c>
      <c r="C2439" s="2">
        <v>16</v>
      </c>
      <c r="D2439" s="2">
        <v>27085</v>
      </c>
      <c r="E2439" s="17">
        <v>58348.73</v>
      </c>
      <c r="F2439" s="11">
        <v>6.83</v>
      </c>
      <c r="G2439" s="9">
        <v>3928.7</v>
      </c>
      <c r="H2439" s="10">
        <v>0.438</v>
      </c>
      <c r="I2439" s="11">
        <v>7</v>
      </c>
    </row>
    <row r="2440" spans="1:9" x14ac:dyDescent="0.35">
      <c r="A2440" s="2" t="s">
        <v>261</v>
      </c>
      <c r="B2440" s="3">
        <v>45352</v>
      </c>
      <c r="C2440" s="2">
        <v>20</v>
      </c>
      <c r="D2440" s="2">
        <v>28406</v>
      </c>
      <c r="E2440" s="17">
        <v>62431.62</v>
      </c>
      <c r="F2440" s="11">
        <v>6.28</v>
      </c>
      <c r="G2440" s="9">
        <v>4553.6000000000004</v>
      </c>
      <c r="H2440" s="10">
        <v>0.3</v>
      </c>
      <c r="I2440" s="11">
        <v>8.3000000000000007</v>
      </c>
    </row>
    <row r="2441" spans="1:9" x14ac:dyDescent="0.35">
      <c r="A2441" s="2" t="s">
        <v>261</v>
      </c>
      <c r="B2441" s="3">
        <v>45383</v>
      </c>
      <c r="C2441" s="2">
        <v>20</v>
      </c>
      <c r="D2441" s="2">
        <v>26503</v>
      </c>
      <c r="E2441" s="17">
        <v>52684</v>
      </c>
      <c r="F2441" s="11">
        <v>6.5</v>
      </c>
      <c r="G2441" s="9">
        <v>4090.6</v>
      </c>
      <c r="H2441" s="10">
        <v>0.4</v>
      </c>
      <c r="I2441" s="11">
        <v>6.9</v>
      </c>
    </row>
    <row r="2442" spans="1:9" x14ac:dyDescent="0.35">
      <c r="A2442" s="2" t="s">
        <v>261</v>
      </c>
      <c r="B2442" s="3">
        <v>45413</v>
      </c>
      <c r="C2442" s="2">
        <v>15</v>
      </c>
      <c r="D2442" s="2">
        <v>27819</v>
      </c>
      <c r="E2442" s="17">
        <v>58965.03</v>
      </c>
      <c r="F2442" s="11">
        <v>6.5</v>
      </c>
      <c r="G2442" s="9">
        <v>4306.6000000000004</v>
      </c>
      <c r="H2442" s="10">
        <v>0.26700000000000002</v>
      </c>
      <c r="I2442" s="11">
        <v>7</v>
      </c>
    </row>
    <row r="2443" spans="1:9" x14ac:dyDescent="0.35">
      <c r="A2443" s="2" t="s">
        <v>261</v>
      </c>
      <c r="B2443" s="3">
        <v>45444</v>
      </c>
      <c r="C2443" s="2">
        <v>16</v>
      </c>
      <c r="D2443" s="2">
        <v>20022</v>
      </c>
      <c r="E2443" s="17">
        <v>39319</v>
      </c>
      <c r="F2443" s="11">
        <v>6.62</v>
      </c>
      <c r="G2443" s="9">
        <v>3027.5</v>
      </c>
      <c r="H2443" s="10">
        <v>0.75</v>
      </c>
      <c r="I2443" s="11">
        <v>8.4</v>
      </c>
    </row>
    <row r="2444" spans="1:9" x14ac:dyDescent="0.35">
      <c r="A2444" s="2" t="s">
        <v>261</v>
      </c>
      <c r="B2444" s="3">
        <v>45474</v>
      </c>
      <c r="C2444" s="2">
        <v>16</v>
      </c>
      <c r="D2444" s="2">
        <v>24048</v>
      </c>
      <c r="E2444" s="17">
        <v>52579.65</v>
      </c>
      <c r="F2444" s="11">
        <v>6.55</v>
      </c>
      <c r="G2444" s="9">
        <v>3726.4</v>
      </c>
      <c r="H2444" s="10">
        <v>0.188</v>
      </c>
      <c r="I2444" s="11">
        <v>7.9</v>
      </c>
    </row>
    <row r="2445" spans="1:9" x14ac:dyDescent="0.35">
      <c r="A2445" s="2" t="s">
        <v>261</v>
      </c>
      <c r="B2445" s="3">
        <v>45505</v>
      </c>
      <c r="C2445" s="2">
        <v>17</v>
      </c>
      <c r="D2445" s="2">
        <v>20137</v>
      </c>
      <c r="E2445" s="17">
        <v>42140.83</v>
      </c>
      <c r="F2445" s="11">
        <v>6.44</v>
      </c>
      <c r="G2445" s="9">
        <v>3125.3</v>
      </c>
      <c r="H2445" s="10">
        <v>0.41199999999999998</v>
      </c>
      <c r="I2445" s="11">
        <v>6.2</v>
      </c>
    </row>
    <row r="2446" spans="1:9" x14ac:dyDescent="0.35">
      <c r="A2446" s="2" t="s">
        <v>261</v>
      </c>
      <c r="B2446" s="3">
        <v>45536</v>
      </c>
      <c r="C2446" s="2">
        <v>28</v>
      </c>
      <c r="D2446" s="2">
        <v>34910</v>
      </c>
      <c r="E2446" s="17">
        <v>76628.88</v>
      </c>
      <c r="F2446" s="11">
        <v>6.53</v>
      </c>
      <c r="G2446" s="9">
        <v>5430</v>
      </c>
      <c r="H2446" s="10">
        <v>0.46400000000000002</v>
      </c>
      <c r="I2446" s="11">
        <v>8</v>
      </c>
    </row>
    <row r="2447" spans="1:9" x14ac:dyDescent="0.35">
      <c r="A2447" s="2" t="s">
        <v>261</v>
      </c>
      <c r="B2447" s="3">
        <v>45566</v>
      </c>
      <c r="C2447" s="2">
        <v>17</v>
      </c>
      <c r="D2447" s="2">
        <v>21359</v>
      </c>
      <c r="E2447" s="17">
        <v>46515.17</v>
      </c>
      <c r="F2447" s="11">
        <v>6.32</v>
      </c>
      <c r="G2447" s="9">
        <v>3420.2</v>
      </c>
      <c r="H2447" s="10">
        <v>0.47099999999999997</v>
      </c>
      <c r="I2447" s="11">
        <v>6.8</v>
      </c>
    </row>
    <row r="2448" spans="1:9" x14ac:dyDescent="0.35">
      <c r="A2448" s="2" t="s">
        <v>261</v>
      </c>
      <c r="B2448" s="3">
        <v>45597</v>
      </c>
      <c r="C2448" s="2">
        <v>21</v>
      </c>
      <c r="D2448" s="2">
        <v>26353</v>
      </c>
      <c r="E2448" s="17">
        <v>60046.79</v>
      </c>
      <c r="F2448" s="11">
        <v>6.57</v>
      </c>
      <c r="G2448" s="9">
        <v>3967.5</v>
      </c>
      <c r="H2448" s="10">
        <v>0.38100000000000001</v>
      </c>
      <c r="I2448" s="11">
        <v>8</v>
      </c>
    </row>
    <row r="2449" spans="1:9" x14ac:dyDescent="0.35">
      <c r="A2449" s="2" t="s">
        <v>261</v>
      </c>
      <c r="B2449" s="3">
        <v>45627</v>
      </c>
      <c r="C2449" s="2">
        <v>27</v>
      </c>
      <c r="D2449" s="2">
        <v>39920</v>
      </c>
      <c r="E2449" s="17">
        <v>85375.65</v>
      </c>
      <c r="F2449" s="11">
        <v>6.49</v>
      </c>
      <c r="G2449" s="9">
        <v>6305.8</v>
      </c>
      <c r="H2449" s="10">
        <v>0.48099999999999998</v>
      </c>
      <c r="I2449" s="11">
        <v>7.9</v>
      </c>
    </row>
    <row r="2450" spans="1:9" x14ac:dyDescent="0.35">
      <c r="A2450" s="2" t="s">
        <v>263</v>
      </c>
      <c r="B2450" s="3">
        <v>44562</v>
      </c>
      <c r="C2450" s="2">
        <v>12</v>
      </c>
      <c r="D2450" s="2">
        <v>21475</v>
      </c>
      <c r="E2450" s="17">
        <v>47330.49</v>
      </c>
      <c r="F2450" s="11">
        <v>6.5</v>
      </c>
      <c r="G2450" s="9">
        <v>3341</v>
      </c>
      <c r="H2450" s="10">
        <v>0.33300000000000002</v>
      </c>
      <c r="I2450" s="11">
        <v>6.8</v>
      </c>
    </row>
    <row r="2451" spans="1:9" x14ac:dyDescent="0.35">
      <c r="A2451" s="2" t="s">
        <v>263</v>
      </c>
      <c r="B2451" s="3">
        <v>44593</v>
      </c>
      <c r="C2451" s="2">
        <v>18</v>
      </c>
      <c r="D2451" s="2">
        <v>29914</v>
      </c>
      <c r="E2451" s="17">
        <v>61379.06</v>
      </c>
      <c r="F2451" s="11">
        <v>6.42</v>
      </c>
      <c r="G2451" s="9">
        <v>4788.6000000000004</v>
      </c>
      <c r="H2451" s="10">
        <v>0.44400000000000001</v>
      </c>
      <c r="I2451" s="11">
        <v>7.1</v>
      </c>
    </row>
    <row r="2452" spans="1:9" x14ac:dyDescent="0.35">
      <c r="A2452" s="2" t="s">
        <v>263</v>
      </c>
      <c r="B2452" s="3">
        <v>44621</v>
      </c>
      <c r="C2452" s="2">
        <v>19</v>
      </c>
      <c r="D2452" s="2">
        <v>28029</v>
      </c>
      <c r="E2452" s="17">
        <v>55796.31</v>
      </c>
      <c r="F2452" s="11">
        <v>6.48</v>
      </c>
      <c r="G2452" s="9">
        <v>4447.6000000000004</v>
      </c>
      <c r="H2452" s="10">
        <v>0.42099999999999999</v>
      </c>
      <c r="I2452" s="11">
        <v>6.8</v>
      </c>
    </row>
    <row r="2453" spans="1:9" x14ac:dyDescent="0.35">
      <c r="A2453" s="2" t="s">
        <v>263</v>
      </c>
      <c r="B2453" s="3">
        <v>44652</v>
      </c>
      <c r="C2453" s="2">
        <v>22</v>
      </c>
      <c r="D2453" s="2">
        <v>30226</v>
      </c>
      <c r="E2453" s="17">
        <v>65073.85</v>
      </c>
      <c r="F2453" s="11">
        <v>6.72</v>
      </c>
      <c r="G2453" s="9">
        <v>4486.3999999999996</v>
      </c>
      <c r="H2453" s="10">
        <v>0.68200000000000005</v>
      </c>
      <c r="I2453" s="11">
        <v>7.7</v>
      </c>
    </row>
    <row r="2454" spans="1:9" x14ac:dyDescent="0.35">
      <c r="A2454" s="2" t="s">
        <v>263</v>
      </c>
      <c r="B2454" s="3">
        <v>44682</v>
      </c>
      <c r="C2454" s="2">
        <v>19</v>
      </c>
      <c r="D2454" s="2">
        <v>26408</v>
      </c>
      <c r="E2454" s="17">
        <v>57337.78</v>
      </c>
      <c r="F2454" s="11">
        <v>6.61</v>
      </c>
      <c r="G2454" s="9">
        <v>3902.9</v>
      </c>
      <c r="H2454" s="10">
        <v>0.42099999999999999</v>
      </c>
      <c r="I2454" s="11">
        <v>6.2</v>
      </c>
    </row>
    <row r="2455" spans="1:9" x14ac:dyDescent="0.35">
      <c r="A2455" s="2" t="s">
        <v>263</v>
      </c>
      <c r="B2455" s="3">
        <v>44713</v>
      </c>
      <c r="C2455" s="2">
        <v>22</v>
      </c>
      <c r="D2455" s="2">
        <v>30150</v>
      </c>
      <c r="E2455" s="17">
        <v>71879.179999999993</v>
      </c>
      <c r="F2455" s="11">
        <v>6.35</v>
      </c>
      <c r="G2455" s="9">
        <v>4737.2</v>
      </c>
      <c r="H2455" s="10">
        <v>0.36399999999999999</v>
      </c>
      <c r="I2455" s="11">
        <v>6.4</v>
      </c>
    </row>
    <row r="2456" spans="1:9" x14ac:dyDescent="0.35">
      <c r="A2456" s="2" t="s">
        <v>263</v>
      </c>
      <c r="B2456" s="3">
        <v>44743</v>
      </c>
      <c r="C2456" s="2">
        <v>17</v>
      </c>
      <c r="D2456" s="2">
        <v>18956</v>
      </c>
      <c r="E2456" s="17">
        <v>41647.760000000002</v>
      </c>
      <c r="F2456" s="11">
        <v>6.72</v>
      </c>
      <c r="G2456" s="9">
        <v>2840.3</v>
      </c>
      <c r="H2456" s="10">
        <v>0.41199999999999998</v>
      </c>
      <c r="I2456" s="11">
        <v>7.8</v>
      </c>
    </row>
    <row r="2457" spans="1:9" x14ac:dyDescent="0.35">
      <c r="A2457" s="2" t="s">
        <v>263</v>
      </c>
      <c r="B2457" s="3">
        <v>44774</v>
      </c>
      <c r="C2457" s="2">
        <v>15</v>
      </c>
      <c r="D2457" s="2">
        <v>24933</v>
      </c>
      <c r="E2457" s="17">
        <v>60693.68</v>
      </c>
      <c r="F2457" s="11">
        <v>6.69</v>
      </c>
      <c r="G2457" s="9">
        <v>3767</v>
      </c>
      <c r="H2457" s="10">
        <v>0.4</v>
      </c>
      <c r="I2457" s="11">
        <v>7.5</v>
      </c>
    </row>
    <row r="2458" spans="1:9" x14ac:dyDescent="0.35">
      <c r="A2458" s="2" t="s">
        <v>263</v>
      </c>
      <c r="B2458" s="3">
        <v>44805</v>
      </c>
      <c r="C2458" s="2">
        <v>10</v>
      </c>
      <c r="D2458" s="2">
        <v>15326</v>
      </c>
      <c r="E2458" s="17">
        <v>38986.46</v>
      </c>
      <c r="F2458" s="11">
        <v>6.42</v>
      </c>
      <c r="G2458" s="9">
        <v>2370.4</v>
      </c>
      <c r="H2458" s="10">
        <v>0.3</v>
      </c>
      <c r="I2458" s="11">
        <v>4.9000000000000004</v>
      </c>
    </row>
    <row r="2459" spans="1:9" x14ac:dyDescent="0.35">
      <c r="A2459" s="2" t="s">
        <v>263</v>
      </c>
      <c r="B2459" s="3">
        <v>44835</v>
      </c>
      <c r="C2459" s="2">
        <v>17</v>
      </c>
      <c r="D2459" s="2">
        <v>18954</v>
      </c>
      <c r="E2459" s="17">
        <v>41407.74</v>
      </c>
      <c r="F2459" s="11">
        <v>6.73</v>
      </c>
      <c r="G2459" s="9">
        <v>2800.7</v>
      </c>
      <c r="H2459" s="10">
        <v>0.35299999999999998</v>
      </c>
      <c r="I2459" s="11">
        <v>6.4</v>
      </c>
    </row>
    <row r="2460" spans="1:9" x14ac:dyDescent="0.35">
      <c r="A2460" s="2" t="s">
        <v>263</v>
      </c>
      <c r="B2460" s="3">
        <v>44866</v>
      </c>
      <c r="C2460" s="2">
        <v>21</v>
      </c>
      <c r="D2460" s="2">
        <v>23539</v>
      </c>
      <c r="E2460" s="17">
        <v>50562.33</v>
      </c>
      <c r="F2460" s="11">
        <v>6.3</v>
      </c>
      <c r="G2460" s="9">
        <v>3749.5</v>
      </c>
      <c r="H2460" s="10">
        <v>0.42899999999999999</v>
      </c>
      <c r="I2460" s="11">
        <v>6.6</v>
      </c>
    </row>
    <row r="2461" spans="1:9" x14ac:dyDescent="0.35">
      <c r="A2461" s="2" t="s">
        <v>263</v>
      </c>
      <c r="B2461" s="3">
        <v>44896</v>
      </c>
      <c r="C2461" s="2">
        <v>25</v>
      </c>
      <c r="D2461" s="2">
        <v>37428</v>
      </c>
      <c r="E2461" s="17">
        <v>82627.360000000001</v>
      </c>
      <c r="F2461" s="11">
        <v>6.67</v>
      </c>
      <c r="G2461" s="9">
        <v>5516</v>
      </c>
      <c r="H2461" s="10">
        <v>0.4</v>
      </c>
      <c r="I2461" s="11">
        <v>7</v>
      </c>
    </row>
    <row r="2462" spans="1:9" x14ac:dyDescent="0.35">
      <c r="A2462" s="2" t="s">
        <v>263</v>
      </c>
      <c r="B2462" s="3">
        <v>44927</v>
      </c>
      <c r="C2462" s="2">
        <v>18</v>
      </c>
      <c r="D2462" s="2">
        <v>17974</v>
      </c>
      <c r="E2462" s="17">
        <v>41007.160000000003</v>
      </c>
      <c r="F2462" s="11">
        <v>6.5</v>
      </c>
      <c r="G2462" s="9">
        <v>2777.7</v>
      </c>
      <c r="H2462" s="10">
        <v>0.33300000000000002</v>
      </c>
      <c r="I2462" s="11">
        <v>7.8</v>
      </c>
    </row>
    <row r="2463" spans="1:9" x14ac:dyDescent="0.35">
      <c r="A2463" s="2" t="s">
        <v>263</v>
      </c>
      <c r="B2463" s="3">
        <v>44958</v>
      </c>
      <c r="C2463" s="2">
        <v>17</v>
      </c>
      <c r="D2463" s="2">
        <v>25703</v>
      </c>
      <c r="E2463" s="17">
        <v>55117.42</v>
      </c>
      <c r="F2463" s="11">
        <v>6.43</v>
      </c>
      <c r="G2463" s="9">
        <v>4055.6</v>
      </c>
      <c r="H2463" s="10">
        <v>0.64700000000000002</v>
      </c>
      <c r="I2463" s="11">
        <v>7.8</v>
      </c>
    </row>
    <row r="2464" spans="1:9" x14ac:dyDescent="0.35">
      <c r="A2464" s="2" t="s">
        <v>263</v>
      </c>
      <c r="B2464" s="3">
        <v>44986</v>
      </c>
      <c r="C2464" s="2">
        <v>10</v>
      </c>
      <c r="D2464" s="2">
        <v>11506</v>
      </c>
      <c r="E2464" s="17">
        <v>28431.54</v>
      </c>
      <c r="F2464" s="11">
        <v>6.46</v>
      </c>
      <c r="G2464" s="9">
        <v>1740.3</v>
      </c>
      <c r="H2464" s="10">
        <v>0.7</v>
      </c>
      <c r="I2464" s="11">
        <v>5.9</v>
      </c>
    </row>
    <row r="2465" spans="1:9" x14ac:dyDescent="0.35">
      <c r="A2465" s="2" t="s">
        <v>263</v>
      </c>
      <c r="B2465" s="3">
        <v>45017</v>
      </c>
      <c r="C2465" s="2">
        <v>26</v>
      </c>
      <c r="D2465" s="2">
        <v>37121</v>
      </c>
      <c r="E2465" s="17">
        <v>78201.460000000006</v>
      </c>
      <c r="F2465" s="11">
        <v>6.4</v>
      </c>
      <c r="G2465" s="9">
        <v>5819.6</v>
      </c>
      <c r="H2465" s="10">
        <v>0.42299999999999999</v>
      </c>
      <c r="I2465" s="11">
        <v>7.8</v>
      </c>
    </row>
    <row r="2466" spans="1:9" x14ac:dyDescent="0.35">
      <c r="A2466" s="2" t="s">
        <v>263</v>
      </c>
      <c r="B2466" s="3">
        <v>45047</v>
      </c>
      <c r="C2466" s="2">
        <v>14</v>
      </c>
      <c r="D2466" s="2">
        <v>24449</v>
      </c>
      <c r="E2466" s="17">
        <v>57833.95</v>
      </c>
      <c r="F2466" s="11">
        <v>6.3</v>
      </c>
      <c r="G2466" s="9">
        <v>3896.4</v>
      </c>
      <c r="H2466" s="10">
        <v>0.35699999999999998</v>
      </c>
      <c r="I2466" s="11">
        <v>7.1</v>
      </c>
    </row>
    <row r="2467" spans="1:9" x14ac:dyDescent="0.35">
      <c r="A2467" s="2" t="s">
        <v>263</v>
      </c>
      <c r="B2467" s="3">
        <v>45078</v>
      </c>
      <c r="C2467" s="2">
        <v>15</v>
      </c>
      <c r="D2467" s="2">
        <v>13839</v>
      </c>
      <c r="E2467" s="17">
        <v>29641.65</v>
      </c>
      <c r="F2467" s="11">
        <v>6.38</v>
      </c>
      <c r="G2467" s="9">
        <v>2216.1999999999998</v>
      </c>
      <c r="H2467" s="10">
        <v>0.46700000000000003</v>
      </c>
      <c r="I2467" s="11">
        <v>7.4</v>
      </c>
    </row>
    <row r="2468" spans="1:9" x14ac:dyDescent="0.35">
      <c r="A2468" s="2" t="s">
        <v>263</v>
      </c>
      <c r="B2468" s="3">
        <v>45108</v>
      </c>
      <c r="C2468" s="2">
        <v>24</v>
      </c>
      <c r="D2468" s="2">
        <v>36419</v>
      </c>
      <c r="E2468" s="17">
        <v>76209.259999999995</v>
      </c>
      <c r="F2468" s="11">
        <v>6.56</v>
      </c>
      <c r="G2468" s="9">
        <v>5586.1</v>
      </c>
      <c r="H2468" s="10">
        <v>0.33300000000000002</v>
      </c>
      <c r="I2468" s="11">
        <v>6.9</v>
      </c>
    </row>
    <row r="2469" spans="1:9" x14ac:dyDescent="0.35">
      <c r="A2469" s="2" t="s">
        <v>263</v>
      </c>
      <c r="B2469" s="3">
        <v>45139</v>
      </c>
      <c r="C2469" s="2">
        <v>10</v>
      </c>
      <c r="D2469" s="2">
        <v>12737</v>
      </c>
      <c r="E2469" s="17">
        <v>28709</v>
      </c>
      <c r="F2469" s="11">
        <v>6.57</v>
      </c>
      <c r="G2469" s="9">
        <v>1992.8</v>
      </c>
      <c r="H2469" s="10">
        <v>0.5</v>
      </c>
      <c r="I2469" s="11">
        <v>7.9</v>
      </c>
    </row>
    <row r="2470" spans="1:9" x14ac:dyDescent="0.35">
      <c r="A2470" s="2" t="s">
        <v>263</v>
      </c>
      <c r="B2470" s="3">
        <v>45170</v>
      </c>
      <c r="C2470" s="2">
        <v>16</v>
      </c>
      <c r="D2470" s="2">
        <v>20909</v>
      </c>
      <c r="E2470" s="17">
        <v>41655.64</v>
      </c>
      <c r="F2470" s="11">
        <v>6.19</v>
      </c>
      <c r="G2470" s="9">
        <v>3393.1</v>
      </c>
      <c r="H2470" s="10">
        <v>0.56200000000000006</v>
      </c>
      <c r="I2470" s="11">
        <v>6.7</v>
      </c>
    </row>
    <row r="2471" spans="1:9" x14ac:dyDescent="0.35">
      <c r="A2471" s="2" t="s">
        <v>263</v>
      </c>
      <c r="B2471" s="3">
        <v>45200</v>
      </c>
      <c r="C2471" s="2">
        <v>25</v>
      </c>
      <c r="D2471" s="2">
        <v>31566</v>
      </c>
      <c r="E2471" s="17">
        <v>64685.04</v>
      </c>
      <c r="F2471" s="11">
        <v>6.37</v>
      </c>
      <c r="G2471" s="9">
        <v>5063.3999999999996</v>
      </c>
      <c r="H2471" s="10">
        <v>0.4</v>
      </c>
      <c r="I2471" s="11">
        <v>6.2</v>
      </c>
    </row>
    <row r="2472" spans="1:9" x14ac:dyDescent="0.35">
      <c r="A2472" s="2" t="s">
        <v>263</v>
      </c>
      <c r="B2472" s="3">
        <v>45231</v>
      </c>
      <c r="C2472" s="2">
        <v>19</v>
      </c>
      <c r="D2472" s="2">
        <v>30027</v>
      </c>
      <c r="E2472" s="17">
        <v>63938.400000000001</v>
      </c>
      <c r="F2472" s="11">
        <v>6.59</v>
      </c>
      <c r="G2472" s="9">
        <v>4620.7</v>
      </c>
      <c r="H2472" s="10">
        <v>0.21099999999999999</v>
      </c>
      <c r="I2472" s="11">
        <v>8.4</v>
      </c>
    </row>
    <row r="2473" spans="1:9" x14ac:dyDescent="0.35">
      <c r="A2473" s="2" t="s">
        <v>263</v>
      </c>
      <c r="B2473" s="3">
        <v>45261</v>
      </c>
      <c r="C2473" s="2">
        <v>23</v>
      </c>
      <c r="D2473" s="2">
        <v>32243</v>
      </c>
      <c r="E2473" s="17">
        <v>68580.039999999994</v>
      </c>
      <c r="F2473" s="11">
        <v>6.7</v>
      </c>
      <c r="G2473" s="9">
        <v>4779.5</v>
      </c>
      <c r="H2473" s="10">
        <v>0.39100000000000001</v>
      </c>
      <c r="I2473" s="11">
        <v>7.5</v>
      </c>
    </row>
    <row r="2474" spans="1:9" x14ac:dyDescent="0.35">
      <c r="A2474" s="2" t="s">
        <v>263</v>
      </c>
      <c r="B2474" s="3">
        <v>45292</v>
      </c>
      <c r="C2474" s="2">
        <v>17</v>
      </c>
      <c r="D2474" s="2">
        <v>28993</v>
      </c>
      <c r="E2474" s="17">
        <v>60624.21</v>
      </c>
      <c r="F2474" s="11">
        <v>6.77</v>
      </c>
      <c r="G2474" s="9">
        <v>4292.5</v>
      </c>
      <c r="H2474" s="10">
        <v>0.47099999999999997</v>
      </c>
      <c r="I2474" s="11">
        <v>6.6</v>
      </c>
    </row>
    <row r="2475" spans="1:9" x14ac:dyDescent="0.35">
      <c r="A2475" s="2" t="s">
        <v>263</v>
      </c>
      <c r="B2475" s="3">
        <v>45323</v>
      </c>
      <c r="C2475" s="2">
        <v>24</v>
      </c>
      <c r="D2475" s="2">
        <v>32939</v>
      </c>
      <c r="E2475" s="17">
        <v>70513.899999999994</v>
      </c>
      <c r="F2475" s="11">
        <v>6.31</v>
      </c>
      <c r="G2475" s="9">
        <v>5248.9</v>
      </c>
      <c r="H2475" s="10">
        <v>0.41699999999999998</v>
      </c>
      <c r="I2475" s="11">
        <v>6.7</v>
      </c>
    </row>
    <row r="2476" spans="1:9" x14ac:dyDescent="0.35">
      <c r="A2476" s="2" t="s">
        <v>263</v>
      </c>
      <c r="B2476" s="3">
        <v>45352</v>
      </c>
      <c r="C2476" s="2">
        <v>14</v>
      </c>
      <c r="D2476" s="2">
        <v>22593</v>
      </c>
      <c r="E2476" s="17">
        <v>47158.68</v>
      </c>
      <c r="F2476" s="11">
        <v>6.55</v>
      </c>
      <c r="G2476" s="9">
        <v>3444.3</v>
      </c>
      <c r="H2476" s="10">
        <v>0.5</v>
      </c>
      <c r="I2476" s="11">
        <v>8.1</v>
      </c>
    </row>
    <row r="2477" spans="1:9" x14ac:dyDescent="0.35">
      <c r="A2477" s="2" t="s">
        <v>263</v>
      </c>
      <c r="B2477" s="3">
        <v>45383</v>
      </c>
      <c r="C2477" s="2">
        <v>17</v>
      </c>
      <c r="D2477" s="2">
        <v>22937</v>
      </c>
      <c r="E2477" s="17">
        <v>50657.58</v>
      </c>
      <c r="F2477" s="11">
        <v>6.56</v>
      </c>
      <c r="G2477" s="9">
        <v>3568.9</v>
      </c>
      <c r="H2477" s="10">
        <v>0.41199999999999998</v>
      </c>
      <c r="I2477" s="11">
        <v>6.2</v>
      </c>
    </row>
    <row r="2478" spans="1:9" x14ac:dyDescent="0.35">
      <c r="A2478" s="2" t="s">
        <v>263</v>
      </c>
      <c r="B2478" s="3">
        <v>45413</v>
      </c>
      <c r="C2478" s="2">
        <v>22</v>
      </c>
      <c r="D2478" s="2">
        <v>29184</v>
      </c>
      <c r="E2478" s="17">
        <v>61077.760000000002</v>
      </c>
      <c r="F2478" s="11">
        <v>6.2</v>
      </c>
      <c r="G2478" s="9">
        <v>4759.6000000000004</v>
      </c>
      <c r="H2478" s="10">
        <v>0.54500000000000004</v>
      </c>
      <c r="I2478" s="11">
        <v>8.6999999999999993</v>
      </c>
    </row>
    <row r="2479" spans="1:9" x14ac:dyDescent="0.35">
      <c r="A2479" s="2" t="s">
        <v>263</v>
      </c>
      <c r="B2479" s="3">
        <v>45444</v>
      </c>
      <c r="C2479" s="2">
        <v>21</v>
      </c>
      <c r="D2479" s="2">
        <v>36696</v>
      </c>
      <c r="E2479" s="17">
        <v>75090.25</v>
      </c>
      <c r="F2479" s="11">
        <v>6.51</v>
      </c>
      <c r="G2479" s="9">
        <v>5717.5</v>
      </c>
      <c r="H2479" s="10">
        <v>0.42899999999999999</v>
      </c>
      <c r="I2479" s="11">
        <v>6.5</v>
      </c>
    </row>
    <row r="2480" spans="1:9" x14ac:dyDescent="0.35">
      <c r="A2480" s="2" t="s">
        <v>263</v>
      </c>
      <c r="B2480" s="3">
        <v>45474</v>
      </c>
      <c r="C2480" s="2">
        <v>15</v>
      </c>
      <c r="D2480" s="2">
        <v>18690</v>
      </c>
      <c r="E2480" s="17">
        <v>39842.42</v>
      </c>
      <c r="F2480" s="11">
        <v>6.61</v>
      </c>
      <c r="G2480" s="9">
        <v>2779.1</v>
      </c>
      <c r="H2480" s="10">
        <v>0.53300000000000003</v>
      </c>
      <c r="I2480" s="11">
        <v>7.1</v>
      </c>
    </row>
    <row r="2481" spans="1:9" x14ac:dyDescent="0.35">
      <c r="A2481" s="2" t="s">
        <v>263</v>
      </c>
      <c r="B2481" s="3">
        <v>45505</v>
      </c>
      <c r="C2481" s="2">
        <v>13</v>
      </c>
      <c r="D2481" s="2">
        <v>15532</v>
      </c>
      <c r="E2481" s="17">
        <v>34715.89</v>
      </c>
      <c r="F2481" s="11">
        <v>6.42</v>
      </c>
      <c r="G2481" s="9">
        <v>2414</v>
      </c>
      <c r="H2481" s="10">
        <v>0.38500000000000001</v>
      </c>
      <c r="I2481" s="11">
        <v>7.6</v>
      </c>
    </row>
    <row r="2482" spans="1:9" x14ac:dyDescent="0.35">
      <c r="A2482" s="2" t="s">
        <v>263</v>
      </c>
      <c r="B2482" s="3">
        <v>45536</v>
      </c>
      <c r="C2482" s="2">
        <v>27</v>
      </c>
      <c r="D2482" s="2">
        <v>32954</v>
      </c>
      <c r="E2482" s="17">
        <v>68545.88</v>
      </c>
      <c r="F2482" s="11">
        <v>6.62</v>
      </c>
      <c r="G2482" s="9">
        <v>4993.1000000000004</v>
      </c>
      <c r="H2482" s="10">
        <v>0.51900000000000002</v>
      </c>
      <c r="I2482" s="11">
        <v>6.4</v>
      </c>
    </row>
    <row r="2483" spans="1:9" x14ac:dyDescent="0.35">
      <c r="A2483" s="2" t="s">
        <v>263</v>
      </c>
      <c r="B2483" s="3">
        <v>45566</v>
      </c>
      <c r="C2483" s="2">
        <v>11</v>
      </c>
      <c r="D2483" s="2">
        <v>16254</v>
      </c>
      <c r="E2483" s="17">
        <v>37130.86</v>
      </c>
      <c r="F2483" s="11">
        <v>6.43</v>
      </c>
      <c r="G2483" s="9">
        <v>2546.8000000000002</v>
      </c>
      <c r="H2483" s="10">
        <v>0.54500000000000004</v>
      </c>
      <c r="I2483" s="11">
        <v>5.8</v>
      </c>
    </row>
    <row r="2484" spans="1:9" x14ac:dyDescent="0.35">
      <c r="A2484" s="2" t="s">
        <v>263</v>
      </c>
      <c r="B2484" s="3">
        <v>45597</v>
      </c>
      <c r="C2484" s="2">
        <v>17</v>
      </c>
      <c r="D2484" s="2">
        <v>20220</v>
      </c>
      <c r="E2484" s="17">
        <v>46907.05</v>
      </c>
      <c r="F2484" s="11">
        <v>6.5</v>
      </c>
      <c r="G2484" s="9">
        <v>3095.7</v>
      </c>
      <c r="H2484" s="10">
        <v>0.35299999999999998</v>
      </c>
      <c r="I2484" s="11">
        <v>6.6</v>
      </c>
    </row>
    <row r="2485" spans="1:9" x14ac:dyDescent="0.35">
      <c r="A2485" s="2" t="s">
        <v>263</v>
      </c>
      <c r="B2485" s="3">
        <v>45627</v>
      </c>
      <c r="C2485" s="2">
        <v>17</v>
      </c>
      <c r="D2485" s="2">
        <v>25877</v>
      </c>
      <c r="E2485" s="17">
        <v>56669.11</v>
      </c>
      <c r="F2485" s="11">
        <v>6.02</v>
      </c>
      <c r="G2485" s="9">
        <v>4297.5</v>
      </c>
      <c r="H2485" s="10">
        <v>0.58799999999999997</v>
      </c>
      <c r="I2485" s="11">
        <v>6.3</v>
      </c>
    </row>
    <row r="2486" spans="1:9" x14ac:dyDescent="0.35">
      <c r="A2486" s="2" t="s">
        <v>265</v>
      </c>
      <c r="B2486" s="3">
        <v>44562</v>
      </c>
      <c r="C2486" s="2">
        <v>25</v>
      </c>
      <c r="D2486" s="2">
        <v>34060</v>
      </c>
      <c r="E2486" s="17">
        <v>74298.66</v>
      </c>
      <c r="F2486" s="11">
        <v>6.44</v>
      </c>
      <c r="G2486" s="9">
        <v>5369.4</v>
      </c>
      <c r="H2486" s="10">
        <v>0.48</v>
      </c>
      <c r="I2486" s="11">
        <v>7</v>
      </c>
    </row>
    <row r="2487" spans="1:9" x14ac:dyDescent="0.35">
      <c r="A2487" s="2" t="s">
        <v>265</v>
      </c>
      <c r="B2487" s="3">
        <v>44593</v>
      </c>
      <c r="C2487" s="2">
        <v>19</v>
      </c>
      <c r="D2487" s="2">
        <v>19937</v>
      </c>
      <c r="E2487" s="17">
        <v>41893.550000000003</v>
      </c>
      <c r="F2487" s="11">
        <v>6.48</v>
      </c>
      <c r="G2487" s="9">
        <v>3104.6</v>
      </c>
      <c r="H2487" s="10">
        <v>0.42099999999999999</v>
      </c>
      <c r="I2487" s="11">
        <v>7.1</v>
      </c>
    </row>
    <row r="2488" spans="1:9" x14ac:dyDescent="0.35">
      <c r="A2488" s="2" t="s">
        <v>265</v>
      </c>
      <c r="B2488" s="3">
        <v>44621</v>
      </c>
      <c r="C2488" s="2">
        <v>24</v>
      </c>
      <c r="D2488" s="2">
        <v>34927</v>
      </c>
      <c r="E2488" s="17">
        <v>76205.539999999994</v>
      </c>
      <c r="F2488" s="11">
        <v>6.53</v>
      </c>
      <c r="G2488" s="9">
        <v>5423.6</v>
      </c>
      <c r="H2488" s="10">
        <v>0.45800000000000002</v>
      </c>
      <c r="I2488" s="11">
        <v>7</v>
      </c>
    </row>
    <row r="2489" spans="1:9" x14ac:dyDescent="0.35">
      <c r="A2489" s="2" t="s">
        <v>265</v>
      </c>
      <c r="B2489" s="3">
        <v>44652</v>
      </c>
      <c r="C2489" s="2">
        <v>14</v>
      </c>
      <c r="D2489" s="2">
        <v>22170</v>
      </c>
      <c r="E2489" s="17">
        <v>49971.78</v>
      </c>
      <c r="F2489" s="11">
        <v>6.44</v>
      </c>
      <c r="G2489" s="9">
        <v>3435.7</v>
      </c>
      <c r="H2489" s="10">
        <v>0.42899999999999999</v>
      </c>
      <c r="I2489" s="11">
        <v>6.5</v>
      </c>
    </row>
    <row r="2490" spans="1:9" x14ac:dyDescent="0.35">
      <c r="A2490" s="2" t="s">
        <v>265</v>
      </c>
      <c r="B2490" s="3">
        <v>44682</v>
      </c>
      <c r="C2490" s="2">
        <v>20</v>
      </c>
      <c r="D2490" s="2">
        <v>24537</v>
      </c>
      <c r="E2490" s="17">
        <v>58086.48</v>
      </c>
      <c r="F2490" s="11">
        <v>6.5</v>
      </c>
      <c r="G2490" s="9">
        <v>3842.2</v>
      </c>
      <c r="H2490" s="10">
        <v>0.65</v>
      </c>
      <c r="I2490" s="11">
        <v>7.3</v>
      </c>
    </row>
    <row r="2491" spans="1:9" x14ac:dyDescent="0.35">
      <c r="A2491" s="2" t="s">
        <v>265</v>
      </c>
      <c r="B2491" s="3">
        <v>44713</v>
      </c>
      <c r="C2491" s="2">
        <v>18</v>
      </c>
      <c r="D2491" s="2">
        <v>31504</v>
      </c>
      <c r="E2491" s="17">
        <v>58773.26</v>
      </c>
      <c r="F2491" s="11">
        <v>6.43</v>
      </c>
      <c r="G2491" s="9">
        <v>4822.7</v>
      </c>
      <c r="H2491" s="10">
        <v>0.5</v>
      </c>
      <c r="I2491" s="11">
        <v>7.2</v>
      </c>
    </row>
    <row r="2492" spans="1:9" x14ac:dyDescent="0.35">
      <c r="A2492" s="2" t="s">
        <v>265</v>
      </c>
      <c r="B2492" s="3">
        <v>44743</v>
      </c>
      <c r="C2492" s="2">
        <v>30</v>
      </c>
      <c r="D2492" s="2">
        <v>43720</v>
      </c>
      <c r="E2492" s="17">
        <v>85947.37</v>
      </c>
      <c r="F2492" s="11">
        <v>6.47</v>
      </c>
      <c r="G2492" s="9">
        <v>6732.3</v>
      </c>
      <c r="H2492" s="10">
        <v>0.4</v>
      </c>
      <c r="I2492" s="11">
        <v>6.2</v>
      </c>
    </row>
    <row r="2493" spans="1:9" x14ac:dyDescent="0.35">
      <c r="A2493" s="2" t="s">
        <v>265</v>
      </c>
      <c r="B2493" s="3">
        <v>44774</v>
      </c>
      <c r="C2493" s="2">
        <v>28</v>
      </c>
      <c r="D2493" s="2">
        <v>42243</v>
      </c>
      <c r="E2493" s="17">
        <v>86128.86</v>
      </c>
      <c r="F2493" s="11">
        <v>6.41</v>
      </c>
      <c r="G2493" s="9">
        <v>6682</v>
      </c>
      <c r="H2493" s="10">
        <v>0.60699999999999998</v>
      </c>
      <c r="I2493" s="11">
        <v>7</v>
      </c>
    </row>
    <row r="2494" spans="1:9" x14ac:dyDescent="0.35">
      <c r="A2494" s="2" t="s">
        <v>265</v>
      </c>
      <c r="B2494" s="3">
        <v>44805</v>
      </c>
      <c r="C2494" s="2">
        <v>9</v>
      </c>
      <c r="D2494" s="2">
        <v>17147</v>
      </c>
      <c r="E2494" s="17">
        <v>39191.67</v>
      </c>
      <c r="F2494" s="11">
        <v>6.14</v>
      </c>
      <c r="G2494" s="9">
        <v>2826</v>
      </c>
      <c r="H2494" s="10">
        <v>0.44400000000000001</v>
      </c>
      <c r="I2494" s="11">
        <v>7.5</v>
      </c>
    </row>
    <row r="2495" spans="1:9" x14ac:dyDescent="0.35">
      <c r="A2495" s="2" t="s">
        <v>265</v>
      </c>
      <c r="B2495" s="3">
        <v>44835</v>
      </c>
      <c r="C2495" s="2">
        <v>19</v>
      </c>
      <c r="D2495" s="2">
        <v>23582</v>
      </c>
      <c r="E2495" s="17">
        <v>48822.92</v>
      </c>
      <c r="F2495" s="11">
        <v>6.32</v>
      </c>
      <c r="G2495" s="9">
        <v>3831.7</v>
      </c>
      <c r="H2495" s="10">
        <v>0.57899999999999996</v>
      </c>
      <c r="I2495" s="11">
        <v>6</v>
      </c>
    </row>
    <row r="2496" spans="1:9" x14ac:dyDescent="0.35">
      <c r="A2496" s="2" t="s">
        <v>265</v>
      </c>
      <c r="B2496" s="3">
        <v>44866</v>
      </c>
      <c r="C2496" s="2">
        <v>13</v>
      </c>
      <c r="D2496" s="2">
        <v>16630</v>
      </c>
      <c r="E2496" s="17">
        <v>34346.660000000003</v>
      </c>
      <c r="F2496" s="11">
        <v>6.66</v>
      </c>
      <c r="G2496" s="9">
        <v>2531.9</v>
      </c>
      <c r="H2496" s="10">
        <v>0.53800000000000003</v>
      </c>
      <c r="I2496" s="11">
        <v>6.5</v>
      </c>
    </row>
    <row r="2497" spans="1:9" x14ac:dyDescent="0.35">
      <c r="A2497" s="2" t="s">
        <v>265</v>
      </c>
      <c r="B2497" s="3">
        <v>44896</v>
      </c>
      <c r="C2497" s="2">
        <v>18</v>
      </c>
      <c r="D2497" s="2">
        <v>30535</v>
      </c>
      <c r="E2497" s="17">
        <v>69516.39</v>
      </c>
      <c r="F2497" s="11">
        <v>6.21</v>
      </c>
      <c r="G2497" s="9">
        <v>4924.6000000000004</v>
      </c>
      <c r="H2497" s="10">
        <v>0.38900000000000001</v>
      </c>
      <c r="I2497" s="11">
        <v>6.1</v>
      </c>
    </row>
    <row r="2498" spans="1:9" x14ac:dyDescent="0.35">
      <c r="A2498" s="2" t="s">
        <v>265</v>
      </c>
      <c r="B2498" s="3">
        <v>44927</v>
      </c>
      <c r="C2498" s="2">
        <v>17</v>
      </c>
      <c r="D2498" s="2">
        <v>20566</v>
      </c>
      <c r="E2498" s="17">
        <v>45418.86</v>
      </c>
      <c r="F2498" s="11">
        <v>6.6</v>
      </c>
      <c r="G2498" s="9">
        <v>3166.9</v>
      </c>
      <c r="H2498" s="10">
        <v>0.29399999999999998</v>
      </c>
      <c r="I2498" s="11">
        <v>7</v>
      </c>
    </row>
    <row r="2499" spans="1:9" x14ac:dyDescent="0.35">
      <c r="A2499" s="2" t="s">
        <v>265</v>
      </c>
      <c r="B2499" s="3">
        <v>44958</v>
      </c>
      <c r="C2499" s="2">
        <v>22</v>
      </c>
      <c r="D2499" s="2">
        <v>31469</v>
      </c>
      <c r="E2499" s="17">
        <v>66472.149999999994</v>
      </c>
      <c r="F2499" s="11">
        <v>6.54</v>
      </c>
      <c r="G2499" s="9">
        <v>4784.2</v>
      </c>
      <c r="H2499" s="10">
        <v>0.5</v>
      </c>
      <c r="I2499" s="11">
        <v>5.7</v>
      </c>
    </row>
    <row r="2500" spans="1:9" x14ac:dyDescent="0.35">
      <c r="A2500" s="2" t="s">
        <v>265</v>
      </c>
      <c r="B2500" s="3">
        <v>44986</v>
      </c>
      <c r="C2500" s="2">
        <v>19</v>
      </c>
      <c r="D2500" s="2">
        <v>34984</v>
      </c>
      <c r="E2500" s="17">
        <v>77748.5</v>
      </c>
      <c r="F2500" s="11">
        <v>6.65</v>
      </c>
      <c r="G2500" s="9">
        <v>5259.4</v>
      </c>
      <c r="H2500" s="10">
        <v>0.73699999999999999</v>
      </c>
      <c r="I2500" s="11">
        <v>7.3</v>
      </c>
    </row>
    <row r="2501" spans="1:9" x14ac:dyDescent="0.35">
      <c r="A2501" s="2" t="s">
        <v>265</v>
      </c>
      <c r="B2501" s="3">
        <v>45017</v>
      </c>
      <c r="C2501" s="2">
        <v>17</v>
      </c>
      <c r="D2501" s="2">
        <v>23733</v>
      </c>
      <c r="E2501" s="17">
        <v>49515.94</v>
      </c>
      <c r="F2501" s="11">
        <v>6.6</v>
      </c>
      <c r="G2501" s="9">
        <v>3641</v>
      </c>
      <c r="H2501" s="10">
        <v>0.29399999999999998</v>
      </c>
      <c r="I2501" s="11">
        <v>7.4</v>
      </c>
    </row>
    <row r="2502" spans="1:9" x14ac:dyDescent="0.35">
      <c r="A2502" s="2" t="s">
        <v>265</v>
      </c>
      <c r="B2502" s="3">
        <v>45047</v>
      </c>
      <c r="C2502" s="2">
        <v>24</v>
      </c>
      <c r="D2502" s="2">
        <v>38708</v>
      </c>
      <c r="E2502" s="17">
        <v>84947.51</v>
      </c>
      <c r="F2502" s="11">
        <v>6.66</v>
      </c>
      <c r="G2502" s="9">
        <v>5964.5</v>
      </c>
      <c r="H2502" s="10">
        <v>0.33300000000000002</v>
      </c>
      <c r="I2502" s="11">
        <v>7.1</v>
      </c>
    </row>
    <row r="2503" spans="1:9" x14ac:dyDescent="0.35">
      <c r="A2503" s="2" t="s">
        <v>265</v>
      </c>
      <c r="B2503" s="3">
        <v>45078</v>
      </c>
      <c r="C2503" s="2">
        <v>15</v>
      </c>
      <c r="D2503" s="2">
        <v>18549</v>
      </c>
      <c r="E2503" s="17">
        <v>43484.07</v>
      </c>
      <c r="F2503" s="11">
        <v>6.55</v>
      </c>
      <c r="G2503" s="9">
        <v>2834.7</v>
      </c>
      <c r="H2503" s="10">
        <v>0.53300000000000003</v>
      </c>
      <c r="I2503" s="11">
        <v>7</v>
      </c>
    </row>
    <row r="2504" spans="1:9" x14ac:dyDescent="0.35">
      <c r="A2504" s="2" t="s">
        <v>265</v>
      </c>
      <c r="B2504" s="3">
        <v>45108</v>
      </c>
      <c r="C2504" s="2">
        <v>22</v>
      </c>
      <c r="D2504" s="2">
        <v>31815</v>
      </c>
      <c r="E2504" s="17">
        <v>72242.429999999993</v>
      </c>
      <c r="F2504" s="11">
        <v>6.48</v>
      </c>
      <c r="G2504" s="9">
        <v>5038.5</v>
      </c>
      <c r="H2504" s="10">
        <v>0.36399999999999999</v>
      </c>
      <c r="I2504" s="11">
        <v>6.9</v>
      </c>
    </row>
    <row r="2505" spans="1:9" x14ac:dyDescent="0.35">
      <c r="A2505" s="2" t="s">
        <v>265</v>
      </c>
      <c r="B2505" s="3">
        <v>45139</v>
      </c>
      <c r="C2505" s="2">
        <v>22</v>
      </c>
      <c r="D2505" s="2">
        <v>27966</v>
      </c>
      <c r="E2505" s="17">
        <v>59345.07</v>
      </c>
      <c r="F2505" s="11">
        <v>6.58</v>
      </c>
      <c r="G2505" s="9">
        <v>4337.5</v>
      </c>
      <c r="H2505" s="10">
        <v>0.63600000000000001</v>
      </c>
      <c r="I2505" s="11">
        <v>6.8</v>
      </c>
    </row>
    <row r="2506" spans="1:9" x14ac:dyDescent="0.35">
      <c r="A2506" s="2" t="s">
        <v>265</v>
      </c>
      <c r="B2506" s="3">
        <v>45170</v>
      </c>
      <c r="C2506" s="2">
        <v>19</v>
      </c>
      <c r="D2506" s="2">
        <v>24669</v>
      </c>
      <c r="E2506" s="17">
        <v>53553.04</v>
      </c>
      <c r="F2506" s="11">
        <v>6.67</v>
      </c>
      <c r="G2506" s="9">
        <v>3746.8</v>
      </c>
      <c r="H2506" s="10">
        <v>0.52600000000000002</v>
      </c>
      <c r="I2506" s="11">
        <v>6.2</v>
      </c>
    </row>
    <row r="2507" spans="1:9" x14ac:dyDescent="0.35">
      <c r="A2507" s="2" t="s">
        <v>265</v>
      </c>
      <c r="B2507" s="3">
        <v>45200</v>
      </c>
      <c r="C2507" s="2">
        <v>19</v>
      </c>
      <c r="D2507" s="2">
        <v>34367</v>
      </c>
      <c r="E2507" s="17">
        <v>79273.899999999994</v>
      </c>
      <c r="F2507" s="11">
        <v>6.47</v>
      </c>
      <c r="G2507" s="9">
        <v>5374.9</v>
      </c>
      <c r="H2507" s="10">
        <v>0.42099999999999999</v>
      </c>
      <c r="I2507" s="11">
        <v>7.2</v>
      </c>
    </row>
    <row r="2508" spans="1:9" x14ac:dyDescent="0.35">
      <c r="A2508" s="2" t="s">
        <v>265</v>
      </c>
      <c r="B2508" s="3">
        <v>45231</v>
      </c>
      <c r="C2508" s="2">
        <v>12</v>
      </c>
      <c r="D2508" s="2">
        <v>21604</v>
      </c>
      <c r="E2508" s="17">
        <v>52130.2</v>
      </c>
      <c r="F2508" s="11">
        <v>6.58</v>
      </c>
      <c r="G2508" s="9">
        <v>3314.7</v>
      </c>
      <c r="H2508" s="10">
        <v>0.25</v>
      </c>
      <c r="I2508" s="11">
        <v>6</v>
      </c>
    </row>
    <row r="2509" spans="1:9" x14ac:dyDescent="0.35">
      <c r="A2509" s="2" t="s">
        <v>265</v>
      </c>
      <c r="B2509" s="3">
        <v>45261</v>
      </c>
      <c r="C2509" s="2">
        <v>14</v>
      </c>
      <c r="D2509" s="2">
        <v>17388</v>
      </c>
      <c r="E2509" s="17">
        <v>38464.199999999997</v>
      </c>
      <c r="F2509" s="11">
        <v>6.39</v>
      </c>
      <c r="G2509" s="9">
        <v>2756.1</v>
      </c>
      <c r="H2509" s="10">
        <v>0.5</v>
      </c>
      <c r="I2509" s="11">
        <v>8.4</v>
      </c>
    </row>
    <row r="2510" spans="1:9" x14ac:dyDescent="0.35">
      <c r="A2510" s="2" t="s">
        <v>265</v>
      </c>
      <c r="B2510" s="3">
        <v>45292</v>
      </c>
      <c r="C2510" s="2">
        <v>22</v>
      </c>
      <c r="D2510" s="2">
        <v>33267</v>
      </c>
      <c r="E2510" s="17">
        <v>70483.990000000005</v>
      </c>
      <c r="F2510" s="11">
        <v>6.76</v>
      </c>
      <c r="G2510" s="9">
        <v>4976.5</v>
      </c>
      <c r="H2510" s="10">
        <v>0.36399999999999999</v>
      </c>
      <c r="I2510" s="11">
        <v>6.8</v>
      </c>
    </row>
    <row r="2511" spans="1:9" x14ac:dyDescent="0.35">
      <c r="A2511" s="2" t="s">
        <v>265</v>
      </c>
      <c r="B2511" s="3">
        <v>45323</v>
      </c>
      <c r="C2511" s="2">
        <v>17</v>
      </c>
      <c r="D2511" s="2">
        <v>29710</v>
      </c>
      <c r="E2511" s="17">
        <v>64663.61</v>
      </c>
      <c r="F2511" s="11">
        <v>6.57</v>
      </c>
      <c r="G2511" s="9">
        <v>4516</v>
      </c>
      <c r="H2511" s="10">
        <v>0.41199999999999998</v>
      </c>
      <c r="I2511" s="11">
        <v>7.1</v>
      </c>
    </row>
    <row r="2512" spans="1:9" x14ac:dyDescent="0.35">
      <c r="A2512" s="2" t="s">
        <v>265</v>
      </c>
      <c r="B2512" s="3">
        <v>45352</v>
      </c>
      <c r="C2512" s="2">
        <v>25</v>
      </c>
      <c r="D2512" s="2">
        <v>38838</v>
      </c>
      <c r="E2512" s="17">
        <v>83054.38</v>
      </c>
      <c r="F2512" s="11">
        <v>6.5</v>
      </c>
      <c r="G2512" s="9">
        <v>5985.9</v>
      </c>
      <c r="H2512" s="10">
        <v>0.36</v>
      </c>
      <c r="I2512" s="11">
        <v>6.6</v>
      </c>
    </row>
    <row r="2513" spans="1:9" x14ac:dyDescent="0.35">
      <c r="A2513" s="2" t="s">
        <v>265</v>
      </c>
      <c r="B2513" s="3">
        <v>45383</v>
      </c>
      <c r="C2513" s="2">
        <v>22</v>
      </c>
      <c r="D2513" s="2">
        <v>27861</v>
      </c>
      <c r="E2513" s="17">
        <v>54250.27</v>
      </c>
      <c r="F2513" s="11">
        <v>6.43</v>
      </c>
      <c r="G2513" s="9">
        <v>4450.6000000000004</v>
      </c>
      <c r="H2513" s="10">
        <v>0.54500000000000004</v>
      </c>
      <c r="I2513" s="11">
        <v>6</v>
      </c>
    </row>
    <row r="2514" spans="1:9" x14ac:dyDescent="0.35">
      <c r="A2514" s="2" t="s">
        <v>265</v>
      </c>
      <c r="B2514" s="3">
        <v>45413</v>
      </c>
      <c r="C2514" s="2">
        <v>23</v>
      </c>
      <c r="D2514" s="2">
        <v>34161</v>
      </c>
      <c r="E2514" s="17">
        <v>67939.039999999994</v>
      </c>
      <c r="F2514" s="11">
        <v>6.5</v>
      </c>
      <c r="G2514" s="9">
        <v>5306.4</v>
      </c>
      <c r="H2514" s="10">
        <v>0.47799999999999998</v>
      </c>
      <c r="I2514" s="11">
        <v>7.1</v>
      </c>
    </row>
    <row r="2515" spans="1:9" x14ac:dyDescent="0.35">
      <c r="A2515" s="2" t="s">
        <v>265</v>
      </c>
      <c r="B2515" s="3">
        <v>45444</v>
      </c>
      <c r="C2515" s="2">
        <v>21</v>
      </c>
      <c r="D2515" s="2">
        <v>26871</v>
      </c>
      <c r="E2515" s="17">
        <v>59151.040000000001</v>
      </c>
      <c r="F2515" s="11">
        <v>6.64</v>
      </c>
      <c r="G2515" s="9">
        <v>4099.6000000000004</v>
      </c>
      <c r="H2515" s="10">
        <v>0.52400000000000002</v>
      </c>
      <c r="I2515" s="11">
        <v>6.7</v>
      </c>
    </row>
    <row r="2516" spans="1:9" x14ac:dyDescent="0.35">
      <c r="A2516" s="2" t="s">
        <v>265</v>
      </c>
      <c r="B2516" s="3">
        <v>45474</v>
      </c>
      <c r="C2516" s="2">
        <v>17</v>
      </c>
      <c r="D2516" s="2">
        <v>30249</v>
      </c>
      <c r="E2516" s="17">
        <v>68289.03</v>
      </c>
      <c r="F2516" s="11">
        <v>6.69</v>
      </c>
      <c r="G2516" s="9">
        <v>4493.2</v>
      </c>
      <c r="H2516" s="10">
        <v>0.23499999999999999</v>
      </c>
      <c r="I2516" s="11">
        <v>7.4</v>
      </c>
    </row>
    <row r="2517" spans="1:9" x14ac:dyDescent="0.35">
      <c r="A2517" s="2" t="s">
        <v>265</v>
      </c>
      <c r="B2517" s="3">
        <v>45505</v>
      </c>
      <c r="C2517" s="2">
        <v>25</v>
      </c>
      <c r="D2517" s="2">
        <v>37487</v>
      </c>
      <c r="E2517" s="17">
        <v>83449.52</v>
      </c>
      <c r="F2517" s="11">
        <v>6.59</v>
      </c>
      <c r="G2517" s="9">
        <v>5646.8</v>
      </c>
      <c r="H2517" s="10">
        <v>0.6</v>
      </c>
      <c r="I2517" s="11">
        <v>6.6</v>
      </c>
    </row>
    <row r="2518" spans="1:9" x14ac:dyDescent="0.35">
      <c r="A2518" s="2" t="s">
        <v>265</v>
      </c>
      <c r="B2518" s="3">
        <v>45536</v>
      </c>
      <c r="C2518" s="2">
        <v>13</v>
      </c>
      <c r="D2518" s="2">
        <v>22168</v>
      </c>
      <c r="E2518" s="17">
        <v>45377.62</v>
      </c>
      <c r="F2518" s="11">
        <v>6.34</v>
      </c>
      <c r="G2518" s="9">
        <v>3522.4</v>
      </c>
      <c r="H2518" s="10">
        <v>0.308</v>
      </c>
      <c r="I2518" s="11">
        <v>6.8</v>
      </c>
    </row>
    <row r="2519" spans="1:9" x14ac:dyDescent="0.35">
      <c r="A2519" s="2" t="s">
        <v>265</v>
      </c>
      <c r="B2519" s="3">
        <v>45566</v>
      </c>
      <c r="C2519" s="2">
        <v>21</v>
      </c>
      <c r="D2519" s="2">
        <v>35147</v>
      </c>
      <c r="E2519" s="17">
        <v>75819.14</v>
      </c>
      <c r="F2519" s="11">
        <v>6.43</v>
      </c>
      <c r="G2519" s="9">
        <v>5511.7</v>
      </c>
      <c r="H2519" s="10">
        <v>0.38100000000000001</v>
      </c>
      <c r="I2519" s="11">
        <v>7</v>
      </c>
    </row>
    <row r="2520" spans="1:9" x14ac:dyDescent="0.35">
      <c r="A2520" s="2" t="s">
        <v>265</v>
      </c>
      <c r="B2520" s="3">
        <v>45597</v>
      </c>
      <c r="C2520" s="2">
        <v>20</v>
      </c>
      <c r="D2520" s="2">
        <v>33334</v>
      </c>
      <c r="E2520" s="17">
        <v>73053.350000000006</v>
      </c>
      <c r="F2520" s="11">
        <v>6.59</v>
      </c>
      <c r="G2520" s="9">
        <v>5058.3999999999996</v>
      </c>
      <c r="H2520" s="10">
        <v>0.35</v>
      </c>
      <c r="I2520" s="11">
        <v>6.9</v>
      </c>
    </row>
    <row r="2521" spans="1:9" x14ac:dyDescent="0.35">
      <c r="A2521" s="2" t="s">
        <v>265</v>
      </c>
      <c r="B2521" s="3">
        <v>45627</v>
      </c>
      <c r="C2521" s="2">
        <v>18</v>
      </c>
      <c r="D2521" s="2">
        <v>18330</v>
      </c>
      <c r="E2521" s="17">
        <v>38211.230000000003</v>
      </c>
      <c r="F2521" s="11">
        <v>6.47</v>
      </c>
      <c r="G2521" s="9">
        <v>2896.8</v>
      </c>
      <c r="H2521" s="10">
        <v>0.5</v>
      </c>
      <c r="I2521" s="11">
        <v>6.3</v>
      </c>
    </row>
    <row r="2522" spans="1:9" x14ac:dyDescent="0.35">
      <c r="A2522" s="2" t="s">
        <v>269</v>
      </c>
      <c r="B2522" s="3">
        <v>44562</v>
      </c>
      <c r="C2522" s="2">
        <v>25</v>
      </c>
      <c r="D2522" s="2">
        <v>41242</v>
      </c>
      <c r="E2522" s="17">
        <v>85852.87</v>
      </c>
      <c r="F2522" s="11">
        <v>6.26</v>
      </c>
      <c r="G2522" s="9">
        <v>6545.4</v>
      </c>
      <c r="H2522" s="10">
        <v>0.4</v>
      </c>
      <c r="I2522" s="11">
        <v>7.9</v>
      </c>
    </row>
    <row r="2523" spans="1:9" x14ac:dyDescent="0.35">
      <c r="A2523" s="2" t="s">
        <v>269</v>
      </c>
      <c r="B2523" s="3">
        <v>44593</v>
      </c>
      <c r="C2523" s="2">
        <v>21</v>
      </c>
      <c r="D2523" s="2">
        <v>30282</v>
      </c>
      <c r="E2523" s="17">
        <v>63478.25</v>
      </c>
      <c r="F2523" s="11">
        <v>6.54</v>
      </c>
      <c r="G2523" s="9">
        <v>4679</v>
      </c>
      <c r="H2523" s="10">
        <v>0.61899999999999999</v>
      </c>
      <c r="I2523" s="11">
        <v>7.2</v>
      </c>
    </row>
    <row r="2524" spans="1:9" x14ac:dyDescent="0.35">
      <c r="A2524" s="2" t="s">
        <v>269</v>
      </c>
      <c r="B2524" s="3">
        <v>44621</v>
      </c>
      <c r="C2524" s="2">
        <v>18</v>
      </c>
      <c r="D2524" s="2">
        <v>27828</v>
      </c>
      <c r="E2524" s="17">
        <v>64585.88</v>
      </c>
      <c r="F2524" s="11">
        <v>6.47</v>
      </c>
      <c r="G2524" s="9">
        <v>4352.5</v>
      </c>
      <c r="H2524" s="10">
        <v>0.55600000000000005</v>
      </c>
      <c r="I2524" s="11">
        <v>7.3</v>
      </c>
    </row>
    <row r="2525" spans="1:9" x14ac:dyDescent="0.35">
      <c r="A2525" s="2" t="s">
        <v>269</v>
      </c>
      <c r="B2525" s="3">
        <v>44652</v>
      </c>
      <c r="C2525" s="2">
        <v>21</v>
      </c>
      <c r="D2525" s="2">
        <v>33749</v>
      </c>
      <c r="E2525" s="17">
        <v>73529.72</v>
      </c>
      <c r="F2525" s="11">
        <v>6.39</v>
      </c>
      <c r="G2525" s="9">
        <v>5378.5</v>
      </c>
      <c r="H2525" s="10">
        <v>0.42899999999999999</v>
      </c>
      <c r="I2525" s="11">
        <v>7.7</v>
      </c>
    </row>
    <row r="2526" spans="1:9" x14ac:dyDescent="0.35">
      <c r="A2526" s="2" t="s">
        <v>269</v>
      </c>
      <c r="B2526" s="3">
        <v>44682</v>
      </c>
      <c r="C2526" s="2">
        <v>20</v>
      </c>
      <c r="D2526" s="2">
        <v>28972</v>
      </c>
      <c r="E2526" s="17">
        <v>63241.73</v>
      </c>
      <c r="F2526" s="11">
        <v>6.31</v>
      </c>
      <c r="G2526" s="9">
        <v>4600.6000000000004</v>
      </c>
      <c r="H2526" s="10">
        <v>0.5</v>
      </c>
      <c r="I2526" s="11">
        <v>7.7</v>
      </c>
    </row>
    <row r="2527" spans="1:9" x14ac:dyDescent="0.35">
      <c r="A2527" s="2" t="s">
        <v>269</v>
      </c>
      <c r="B2527" s="3">
        <v>44713</v>
      </c>
      <c r="C2527" s="2">
        <v>13</v>
      </c>
      <c r="D2527" s="2">
        <v>16780</v>
      </c>
      <c r="E2527" s="17">
        <v>36729.47</v>
      </c>
      <c r="F2527" s="11">
        <v>6.74</v>
      </c>
      <c r="G2527" s="9">
        <v>2489.3000000000002</v>
      </c>
      <c r="H2527" s="10">
        <v>0.46200000000000002</v>
      </c>
      <c r="I2527" s="11">
        <v>6</v>
      </c>
    </row>
    <row r="2528" spans="1:9" x14ac:dyDescent="0.35">
      <c r="A2528" s="2" t="s">
        <v>269</v>
      </c>
      <c r="B2528" s="3">
        <v>44743</v>
      </c>
      <c r="C2528" s="2">
        <v>8</v>
      </c>
      <c r="D2528" s="2">
        <v>8091</v>
      </c>
      <c r="E2528" s="17">
        <v>19062.14</v>
      </c>
      <c r="F2528" s="11">
        <v>6.46</v>
      </c>
      <c r="G2528" s="9">
        <v>1269.2</v>
      </c>
      <c r="H2528" s="10">
        <v>0.375</v>
      </c>
      <c r="I2528" s="11">
        <v>6.8</v>
      </c>
    </row>
    <row r="2529" spans="1:9" x14ac:dyDescent="0.35">
      <c r="A2529" s="2" t="s">
        <v>269</v>
      </c>
      <c r="B2529" s="3">
        <v>44774</v>
      </c>
      <c r="C2529" s="2">
        <v>27</v>
      </c>
      <c r="D2529" s="2">
        <v>39003</v>
      </c>
      <c r="E2529" s="17">
        <v>81658.91</v>
      </c>
      <c r="F2529" s="11">
        <v>6.48</v>
      </c>
      <c r="G2529" s="9">
        <v>6052.6</v>
      </c>
      <c r="H2529" s="10">
        <v>0.37</v>
      </c>
      <c r="I2529" s="11">
        <v>6.8</v>
      </c>
    </row>
    <row r="2530" spans="1:9" x14ac:dyDescent="0.35">
      <c r="A2530" s="2" t="s">
        <v>269</v>
      </c>
      <c r="B2530" s="3">
        <v>44805</v>
      </c>
      <c r="C2530" s="2">
        <v>27</v>
      </c>
      <c r="D2530" s="2">
        <v>40953</v>
      </c>
      <c r="E2530" s="17">
        <v>93045.16</v>
      </c>
      <c r="F2530" s="11">
        <v>6.58</v>
      </c>
      <c r="G2530" s="9">
        <v>6177.9</v>
      </c>
      <c r="H2530" s="10">
        <v>0.51900000000000002</v>
      </c>
      <c r="I2530" s="11">
        <v>6.8</v>
      </c>
    </row>
    <row r="2531" spans="1:9" x14ac:dyDescent="0.35">
      <c r="A2531" s="2" t="s">
        <v>269</v>
      </c>
      <c r="B2531" s="3">
        <v>44835</v>
      </c>
      <c r="C2531" s="2">
        <v>27</v>
      </c>
      <c r="D2531" s="2">
        <v>32677</v>
      </c>
      <c r="E2531" s="17">
        <v>71646.720000000001</v>
      </c>
      <c r="F2531" s="11">
        <v>6.35</v>
      </c>
      <c r="G2531" s="9">
        <v>5183.1000000000004</v>
      </c>
      <c r="H2531" s="10">
        <v>0.37</v>
      </c>
      <c r="I2531" s="11">
        <v>7</v>
      </c>
    </row>
    <row r="2532" spans="1:9" x14ac:dyDescent="0.35">
      <c r="A2532" s="2" t="s">
        <v>269</v>
      </c>
      <c r="B2532" s="3">
        <v>44866</v>
      </c>
      <c r="C2532" s="2">
        <v>16</v>
      </c>
      <c r="D2532" s="2">
        <v>25269</v>
      </c>
      <c r="E2532" s="17">
        <v>53300.43</v>
      </c>
      <c r="F2532" s="11">
        <v>6.48</v>
      </c>
      <c r="G2532" s="9">
        <v>3944.7</v>
      </c>
      <c r="H2532" s="10">
        <v>0.625</v>
      </c>
      <c r="I2532" s="11">
        <v>6.4</v>
      </c>
    </row>
    <row r="2533" spans="1:9" x14ac:dyDescent="0.35">
      <c r="A2533" s="2" t="s">
        <v>269</v>
      </c>
      <c r="B2533" s="3">
        <v>44896</v>
      </c>
      <c r="C2533" s="2">
        <v>26</v>
      </c>
      <c r="D2533" s="2">
        <v>32328</v>
      </c>
      <c r="E2533" s="17">
        <v>64462.16</v>
      </c>
      <c r="F2533" s="11">
        <v>6.49</v>
      </c>
      <c r="G2533" s="9">
        <v>5046.3999999999996</v>
      </c>
      <c r="H2533" s="10">
        <v>0.73099999999999998</v>
      </c>
      <c r="I2533" s="11">
        <v>8</v>
      </c>
    </row>
    <row r="2534" spans="1:9" x14ac:dyDescent="0.35">
      <c r="A2534" s="2" t="s">
        <v>269</v>
      </c>
      <c r="B2534" s="3">
        <v>44927</v>
      </c>
      <c r="C2534" s="2">
        <v>16</v>
      </c>
      <c r="D2534" s="2">
        <v>20400</v>
      </c>
      <c r="E2534" s="17">
        <v>45240.19</v>
      </c>
      <c r="F2534" s="11">
        <v>6.63</v>
      </c>
      <c r="G2534" s="9">
        <v>3183.9</v>
      </c>
      <c r="H2534" s="10">
        <v>0.438</v>
      </c>
      <c r="I2534" s="11">
        <v>6.8</v>
      </c>
    </row>
    <row r="2535" spans="1:9" x14ac:dyDescent="0.35">
      <c r="A2535" s="2" t="s">
        <v>269</v>
      </c>
      <c r="B2535" s="3">
        <v>44958</v>
      </c>
      <c r="C2535" s="2">
        <v>17</v>
      </c>
      <c r="D2535" s="2">
        <v>23847</v>
      </c>
      <c r="E2535" s="17">
        <v>47772.25</v>
      </c>
      <c r="F2535" s="11">
        <v>6.58</v>
      </c>
      <c r="G2535" s="9">
        <v>3620.1</v>
      </c>
      <c r="H2535" s="10">
        <v>0.35299999999999998</v>
      </c>
      <c r="I2535" s="11">
        <v>7.3</v>
      </c>
    </row>
    <row r="2536" spans="1:9" x14ac:dyDescent="0.35">
      <c r="A2536" s="2" t="s">
        <v>269</v>
      </c>
      <c r="B2536" s="3">
        <v>44986</v>
      </c>
      <c r="C2536" s="2">
        <v>27</v>
      </c>
      <c r="D2536" s="2">
        <v>44969</v>
      </c>
      <c r="E2536" s="17">
        <v>93941.11</v>
      </c>
      <c r="F2536" s="11">
        <v>6.48</v>
      </c>
      <c r="G2536" s="9">
        <v>6911</v>
      </c>
      <c r="H2536" s="10">
        <v>0.44400000000000001</v>
      </c>
      <c r="I2536" s="11">
        <v>6.8</v>
      </c>
    </row>
    <row r="2537" spans="1:9" x14ac:dyDescent="0.35">
      <c r="A2537" s="2" t="s">
        <v>269</v>
      </c>
      <c r="B2537" s="3">
        <v>45017</v>
      </c>
      <c r="C2537" s="2">
        <v>16</v>
      </c>
      <c r="D2537" s="2">
        <v>24742</v>
      </c>
      <c r="E2537" s="17">
        <v>49593.88</v>
      </c>
      <c r="F2537" s="11">
        <v>6.74</v>
      </c>
      <c r="G2537" s="9">
        <v>3821.3</v>
      </c>
      <c r="H2537" s="10">
        <v>0.312</v>
      </c>
      <c r="I2537" s="11">
        <v>5.9</v>
      </c>
    </row>
    <row r="2538" spans="1:9" x14ac:dyDescent="0.35">
      <c r="A2538" s="2" t="s">
        <v>269</v>
      </c>
      <c r="B2538" s="3">
        <v>45047</v>
      </c>
      <c r="C2538" s="2">
        <v>21</v>
      </c>
      <c r="D2538" s="2">
        <v>21062</v>
      </c>
      <c r="E2538" s="17">
        <v>40576.980000000003</v>
      </c>
      <c r="F2538" s="11">
        <v>6.46</v>
      </c>
      <c r="G2538" s="9">
        <v>3241.7</v>
      </c>
      <c r="H2538" s="10">
        <v>0.42899999999999999</v>
      </c>
      <c r="I2538" s="11">
        <v>7.4</v>
      </c>
    </row>
    <row r="2539" spans="1:9" x14ac:dyDescent="0.35">
      <c r="A2539" s="2" t="s">
        <v>269</v>
      </c>
      <c r="B2539" s="3">
        <v>45078</v>
      </c>
      <c r="C2539" s="2">
        <v>9</v>
      </c>
      <c r="D2539" s="2">
        <v>14400</v>
      </c>
      <c r="E2539" s="17">
        <v>32808.83</v>
      </c>
      <c r="F2539" s="11">
        <v>6.46</v>
      </c>
      <c r="G2539" s="9">
        <v>2195.9</v>
      </c>
      <c r="H2539" s="10">
        <v>0.44400000000000001</v>
      </c>
      <c r="I2539" s="11">
        <v>5.5</v>
      </c>
    </row>
    <row r="2540" spans="1:9" x14ac:dyDescent="0.35">
      <c r="A2540" s="2" t="s">
        <v>269</v>
      </c>
      <c r="B2540" s="3">
        <v>45108</v>
      </c>
      <c r="C2540" s="2">
        <v>24</v>
      </c>
      <c r="D2540" s="2">
        <v>29818</v>
      </c>
      <c r="E2540" s="17">
        <v>62696.15</v>
      </c>
      <c r="F2540" s="11">
        <v>6.64</v>
      </c>
      <c r="G2540" s="9">
        <v>4495.3999999999996</v>
      </c>
      <c r="H2540" s="10">
        <v>0.29199999999999998</v>
      </c>
      <c r="I2540" s="11">
        <v>7</v>
      </c>
    </row>
    <row r="2541" spans="1:9" x14ac:dyDescent="0.35">
      <c r="A2541" s="2" t="s">
        <v>269</v>
      </c>
      <c r="B2541" s="3">
        <v>45139</v>
      </c>
      <c r="C2541" s="2">
        <v>28</v>
      </c>
      <c r="D2541" s="2">
        <v>39894</v>
      </c>
      <c r="E2541" s="17">
        <v>77206.31</v>
      </c>
      <c r="F2541" s="11">
        <v>6.51</v>
      </c>
      <c r="G2541" s="9">
        <v>6268.4</v>
      </c>
      <c r="H2541" s="10">
        <v>0.57099999999999995</v>
      </c>
      <c r="I2541" s="11">
        <v>6</v>
      </c>
    </row>
    <row r="2542" spans="1:9" x14ac:dyDescent="0.35">
      <c r="A2542" s="2" t="s">
        <v>269</v>
      </c>
      <c r="B2542" s="3">
        <v>45170</v>
      </c>
      <c r="C2542" s="2">
        <v>14</v>
      </c>
      <c r="D2542" s="2">
        <v>15841</v>
      </c>
      <c r="E2542" s="17">
        <v>35181.85</v>
      </c>
      <c r="F2542" s="11">
        <v>6.65</v>
      </c>
      <c r="G2542" s="9">
        <v>2389.9</v>
      </c>
      <c r="H2542" s="10">
        <v>0.214</v>
      </c>
      <c r="I2542" s="11">
        <v>8.8000000000000007</v>
      </c>
    </row>
    <row r="2543" spans="1:9" x14ac:dyDescent="0.35">
      <c r="A2543" s="2" t="s">
        <v>269</v>
      </c>
      <c r="B2543" s="3">
        <v>45200</v>
      </c>
      <c r="C2543" s="2">
        <v>21</v>
      </c>
      <c r="D2543" s="2">
        <v>28406</v>
      </c>
      <c r="E2543" s="17">
        <v>60419.54</v>
      </c>
      <c r="F2543" s="11">
        <v>6.57</v>
      </c>
      <c r="G2543" s="9">
        <v>4366.8</v>
      </c>
      <c r="H2543" s="10">
        <v>0.38100000000000001</v>
      </c>
      <c r="I2543" s="11">
        <v>7.4</v>
      </c>
    </row>
    <row r="2544" spans="1:9" x14ac:dyDescent="0.35">
      <c r="A2544" s="2" t="s">
        <v>269</v>
      </c>
      <c r="B2544" s="3">
        <v>45231</v>
      </c>
      <c r="C2544" s="2">
        <v>23</v>
      </c>
      <c r="D2544" s="2">
        <v>35853</v>
      </c>
      <c r="E2544" s="17">
        <v>78044.36</v>
      </c>
      <c r="F2544" s="11">
        <v>6.49</v>
      </c>
      <c r="G2544" s="9">
        <v>5545.5</v>
      </c>
      <c r="H2544" s="10">
        <v>0.47799999999999998</v>
      </c>
      <c r="I2544" s="11">
        <v>7.3</v>
      </c>
    </row>
    <row r="2545" spans="1:9" x14ac:dyDescent="0.35">
      <c r="A2545" s="2" t="s">
        <v>269</v>
      </c>
      <c r="B2545" s="3">
        <v>45261</v>
      </c>
      <c r="C2545" s="2">
        <v>11</v>
      </c>
      <c r="D2545" s="2">
        <v>17232</v>
      </c>
      <c r="E2545" s="17">
        <v>38845.980000000003</v>
      </c>
      <c r="F2545" s="11">
        <v>6.57</v>
      </c>
      <c r="G2545" s="9">
        <v>2658.2</v>
      </c>
      <c r="H2545" s="10">
        <v>0.27300000000000002</v>
      </c>
      <c r="I2545" s="11">
        <v>7.4</v>
      </c>
    </row>
    <row r="2546" spans="1:9" x14ac:dyDescent="0.35">
      <c r="A2546" s="2" t="s">
        <v>269</v>
      </c>
      <c r="B2546" s="3">
        <v>45292</v>
      </c>
      <c r="C2546" s="2">
        <v>20</v>
      </c>
      <c r="D2546" s="2">
        <v>28582</v>
      </c>
      <c r="E2546" s="17">
        <v>63793.45</v>
      </c>
      <c r="F2546" s="11">
        <v>6.08</v>
      </c>
      <c r="G2546" s="9">
        <v>4763.5</v>
      </c>
      <c r="H2546" s="10">
        <v>0.5</v>
      </c>
      <c r="I2546" s="11">
        <v>6.2</v>
      </c>
    </row>
    <row r="2547" spans="1:9" x14ac:dyDescent="0.35">
      <c r="A2547" s="2" t="s">
        <v>269</v>
      </c>
      <c r="B2547" s="3">
        <v>45323</v>
      </c>
      <c r="C2547" s="2">
        <v>23</v>
      </c>
      <c r="D2547" s="2">
        <v>34655</v>
      </c>
      <c r="E2547" s="17">
        <v>75264.3</v>
      </c>
      <c r="F2547" s="11">
        <v>6.49</v>
      </c>
      <c r="G2547" s="9">
        <v>5356.5</v>
      </c>
      <c r="H2547" s="10">
        <v>0.47799999999999998</v>
      </c>
      <c r="I2547" s="11">
        <v>6.7</v>
      </c>
    </row>
    <row r="2548" spans="1:9" x14ac:dyDescent="0.35">
      <c r="A2548" s="2" t="s">
        <v>269</v>
      </c>
      <c r="B2548" s="3">
        <v>45352</v>
      </c>
      <c r="C2548" s="2">
        <v>16</v>
      </c>
      <c r="D2548" s="2">
        <v>22244</v>
      </c>
      <c r="E2548" s="17">
        <v>49891.199999999997</v>
      </c>
      <c r="F2548" s="11">
        <v>6.72</v>
      </c>
      <c r="G2548" s="9">
        <v>3295.4</v>
      </c>
      <c r="H2548" s="10">
        <v>0.25</v>
      </c>
      <c r="I2548" s="11">
        <v>6.9</v>
      </c>
    </row>
    <row r="2549" spans="1:9" x14ac:dyDescent="0.35">
      <c r="A2549" s="2" t="s">
        <v>269</v>
      </c>
      <c r="B2549" s="3">
        <v>45383</v>
      </c>
      <c r="C2549" s="2">
        <v>23</v>
      </c>
      <c r="D2549" s="2">
        <v>24535</v>
      </c>
      <c r="E2549" s="17">
        <v>47160.08</v>
      </c>
      <c r="F2549" s="11">
        <v>6.51</v>
      </c>
      <c r="G2549" s="9">
        <v>3740.9</v>
      </c>
      <c r="H2549" s="10">
        <v>0.435</v>
      </c>
      <c r="I2549" s="11">
        <v>6.3</v>
      </c>
    </row>
    <row r="2550" spans="1:9" x14ac:dyDescent="0.35">
      <c r="A2550" s="2" t="s">
        <v>269</v>
      </c>
      <c r="B2550" s="3">
        <v>45413</v>
      </c>
      <c r="C2550" s="2">
        <v>22</v>
      </c>
      <c r="D2550" s="2">
        <v>34389</v>
      </c>
      <c r="E2550" s="17">
        <v>77511.990000000005</v>
      </c>
      <c r="F2550" s="11">
        <v>6.54</v>
      </c>
      <c r="G2550" s="9">
        <v>5270</v>
      </c>
      <c r="H2550" s="10">
        <v>0.40899999999999997</v>
      </c>
      <c r="I2550" s="11">
        <v>7</v>
      </c>
    </row>
    <row r="2551" spans="1:9" x14ac:dyDescent="0.35">
      <c r="A2551" s="2" t="s">
        <v>269</v>
      </c>
      <c r="B2551" s="3">
        <v>45444</v>
      </c>
      <c r="C2551" s="2">
        <v>23</v>
      </c>
      <c r="D2551" s="2">
        <v>32346</v>
      </c>
      <c r="E2551" s="17">
        <v>69618.84</v>
      </c>
      <c r="F2551" s="11">
        <v>6.51</v>
      </c>
      <c r="G2551" s="9">
        <v>4991.2</v>
      </c>
      <c r="H2551" s="10">
        <v>0.30399999999999999</v>
      </c>
      <c r="I2551" s="11">
        <v>7.3</v>
      </c>
    </row>
    <row r="2552" spans="1:9" x14ac:dyDescent="0.35">
      <c r="A2552" s="2" t="s">
        <v>269</v>
      </c>
      <c r="B2552" s="3">
        <v>45474</v>
      </c>
      <c r="C2552" s="2">
        <v>15</v>
      </c>
      <c r="D2552" s="2">
        <v>24803</v>
      </c>
      <c r="E2552" s="17">
        <v>54086.12</v>
      </c>
      <c r="F2552" s="11">
        <v>6.64</v>
      </c>
      <c r="G2552" s="9">
        <v>3731.6</v>
      </c>
      <c r="H2552" s="10">
        <v>0.46700000000000003</v>
      </c>
      <c r="I2552" s="11">
        <v>6.2</v>
      </c>
    </row>
    <row r="2553" spans="1:9" x14ac:dyDescent="0.35">
      <c r="A2553" s="2" t="s">
        <v>269</v>
      </c>
      <c r="B2553" s="3">
        <v>45505</v>
      </c>
      <c r="C2553" s="2">
        <v>25</v>
      </c>
      <c r="D2553" s="2">
        <v>29405</v>
      </c>
      <c r="E2553" s="17">
        <v>66655.149999999994</v>
      </c>
      <c r="F2553" s="11">
        <v>6.53</v>
      </c>
      <c r="G2553" s="9">
        <v>4594.7</v>
      </c>
      <c r="H2553" s="10">
        <v>0.36</v>
      </c>
      <c r="I2553" s="11">
        <v>7.2</v>
      </c>
    </row>
    <row r="2554" spans="1:9" x14ac:dyDescent="0.35">
      <c r="A2554" s="2" t="s">
        <v>269</v>
      </c>
      <c r="B2554" s="3">
        <v>45536</v>
      </c>
      <c r="C2554" s="2">
        <v>19</v>
      </c>
      <c r="D2554" s="2">
        <v>31929</v>
      </c>
      <c r="E2554" s="17">
        <v>65698.83</v>
      </c>
      <c r="F2554" s="11">
        <v>6.68</v>
      </c>
      <c r="G2554" s="9">
        <v>4756.1000000000004</v>
      </c>
      <c r="H2554" s="10">
        <v>0.21099999999999999</v>
      </c>
      <c r="I2554" s="11">
        <v>6.7</v>
      </c>
    </row>
    <row r="2555" spans="1:9" x14ac:dyDescent="0.35">
      <c r="A2555" s="2" t="s">
        <v>269</v>
      </c>
      <c r="B2555" s="3">
        <v>45566</v>
      </c>
      <c r="C2555" s="2">
        <v>29</v>
      </c>
      <c r="D2555" s="2">
        <v>42586</v>
      </c>
      <c r="E2555" s="17">
        <v>93723.87</v>
      </c>
      <c r="F2555" s="11">
        <v>6.65</v>
      </c>
      <c r="G2555" s="9">
        <v>6505</v>
      </c>
      <c r="H2555" s="10">
        <v>0.379</v>
      </c>
      <c r="I2555" s="11">
        <v>5.9</v>
      </c>
    </row>
    <row r="2556" spans="1:9" x14ac:dyDescent="0.35">
      <c r="A2556" s="2" t="s">
        <v>269</v>
      </c>
      <c r="B2556" s="3">
        <v>45597</v>
      </c>
      <c r="C2556" s="2">
        <v>16</v>
      </c>
      <c r="D2556" s="2">
        <v>21154</v>
      </c>
      <c r="E2556" s="17">
        <v>49030.33</v>
      </c>
      <c r="F2556" s="11">
        <v>6.3</v>
      </c>
      <c r="G2556" s="9">
        <v>3380.5</v>
      </c>
      <c r="H2556" s="10">
        <v>0.375</v>
      </c>
      <c r="I2556" s="11">
        <v>6.3</v>
      </c>
    </row>
    <row r="2557" spans="1:9" x14ac:dyDescent="0.35">
      <c r="A2557" s="2" t="s">
        <v>269</v>
      </c>
      <c r="B2557" s="3">
        <v>45627</v>
      </c>
      <c r="C2557" s="2">
        <v>18</v>
      </c>
      <c r="D2557" s="2">
        <v>29347</v>
      </c>
      <c r="E2557" s="17">
        <v>68648.3</v>
      </c>
      <c r="F2557" s="11">
        <v>6.6</v>
      </c>
      <c r="G2557" s="9">
        <v>4474.7</v>
      </c>
      <c r="H2557" s="10">
        <v>0.33300000000000002</v>
      </c>
      <c r="I2557" s="11">
        <v>6.3</v>
      </c>
    </row>
    <row r="2558" spans="1:9" x14ac:dyDescent="0.35">
      <c r="A2558" s="2" t="s">
        <v>271</v>
      </c>
      <c r="B2558" s="3">
        <v>44562</v>
      </c>
      <c r="C2558" s="2">
        <v>19</v>
      </c>
      <c r="D2558" s="2">
        <v>27344</v>
      </c>
      <c r="E2558" s="17">
        <v>59911.99</v>
      </c>
      <c r="F2558" s="11">
        <v>6.57</v>
      </c>
      <c r="G2558" s="9">
        <v>4131.1000000000004</v>
      </c>
      <c r="H2558" s="10">
        <v>0.63200000000000001</v>
      </c>
      <c r="I2558" s="11">
        <v>6.8</v>
      </c>
    </row>
    <row r="2559" spans="1:9" x14ac:dyDescent="0.35">
      <c r="A2559" s="2" t="s">
        <v>271</v>
      </c>
      <c r="B2559" s="3">
        <v>44593</v>
      </c>
      <c r="C2559" s="2">
        <v>22</v>
      </c>
      <c r="D2559" s="2">
        <v>32936</v>
      </c>
      <c r="E2559" s="17">
        <v>66322.48</v>
      </c>
      <c r="F2559" s="11">
        <v>6.22</v>
      </c>
      <c r="G2559" s="9">
        <v>5307.8</v>
      </c>
      <c r="H2559" s="10">
        <v>0.59099999999999997</v>
      </c>
      <c r="I2559" s="11">
        <v>6.4</v>
      </c>
    </row>
    <row r="2560" spans="1:9" x14ac:dyDescent="0.35">
      <c r="A2560" s="2" t="s">
        <v>271</v>
      </c>
      <c r="B2560" s="3">
        <v>44621</v>
      </c>
      <c r="C2560" s="2">
        <v>16</v>
      </c>
      <c r="D2560" s="2">
        <v>28960</v>
      </c>
      <c r="E2560" s="17">
        <v>65621.570000000007</v>
      </c>
      <c r="F2560" s="11">
        <v>6.75</v>
      </c>
      <c r="G2560" s="9">
        <v>4216.8999999999996</v>
      </c>
      <c r="H2560" s="10">
        <v>0.5</v>
      </c>
      <c r="I2560" s="11">
        <v>6.5</v>
      </c>
    </row>
    <row r="2561" spans="1:9" x14ac:dyDescent="0.35">
      <c r="A2561" s="2" t="s">
        <v>271</v>
      </c>
      <c r="B2561" s="3">
        <v>44652</v>
      </c>
      <c r="C2561" s="2">
        <v>12</v>
      </c>
      <c r="D2561" s="2">
        <v>12605</v>
      </c>
      <c r="E2561" s="17">
        <v>27808.240000000002</v>
      </c>
      <c r="F2561" s="11">
        <v>6.66</v>
      </c>
      <c r="G2561" s="9">
        <v>1923.5</v>
      </c>
      <c r="H2561" s="10">
        <v>0.33300000000000002</v>
      </c>
      <c r="I2561" s="11">
        <v>8.4</v>
      </c>
    </row>
    <row r="2562" spans="1:9" x14ac:dyDescent="0.35">
      <c r="A2562" s="2" t="s">
        <v>271</v>
      </c>
      <c r="B2562" s="3">
        <v>44682</v>
      </c>
      <c r="C2562" s="2">
        <v>27</v>
      </c>
      <c r="D2562" s="2">
        <v>40268</v>
      </c>
      <c r="E2562" s="17">
        <v>89625.15</v>
      </c>
      <c r="F2562" s="11">
        <v>6.58</v>
      </c>
      <c r="G2562" s="9">
        <v>6185.9</v>
      </c>
      <c r="H2562" s="10">
        <v>0.51900000000000002</v>
      </c>
      <c r="I2562" s="11">
        <v>6.1</v>
      </c>
    </row>
    <row r="2563" spans="1:9" x14ac:dyDescent="0.35">
      <c r="A2563" s="2" t="s">
        <v>271</v>
      </c>
      <c r="B2563" s="3">
        <v>44713</v>
      </c>
      <c r="C2563" s="2">
        <v>10</v>
      </c>
      <c r="D2563" s="2">
        <v>15366</v>
      </c>
      <c r="E2563" s="17">
        <v>32398.18</v>
      </c>
      <c r="F2563" s="11">
        <v>6.34</v>
      </c>
      <c r="G2563" s="9">
        <v>2444.1999999999998</v>
      </c>
      <c r="H2563" s="10">
        <v>0.3</v>
      </c>
      <c r="I2563" s="11">
        <v>6.3</v>
      </c>
    </row>
    <row r="2564" spans="1:9" x14ac:dyDescent="0.35">
      <c r="A2564" s="2" t="s">
        <v>271</v>
      </c>
      <c r="B2564" s="3">
        <v>44743</v>
      </c>
      <c r="C2564" s="2">
        <v>11</v>
      </c>
      <c r="D2564" s="2">
        <v>13507</v>
      </c>
      <c r="E2564" s="17">
        <v>29648.51</v>
      </c>
      <c r="F2564" s="11">
        <v>6.37</v>
      </c>
      <c r="G2564" s="9">
        <v>2134.6</v>
      </c>
      <c r="H2564" s="10">
        <v>0.54500000000000004</v>
      </c>
      <c r="I2564" s="11">
        <v>5.9</v>
      </c>
    </row>
    <row r="2565" spans="1:9" x14ac:dyDescent="0.35">
      <c r="A2565" s="2" t="s">
        <v>271</v>
      </c>
      <c r="B2565" s="3">
        <v>44774</v>
      </c>
      <c r="C2565" s="2">
        <v>13</v>
      </c>
      <c r="D2565" s="2">
        <v>15607</v>
      </c>
      <c r="E2565" s="17">
        <v>29407.78</v>
      </c>
      <c r="F2565" s="11">
        <v>6.45</v>
      </c>
      <c r="G2565" s="9">
        <v>2416.6999999999998</v>
      </c>
      <c r="H2565" s="10">
        <v>0.53800000000000003</v>
      </c>
      <c r="I2565" s="11">
        <v>7.5</v>
      </c>
    </row>
    <row r="2566" spans="1:9" x14ac:dyDescent="0.35">
      <c r="A2566" s="2" t="s">
        <v>271</v>
      </c>
      <c r="B2566" s="3">
        <v>44805</v>
      </c>
      <c r="C2566" s="2">
        <v>19</v>
      </c>
      <c r="D2566" s="2">
        <v>28685</v>
      </c>
      <c r="E2566" s="17">
        <v>56287.61</v>
      </c>
      <c r="F2566" s="11">
        <v>6.36</v>
      </c>
      <c r="G2566" s="9">
        <v>4533.3</v>
      </c>
      <c r="H2566" s="10">
        <v>0.36799999999999999</v>
      </c>
      <c r="I2566" s="11">
        <v>5.5</v>
      </c>
    </row>
    <row r="2567" spans="1:9" x14ac:dyDescent="0.35">
      <c r="A2567" s="2" t="s">
        <v>271</v>
      </c>
      <c r="B2567" s="3">
        <v>44835</v>
      </c>
      <c r="C2567" s="2">
        <v>15</v>
      </c>
      <c r="D2567" s="2">
        <v>17347</v>
      </c>
      <c r="E2567" s="17">
        <v>36104.01</v>
      </c>
      <c r="F2567" s="11">
        <v>6.48</v>
      </c>
      <c r="G2567" s="9">
        <v>2727.3</v>
      </c>
      <c r="H2567" s="10">
        <v>0.33300000000000002</v>
      </c>
      <c r="I2567" s="11">
        <v>7</v>
      </c>
    </row>
    <row r="2568" spans="1:9" x14ac:dyDescent="0.35">
      <c r="A2568" s="2" t="s">
        <v>271</v>
      </c>
      <c r="B2568" s="3">
        <v>44866</v>
      </c>
      <c r="C2568" s="2">
        <v>15</v>
      </c>
      <c r="D2568" s="2">
        <v>21763</v>
      </c>
      <c r="E2568" s="17">
        <v>40879.64</v>
      </c>
      <c r="F2568" s="11">
        <v>6.39</v>
      </c>
      <c r="G2568" s="9">
        <v>3431.9</v>
      </c>
      <c r="H2568" s="10">
        <v>0.46700000000000003</v>
      </c>
      <c r="I2568" s="11">
        <v>6.4</v>
      </c>
    </row>
    <row r="2569" spans="1:9" x14ac:dyDescent="0.35">
      <c r="A2569" s="2" t="s">
        <v>271</v>
      </c>
      <c r="B2569" s="3">
        <v>44896</v>
      </c>
      <c r="C2569" s="2">
        <v>21</v>
      </c>
      <c r="D2569" s="2">
        <v>29971</v>
      </c>
      <c r="E2569" s="17">
        <v>65072.84</v>
      </c>
      <c r="F2569" s="11">
        <v>6.67</v>
      </c>
      <c r="G2569" s="9">
        <v>4486.3999999999996</v>
      </c>
      <c r="H2569" s="10">
        <v>0.28599999999999998</v>
      </c>
      <c r="I2569" s="11">
        <v>6.9</v>
      </c>
    </row>
    <row r="2570" spans="1:9" x14ac:dyDescent="0.35">
      <c r="A2570" s="2" t="s">
        <v>271</v>
      </c>
      <c r="B2570" s="3">
        <v>44927</v>
      </c>
      <c r="C2570" s="2">
        <v>20</v>
      </c>
      <c r="D2570" s="2">
        <v>25258</v>
      </c>
      <c r="E2570" s="17">
        <v>56999.51</v>
      </c>
      <c r="F2570" s="11">
        <v>6.47</v>
      </c>
      <c r="G2570" s="9">
        <v>3904.1</v>
      </c>
      <c r="H2570" s="10">
        <v>0.55000000000000004</v>
      </c>
      <c r="I2570" s="11">
        <v>7.2</v>
      </c>
    </row>
    <row r="2571" spans="1:9" x14ac:dyDescent="0.35">
      <c r="A2571" s="2" t="s">
        <v>271</v>
      </c>
      <c r="B2571" s="3">
        <v>44958</v>
      </c>
      <c r="C2571" s="2">
        <v>11</v>
      </c>
      <c r="D2571" s="2">
        <v>12302</v>
      </c>
      <c r="E2571" s="17">
        <v>28291.79</v>
      </c>
      <c r="F2571" s="11">
        <v>6.56</v>
      </c>
      <c r="G2571" s="9">
        <v>1895.9</v>
      </c>
      <c r="H2571" s="10">
        <v>0.45500000000000002</v>
      </c>
      <c r="I2571" s="11">
        <v>7.4</v>
      </c>
    </row>
    <row r="2572" spans="1:9" x14ac:dyDescent="0.35">
      <c r="A2572" s="2" t="s">
        <v>271</v>
      </c>
      <c r="B2572" s="3">
        <v>44986</v>
      </c>
      <c r="C2572" s="2">
        <v>15</v>
      </c>
      <c r="D2572" s="2">
        <v>24871</v>
      </c>
      <c r="E2572" s="17">
        <v>57409.64</v>
      </c>
      <c r="F2572" s="11">
        <v>6.45</v>
      </c>
      <c r="G2572" s="9">
        <v>3948.5</v>
      </c>
      <c r="H2572" s="10">
        <v>0.53300000000000003</v>
      </c>
      <c r="I2572" s="11">
        <v>7.8</v>
      </c>
    </row>
    <row r="2573" spans="1:9" x14ac:dyDescent="0.35">
      <c r="A2573" s="2" t="s">
        <v>271</v>
      </c>
      <c r="B2573" s="3">
        <v>45017</v>
      </c>
      <c r="C2573" s="2">
        <v>10</v>
      </c>
      <c r="D2573" s="2">
        <v>12955</v>
      </c>
      <c r="E2573" s="17">
        <v>30089.84</v>
      </c>
      <c r="F2573" s="11">
        <v>6.49</v>
      </c>
      <c r="G2573" s="9">
        <v>1974.3</v>
      </c>
      <c r="H2573" s="10">
        <v>0.4</v>
      </c>
      <c r="I2573" s="11">
        <v>7.8</v>
      </c>
    </row>
    <row r="2574" spans="1:9" x14ac:dyDescent="0.35">
      <c r="A2574" s="2" t="s">
        <v>271</v>
      </c>
      <c r="B2574" s="3">
        <v>45047</v>
      </c>
      <c r="C2574" s="2">
        <v>16</v>
      </c>
      <c r="D2574" s="2">
        <v>22625</v>
      </c>
      <c r="E2574" s="17">
        <v>52692.17</v>
      </c>
      <c r="F2574" s="11">
        <v>6.52</v>
      </c>
      <c r="G2574" s="9">
        <v>3390.9</v>
      </c>
      <c r="H2574" s="10">
        <v>0.375</v>
      </c>
      <c r="I2574" s="11">
        <v>8.1</v>
      </c>
    </row>
    <row r="2575" spans="1:9" x14ac:dyDescent="0.35">
      <c r="A2575" s="2" t="s">
        <v>271</v>
      </c>
      <c r="B2575" s="3">
        <v>45078</v>
      </c>
      <c r="C2575" s="2">
        <v>15</v>
      </c>
      <c r="D2575" s="2">
        <v>19435</v>
      </c>
      <c r="E2575" s="17">
        <v>40290.86</v>
      </c>
      <c r="F2575" s="11">
        <v>6.64</v>
      </c>
      <c r="G2575" s="9">
        <v>2936.2</v>
      </c>
      <c r="H2575" s="10">
        <v>0.4</v>
      </c>
      <c r="I2575" s="11">
        <v>7.3</v>
      </c>
    </row>
    <row r="2576" spans="1:9" x14ac:dyDescent="0.35">
      <c r="A2576" s="2" t="s">
        <v>271</v>
      </c>
      <c r="B2576" s="3">
        <v>45108</v>
      </c>
      <c r="C2576" s="2">
        <v>27</v>
      </c>
      <c r="D2576" s="2">
        <v>42818</v>
      </c>
      <c r="E2576" s="17">
        <v>100557.78</v>
      </c>
      <c r="F2576" s="11">
        <v>6.38</v>
      </c>
      <c r="G2576" s="9">
        <v>6769.7</v>
      </c>
      <c r="H2576" s="10">
        <v>0.48099999999999998</v>
      </c>
      <c r="I2576" s="11">
        <v>6.7</v>
      </c>
    </row>
    <row r="2577" spans="1:9" x14ac:dyDescent="0.35">
      <c r="A2577" s="2" t="s">
        <v>271</v>
      </c>
      <c r="B2577" s="3">
        <v>45139</v>
      </c>
      <c r="C2577" s="2">
        <v>23</v>
      </c>
      <c r="D2577" s="2">
        <v>42969</v>
      </c>
      <c r="E2577" s="17">
        <v>93286.81</v>
      </c>
      <c r="F2577" s="11">
        <v>6.43</v>
      </c>
      <c r="G2577" s="9">
        <v>6721.8</v>
      </c>
      <c r="H2577" s="10">
        <v>0.56499999999999995</v>
      </c>
      <c r="I2577" s="11">
        <v>6.6</v>
      </c>
    </row>
    <row r="2578" spans="1:9" x14ac:dyDescent="0.35">
      <c r="A2578" s="2" t="s">
        <v>271</v>
      </c>
      <c r="B2578" s="3">
        <v>45170</v>
      </c>
      <c r="C2578" s="2">
        <v>15</v>
      </c>
      <c r="D2578" s="2">
        <v>20970</v>
      </c>
      <c r="E2578" s="17">
        <v>46103.87</v>
      </c>
      <c r="F2578" s="11">
        <v>6.66</v>
      </c>
      <c r="G2578" s="9">
        <v>3260.5</v>
      </c>
      <c r="H2578" s="10">
        <v>0.46700000000000003</v>
      </c>
      <c r="I2578" s="11">
        <v>6.2</v>
      </c>
    </row>
    <row r="2579" spans="1:9" x14ac:dyDescent="0.35">
      <c r="A2579" s="2" t="s">
        <v>271</v>
      </c>
      <c r="B2579" s="3">
        <v>45200</v>
      </c>
      <c r="C2579" s="2">
        <v>18</v>
      </c>
      <c r="D2579" s="2">
        <v>20723</v>
      </c>
      <c r="E2579" s="17">
        <v>49756.87</v>
      </c>
      <c r="F2579" s="11">
        <v>6.61</v>
      </c>
      <c r="G2579" s="9">
        <v>3105.8</v>
      </c>
      <c r="H2579" s="10">
        <v>0.33300000000000002</v>
      </c>
      <c r="I2579" s="11">
        <v>8</v>
      </c>
    </row>
    <row r="2580" spans="1:9" x14ac:dyDescent="0.35">
      <c r="A2580" s="2" t="s">
        <v>271</v>
      </c>
      <c r="B2580" s="3">
        <v>45231</v>
      </c>
      <c r="C2580" s="2">
        <v>19</v>
      </c>
      <c r="D2580" s="2">
        <v>30263</v>
      </c>
      <c r="E2580" s="17">
        <v>67425.440000000002</v>
      </c>
      <c r="F2580" s="11">
        <v>6.23</v>
      </c>
      <c r="G2580" s="9">
        <v>4888.3</v>
      </c>
      <c r="H2580" s="10">
        <v>0.57899999999999996</v>
      </c>
      <c r="I2580" s="11">
        <v>6.6</v>
      </c>
    </row>
    <row r="2581" spans="1:9" x14ac:dyDescent="0.35">
      <c r="A2581" s="2" t="s">
        <v>271</v>
      </c>
      <c r="B2581" s="3">
        <v>45261</v>
      </c>
      <c r="C2581" s="2">
        <v>29</v>
      </c>
      <c r="D2581" s="2">
        <v>37530</v>
      </c>
      <c r="E2581" s="17">
        <v>76300.929999999993</v>
      </c>
      <c r="F2581" s="11">
        <v>6.43</v>
      </c>
      <c r="G2581" s="9">
        <v>5841.5</v>
      </c>
      <c r="H2581" s="10">
        <v>0.41399999999999998</v>
      </c>
      <c r="I2581" s="11">
        <v>7.8</v>
      </c>
    </row>
    <row r="2582" spans="1:9" x14ac:dyDescent="0.35">
      <c r="A2582" s="2" t="s">
        <v>271</v>
      </c>
      <c r="B2582" s="3">
        <v>45292</v>
      </c>
      <c r="C2582" s="2">
        <v>26</v>
      </c>
      <c r="D2582" s="2">
        <v>36899</v>
      </c>
      <c r="E2582" s="17">
        <v>83385.929999999993</v>
      </c>
      <c r="F2582" s="11">
        <v>6.3</v>
      </c>
      <c r="G2582" s="9">
        <v>5940</v>
      </c>
      <c r="H2582" s="10">
        <v>0.34599999999999997</v>
      </c>
      <c r="I2582" s="11">
        <v>6.4</v>
      </c>
    </row>
    <row r="2583" spans="1:9" x14ac:dyDescent="0.35">
      <c r="A2583" s="2" t="s">
        <v>271</v>
      </c>
      <c r="B2583" s="3">
        <v>45323</v>
      </c>
      <c r="C2583" s="2">
        <v>18</v>
      </c>
      <c r="D2583" s="2">
        <v>26304</v>
      </c>
      <c r="E2583" s="17">
        <v>56599.85</v>
      </c>
      <c r="F2583" s="11">
        <v>6.64</v>
      </c>
      <c r="G2583" s="9">
        <v>3995.1</v>
      </c>
      <c r="H2583" s="10">
        <v>0.72199999999999998</v>
      </c>
      <c r="I2583" s="11">
        <v>7.8</v>
      </c>
    </row>
    <row r="2584" spans="1:9" x14ac:dyDescent="0.35">
      <c r="A2584" s="2" t="s">
        <v>271</v>
      </c>
      <c r="B2584" s="3">
        <v>45352</v>
      </c>
      <c r="C2584" s="2">
        <v>27</v>
      </c>
      <c r="D2584" s="2">
        <v>33385</v>
      </c>
      <c r="E2584" s="17">
        <v>77888.56</v>
      </c>
      <c r="F2584" s="11">
        <v>6.64</v>
      </c>
      <c r="G2584" s="9">
        <v>5093.5</v>
      </c>
      <c r="H2584" s="10">
        <v>0.51900000000000002</v>
      </c>
      <c r="I2584" s="11">
        <v>6.5</v>
      </c>
    </row>
    <row r="2585" spans="1:9" x14ac:dyDescent="0.35">
      <c r="A2585" s="2" t="s">
        <v>271</v>
      </c>
      <c r="B2585" s="3">
        <v>45383</v>
      </c>
      <c r="C2585" s="2">
        <v>17</v>
      </c>
      <c r="D2585" s="2">
        <v>18997</v>
      </c>
      <c r="E2585" s="17">
        <v>42994.02</v>
      </c>
      <c r="F2585" s="11">
        <v>6.4</v>
      </c>
      <c r="G2585" s="9">
        <v>2951.4</v>
      </c>
      <c r="H2585" s="10">
        <v>0.47099999999999997</v>
      </c>
      <c r="I2585" s="11">
        <v>7.2</v>
      </c>
    </row>
    <row r="2586" spans="1:9" x14ac:dyDescent="0.35">
      <c r="A2586" s="2" t="s">
        <v>271</v>
      </c>
      <c r="B2586" s="3">
        <v>45413</v>
      </c>
      <c r="C2586" s="2">
        <v>20</v>
      </c>
      <c r="D2586" s="2">
        <v>26223</v>
      </c>
      <c r="E2586" s="17">
        <v>55125.279999999999</v>
      </c>
      <c r="F2586" s="11">
        <v>6.62</v>
      </c>
      <c r="G2586" s="9">
        <v>3964.2</v>
      </c>
      <c r="H2586" s="10">
        <v>0.35</v>
      </c>
      <c r="I2586" s="11">
        <v>6.1</v>
      </c>
    </row>
    <row r="2587" spans="1:9" x14ac:dyDescent="0.35">
      <c r="A2587" s="2" t="s">
        <v>271</v>
      </c>
      <c r="B2587" s="3">
        <v>45444</v>
      </c>
      <c r="C2587" s="2">
        <v>22</v>
      </c>
      <c r="D2587" s="2">
        <v>30942</v>
      </c>
      <c r="E2587" s="17">
        <v>62508.58</v>
      </c>
      <c r="F2587" s="11">
        <v>6.21</v>
      </c>
      <c r="G2587" s="9">
        <v>5052.3999999999996</v>
      </c>
      <c r="H2587" s="10">
        <v>0.54500000000000004</v>
      </c>
      <c r="I2587" s="11">
        <v>6.6</v>
      </c>
    </row>
    <row r="2588" spans="1:9" x14ac:dyDescent="0.35">
      <c r="A2588" s="2" t="s">
        <v>271</v>
      </c>
      <c r="B2588" s="3">
        <v>45474</v>
      </c>
      <c r="C2588" s="2">
        <v>19</v>
      </c>
      <c r="D2588" s="2">
        <v>30814</v>
      </c>
      <c r="E2588" s="17">
        <v>62790.1</v>
      </c>
      <c r="F2588" s="11">
        <v>6.44</v>
      </c>
      <c r="G2588" s="9">
        <v>4876.8</v>
      </c>
      <c r="H2588" s="10">
        <v>0.47399999999999998</v>
      </c>
      <c r="I2588" s="11">
        <v>7.3</v>
      </c>
    </row>
    <row r="2589" spans="1:9" x14ac:dyDescent="0.35">
      <c r="A2589" s="2" t="s">
        <v>271</v>
      </c>
      <c r="B2589" s="3">
        <v>45505</v>
      </c>
      <c r="C2589" s="2">
        <v>22</v>
      </c>
      <c r="D2589" s="2">
        <v>24197</v>
      </c>
      <c r="E2589" s="17">
        <v>48850.46</v>
      </c>
      <c r="F2589" s="11">
        <v>6.34</v>
      </c>
      <c r="G2589" s="9">
        <v>3843.5</v>
      </c>
      <c r="H2589" s="10">
        <v>0.5</v>
      </c>
      <c r="I2589" s="11">
        <v>7</v>
      </c>
    </row>
    <row r="2590" spans="1:9" x14ac:dyDescent="0.35">
      <c r="A2590" s="2" t="s">
        <v>271</v>
      </c>
      <c r="B2590" s="3">
        <v>45536</v>
      </c>
      <c r="C2590" s="2">
        <v>18</v>
      </c>
      <c r="D2590" s="2">
        <v>27320</v>
      </c>
      <c r="E2590" s="17">
        <v>60800.24</v>
      </c>
      <c r="F2590" s="11">
        <v>6.55</v>
      </c>
      <c r="G2590" s="9">
        <v>4125.3999999999996</v>
      </c>
      <c r="H2590" s="10">
        <v>0.55600000000000005</v>
      </c>
      <c r="I2590" s="11">
        <v>7.4</v>
      </c>
    </row>
    <row r="2591" spans="1:9" x14ac:dyDescent="0.35">
      <c r="A2591" s="2" t="s">
        <v>271</v>
      </c>
      <c r="B2591" s="3">
        <v>45566</v>
      </c>
      <c r="C2591" s="2">
        <v>25</v>
      </c>
      <c r="D2591" s="2">
        <v>34647</v>
      </c>
      <c r="E2591" s="17">
        <v>69635</v>
      </c>
      <c r="F2591" s="11">
        <v>6.64</v>
      </c>
      <c r="G2591" s="9">
        <v>5238.6000000000004</v>
      </c>
      <c r="H2591" s="10">
        <v>0.4</v>
      </c>
      <c r="I2591" s="11">
        <v>6.3</v>
      </c>
    </row>
    <row r="2592" spans="1:9" x14ac:dyDescent="0.35">
      <c r="A2592" s="2" t="s">
        <v>271</v>
      </c>
      <c r="B2592" s="3">
        <v>45597</v>
      </c>
      <c r="C2592" s="2">
        <v>24</v>
      </c>
      <c r="D2592" s="2">
        <v>30210</v>
      </c>
      <c r="E2592" s="17">
        <v>67291.12</v>
      </c>
      <c r="F2592" s="11">
        <v>6.42</v>
      </c>
      <c r="G2592" s="9">
        <v>4737.3999999999996</v>
      </c>
      <c r="H2592" s="10">
        <v>0.625</v>
      </c>
      <c r="I2592" s="11">
        <v>8.1999999999999993</v>
      </c>
    </row>
    <row r="2593" spans="1:9" x14ac:dyDescent="0.35">
      <c r="A2593" s="2" t="s">
        <v>271</v>
      </c>
      <c r="B2593" s="3">
        <v>45627</v>
      </c>
      <c r="C2593" s="2">
        <v>21</v>
      </c>
      <c r="D2593" s="2">
        <v>36665</v>
      </c>
      <c r="E2593" s="17">
        <v>79205.17</v>
      </c>
      <c r="F2593" s="11">
        <v>6.43</v>
      </c>
      <c r="G2593" s="9">
        <v>5756.4</v>
      </c>
      <c r="H2593" s="10">
        <v>0.38100000000000001</v>
      </c>
      <c r="I2593" s="11">
        <v>6.6</v>
      </c>
    </row>
    <row r="2594" spans="1:9" x14ac:dyDescent="0.35">
      <c r="A2594" s="2" t="s">
        <v>274</v>
      </c>
      <c r="B2594" s="3">
        <v>44562</v>
      </c>
      <c r="C2594" s="2">
        <v>18</v>
      </c>
      <c r="D2594" s="2">
        <v>25125</v>
      </c>
      <c r="E2594" s="17">
        <v>54974.9</v>
      </c>
      <c r="F2594" s="11">
        <v>6.34</v>
      </c>
      <c r="G2594" s="9">
        <v>3944</v>
      </c>
      <c r="H2594" s="10">
        <v>0.55600000000000005</v>
      </c>
      <c r="I2594" s="11">
        <v>6.2</v>
      </c>
    </row>
    <row r="2595" spans="1:9" x14ac:dyDescent="0.35">
      <c r="A2595" s="2" t="s">
        <v>274</v>
      </c>
      <c r="B2595" s="3">
        <v>44593</v>
      </c>
      <c r="C2595" s="2">
        <v>13</v>
      </c>
      <c r="D2595" s="2">
        <v>17774</v>
      </c>
      <c r="E2595" s="17">
        <v>39021.49</v>
      </c>
      <c r="F2595" s="11">
        <v>6.45</v>
      </c>
      <c r="G2595" s="9">
        <v>2711.2</v>
      </c>
      <c r="H2595" s="10">
        <v>0.53800000000000003</v>
      </c>
      <c r="I2595" s="11">
        <v>8.1</v>
      </c>
    </row>
    <row r="2596" spans="1:9" x14ac:dyDescent="0.35">
      <c r="A2596" s="2" t="s">
        <v>274</v>
      </c>
      <c r="B2596" s="3">
        <v>44621</v>
      </c>
      <c r="C2596" s="2">
        <v>19</v>
      </c>
      <c r="D2596" s="2">
        <v>24848</v>
      </c>
      <c r="E2596" s="17">
        <v>54381.22</v>
      </c>
      <c r="F2596" s="11">
        <v>6.73</v>
      </c>
      <c r="G2596" s="9">
        <v>3761.1</v>
      </c>
      <c r="H2596" s="10">
        <v>0.52600000000000002</v>
      </c>
      <c r="I2596" s="11">
        <v>6.2</v>
      </c>
    </row>
    <row r="2597" spans="1:9" x14ac:dyDescent="0.35">
      <c r="A2597" s="2" t="s">
        <v>274</v>
      </c>
      <c r="B2597" s="3">
        <v>44652</v>
      </c>
      <c r="C2597" s="2">
        <v>20</v>
      </c>
      <c r="D2597" s="2">
        <v>32672</v>
      </c>
      <c r="E2597" s="17">
        <v>66047</v>
      </c>
      <c r="F2597" s="11">
        <v>6.38</v>
      </c>
      <c r="G2597" s="9">
        <v>5136.3</v>
      </c>
      <c r="H2597" s="10">
        <v>0.5</v>
      </c>
      <c r="I2597" s="11">
        <v>7.7</v>
      </c>
    </row>
    <row r="2598" spans="1:9" x14ac:dyDescent="0.35">
      <c r="A2598" s="2" t="s">
        <v>274</v>
      </c>
      <c r="B2598" s="3">
        <v>44682</v>
      </c>
      <c r="C2598" s="2">
        <v>19</v>
      </c>
      <c r="D2598" s="2">
        <v>25768</v>
      </c>
      <c r="E2598" s="17">
        <v>60328.42</v>
      </c>
      <c r="F2598" s="11">
        <v>6.68</v>
      </c>
      <c r="G2598" s="9">
        <v>3938.6</v>
      </c>
      <c r="H2598" s="10">
        <v>0.21099999999999999</v>
      </c>
      <c r="I2598" s="11">
        <v>7.8</v>
      </c>
    </row>
    <row r="2599" spans="1:9" x14ac:dyDescent="0.35">
      <c r="A2599" s="2" t="s">
        <v>274</v>
      </c>
      <c r="B2599" s="3">
        <v>44713</v>
      </c>
      <c r="C2599" s="2">
        <v>15</v>
      </c>
      <c r="D2599" s="2">
        <v>19229</v>
      </c>
      <c r="E2599" s="17">
        <v>36882.75</v>
      </c>
      <c r="F2599" s="11">
        <v>6.43</v>
      </c>
      <c r="G2599" s="9">
        <v>3004.9</v>
      </c>
      <c r="H2599" s="10">
        <v>0.73299999999999998</v>
      </c>
      <c r="I2599" s="11">
        <v>6.9</v>
      </c>
    </row>
    <row r="2600" spans="1:9" x14ac:dyDescent="0.35">
      <c r="A2600" s="2" t="s">
        <v>274</v>
      </c>
      <c r="B2600" s="3">
        <v>44743</v>
      </c>
      <c r="C2600" s="2">
        <v>20</v>
      </c>
      <c r="D2600" s="2">
        <v>26002</v>
      </c>
      <c r="E2600" s="17">
        <v>50424.36</v>
      </c>
      <c r="F2600" s="11">
        <v>6.55</v>
      </c>
      <c r="G2600" s="9">
        <v>3955.1</v>
      </c>
      <c r="H2600" s="10">
        <v>0.5</v>
      </c>
      <c r="I2600" s="11">
        <v>7.6</v>
      </c>
    </row>
    <row r="2601" spans="1:9" x14ac:dyDescent="0.35">
      <c r="A2601" s="2" t="s">
        <v>274</v>
      </c>
      <c r="B2601" s="3">
        <v>44774</v>
      </c>
      <c r="C2601" s="2">
        <v>26</v>
      </c>
      <c r="D2601" s="2">
        <v>32705</v>
      </c>
      <c r="E2601" s="17">
        <v>68935.41</v>
      </c>
      <c r="F2601" s="11">
        <v>6.63</v>
      </c>
      <c r="G2601" s="9">
        <v>5052.1000000000004</v>
      </c>
      <c r="H2601" s="10">
        <v>0.34599999999999997</v>
      </c>
      <c r="I2601" s="11">
        <v>6.9</v>
      </c>
    </row>
    <row r="2602" spans="1:9" x14ac:dyDescent="0.35">
      <c r="A2602" s="2" t="s">
        <v>274</v>
      </c>
      <c r="B2602" s="3">
        <v>44805</v>
      </c>
      <c r="C2602" s="2">
        <v>16</v>
      </c>
      <c r="D2602" s="2">
        <v>22821</v>
      </c>
      <c r="E2602" s="17">
        <v>52209.36</v>
      </c>
      <c r="F2602" s="11">
        <v>6.27</v>
      </c>
      <c r="G2602" s="9">
        <v>3676.6</v>
      </c>
      <c r="H2602" s="10">
        <v>0.375</v>
      </c>
      <c r="I2602" s="11">
        <v>6.8</v>
      </c>
    </row>
    <row r="2603" spans="1:9" x14ac:dyDescent="0.35">
      <c r="A2603" s="2" t="s">
        <v>274</v>
      </c>
      <c r="B2603" s="3">
        <v>44835</v>
      </c>
      <c r="C2603" s="2">
        <v>15</v>
      </c>
      <c r="D2603" s="2">
        <v>20803</v>
      </c>
      <c r="E2603" s="17">
        <v>43368.4</v>
      </c>
      <c r="F2603" s="11">
        <v>6.58</v>
      </c>
      <c r="G2603" s="9">
        <v>3148.2</v>
      </c>
      <c r="H2603" s="10">
        <v>0.4</v>
      </c>
      <c r="I2603" s="11">
        <v>6.5</v>
      </c>
    </row>
    <row r="2604" spans="1:9" x14ac:dyDescent="0.35">
      <c r="A2604" s="2" t="s">
        <v>274</v>
      </c>
      <c r="B2604" s="3">
        <v>44866</v>
      </c>
      <c r="C2604" s="2">
        <v>21</v>
      </c>
      <c r="D2604" s="2">
        <v>32957</v>
      </c>
      <c r="E2604" s="17">
        <v>69069.38</v>
      </c>
      <c r="F2604" s="11">
        <v>6.61</v>
      </c>
      <c r="G2604" s="9">
        <v>4985.8</v>
      </c>
      <c r="H2604" s="10">
        <v>0.33300000000000002</v>
      </c>
      <c r="I2604" s="11">
        <v>7.3</v>
      </c>
    </row>
    <row r="2605" spans="1:9" x14ac:dyDescent="0.35">
      <c r="A2605" s="2" t="s">
        <v>274</v>
      </c>
      <c r="B2605" s="3">
        <v>44896</v>
      </c>
      <c r="C2605" s="2">
        <v>15</v>
      </c>
      <c r="D2605" s="2">
        <v>25309</v>
      </c>
      <c r="E2605" s="17">
        <v>56729.65</v>
      </c>
      <c r="F2605" s="11">
        <v>6.48</v>
      </c>
      <c r="G2605" s="9">
        <v>3968.7</v>
      </c>
      <c r="H2605" s="10">
        <v>0.46700000000000003</v>
      </c>
      <c r="I2605" s="11">
        <v>6.8</v>
      </c>
    </row>
    <row r="2606" spans="1:9" x14ac:dyDescent="0.35">
      <c r="A2606" s="2" t="s">
        <v>274</v>
      </c>
      <c r="B2606" s="3">
        <v>44927</v>
      </c>
      <c r="C2606" s="2">
        <v>18</v>
      </c>
      <c r="D2606" s="2">
        <v>21893</v>
      </c>
      <c r="E2606" s="17">
        <v>51333.03</v>
      </c>
      <c r="F2606" s="11">
        <v>6.6</v>
      </c>
      <c r="G2606" s="9">
        <v>3321.2</v>
      </c>
      <c r="H2606" s="10">
        <v>0.44400000000000001</v>
      </c>
      <c r="I2606" s="11">
        <v>7.9</v>
      </c>
    </row>
    <row r="2607" spans="1:9" x14ac:dyDescent="0.35">
      <c r="A2607" s="2" t="s">
        <v>274</v>
      </c>
      <c r="B2607" s="3">
        <v>44958</v>
      </c>
      <c r="C2607" s="2">
        <v>19</v>
      </c>
      <c r="D2607" s="2">
        <v>34039</v>
      </c>
      <c r="E2607" s="17">
        <v>72047.199999999997</v>
      </c>
      <c r="F2607" s="11">
        <v>6.37</v>
      </c>
      <c r="G2607" s="9">
        <v>5362.9</v>
      </c>
      <c r="H2607" s="10">
        <v>0.36799999999999999</v>
      </c>
      <c r="I2607" s="11">
        <v>7.3</v>
      </c>
    </row>
    <row r="2608" spans="1:9" x14ac:dyDescent="0.35">
      <c r="A2608" s="2" t="s">
        <v>274</v>
      </c>
      <c r="B2608" s="3">
        <v>44986</v>
      </c>
      <c r="C2608" s="2">
        <v>16</v>
      </c>
      <c r="D2608" s="2">
        <v>17626</v>
      </c>
      <c r="E2608" s="17">
        <v>37661.22</v>
      </c>
      <c r="F2608" s="11">
        <v>6.71</v>
      </c>
      <c r="G2608" s="9">
        <v>2612.3000000000002</v>
      </c>
      <c r="H2608" s="10">
        <v>0.375</v>
      </c>
      <c r="I2608" s="11">
        <v>7.5</v>
      </c>
    </row>
    <row r="2609" spans="1:9" x14ac:dyDescent="0.35">
      <c r="A2609" s="2" t="s">
        <v>274</v>
      </c>
      <c r="B2609" s="3">
        <v>45017</v>
      </c>
      <c r="C2609" s="2">
        <v>22</v>
      </c>
      <c r="D2609" s="2">
        <v>30655</v>
      </c>
      <c r="E2609" s="17">
        <v>65314.13</v>
      </c>
      <c r="F2609" s="11">
        <v>6.44</v>
      </c>
      <c r="G2609" s="9">
        <v>4781.8</v>
      </c>
      <c r="H2609" s="10">
        <v>0.54500000000000004</v>
      </c>
      <c r="I2609" s="11">
        <v>8.5</v>
      </c>
    </row>
    <row r="2610" spans="1:9" x14ac:dyDescent="0.35">
      <c r="A2610" s="2" t="s">
        <v>274</v>
      </c>
      <c r="B2610" s="3">
        <v>45047</v>
      </c>
      <c r="C2610" s="2">
        <v>16</v>
      </c>
      <c r="D2610" s="2">
        <v>25014</v>
      </c>
      <c r="E2610" s="17">
        <v>52320.82</v>
      </c>
      <c r="F2610" s="11">
        <v>6.88</v>
      </c>
      <c r="G2610" s="9">
        <v>3632.2</v>
      </c>
      <c r="H2610" s="10">
        <v>0.56200000000000006</v>
      </c>
      <c r="I2610" s="11">
        <v>6.7</v>
      </c>
    </row>
    <row r="2611" spans="1:9" x14ac:dyDescent="0.35">
      <c r="A2611" s="2" t="s">
        <v>274</v>
      </c>
      <c r="B2611" s="3">
        <v>45078</v>
      </c>
      <c r="C2611" s="2">
        <v>20</v>
      </c>
      <c r="D2611" s="2">
        <v>26361</v>
      </c>
      <c r="E2611" s="17">
        <v>56952.34</v>
      </c>
      <c r="F2611" s="11">
        <v>6.35</v>
      </c>
      <c r="G2611" s="9">
        <v>4142.3999999999996</v>
      </c>
      <c r="H2611" s="10">
        <v>0.55000000000000004</v>
      </c>
      <c r="I2611" s="11">
        <v>6.8</v>
      </c>
    </row>
    <row r="2612" spans="1:9" x14ac:dyDescent="0.35">
      <c r="A2612" s="2" t="s">
        <v>274</v>
      </c>
      <c r="B2612" s="3">
        <v>45108</v>
      </c>
      <c r="C2612" s="2">
        <v>24</v>
      </c>
      <c r="D2612" s="2">
        <v>28758</v>
      </c>
      <c r="E2612" s="17">
        <v>66564.41</v>
      </c>
      <c r="F2612" s="11">
        <v>6.54</v>
      </c>
      <c r="G2612" s="9">
        <v>4484.8</v>
      </c>
      <c r="H2612" s="10">
        <v>0.41699999999999998</v>
      </c>
      <c r="I2612" s="11">
        <v>6.5</v>
      </c>
    </row>
    <row r="2613" spans="1:9" x14ac:dyDescent="0.35">
      <c r="A2613" s="2" t="s">
        <v>274</v>
      </c>
      <c r="B2613" s="3">
        <v>45139</v>
      </c>
      <c r="C2613" s="2">
        <v>21</v>
      </c>
      <c r="D2613" s="2">
        <v>35139</v>
      </c>
      <c r="E2613" s="17">
        <v>76209.91</v>
      </c>
      <c r="F2613" s="11">
        <v>6.32</v>
      </c>
      <c r="G2613" s="9">
        <v>5592.8</v>
      </c>
      <c r="H2613" s="10">
        <v>0.28599999999999998</v>
      </c>
      <c r="I2613" s="11">
        <v>7.3</v>
      </c>
    </row>
    <row r="2614" spans="1:9" x14ac:dyDescent="0.35">
      <c r="A2614" s="2" t="s">
        <v>274</v>
      </c>
      <c r="B2614" s="3">
        <v>45170</v>
      </c>
      <c r="C2614" s="2">
        <v>18</v>
      </c>
      <c r="D2614" s="2">
        <v>17464</v>
      </c>
      <c r="E2614" s="17">
        <v>39035.46</v>
      </c>
      <c r="F2614" s="11">
        <v>6.43</v>
      </c>
      <c r="G2614" s="9">
        <v>2741.4</v>
      </c>
      <c r="H2614" s="10">
        <v>0.38900000000000001</v>
      </c>
      <c r="I2614" s="11">
        <v>8.1999999999999993</v>
      </c>
    </row>
    <row r="2615" spans="1:9" x14ac:dyDescent="0.35">
      <c r="A2615" s="2" t="s">
        <v>274</v>
      </c>
      <c r="B2615" s="3">
        <v>45200</v>
      </c>
      <c r="C2615" s="2">
        <v>19</v>
      </c>
      <c r="D2615" s="2">
        <v>25651</v>
      </c>
      <c r="E2615" s="17">
        <v>56414.1</v>
      </c>
      <c r="F2615" s="11">
        <v>6.42</v>
      </c>
      <c r="G2615" s="9">
        <v>3998.4</v>
      </c>
      <c r="H2615" s="10">
        <v>0.52600000000000002</v>
      </c>
      <c r="I2615" s="11">
        <v>6.6</v>
      </c>
    </row>
    <row r="2616" spans="1:9" x14ac:dyDescent="0.35">
      <c r="A2616" s="2" t="s">
        <v>274</v>
      </c>
      <c r="B2616" s="3">
        <v>45231</v>
      </c>
      <c r="C2616" s="2">
        <v>11</v>
      </c>
      <c r="D2616" s="2">
        <v>17313</v>
      </c>
      <c r="E2616" s="17">
        <v>37308.339999999997</v>
      </c>
      <c r="F2616" s="11">
        <v>6.51</v>
      </c>
      <c r="G2616" s="9">
        <v>2654.9</v>
      </c>
      <c r="H2616" s="10">
        <v>0.54500000000000004</v>
      </c>
      <c r="I2616" s="11">
        <v>6.7</v>
      </c>
    </row>
    <row r="2617" spans="1:9" x14ac:dyDescent="0.35">
      <c r="A2617" s="2" t="s">
        <v>274</v>
      </c>
      <c r="B2617" s="3">
        <v>45261</v>
      </c>
      <c r="C2617" s="2">
        <v>19</v>
      </c>
      <c r="D2617" s="2">
        <v>31976</v>
      </c>
      <c r="E2617" s="17">
        <v>66801.119999999995</v>
      </c>
      <c r="F2617" s="11">
        <v>6.49</v>
      </c>
      <c r="G2617" s="9">
        <v>4996.3</v>
      </c>
      <c r="H2617" s="10">
        <v>0.57899999999999996</v>
      </c>
      <c r="I2617" s="11">
        <v>7.8</v>
      </c>
    </row>
    <row r="2618" spans="1:9" x14ac:dyDescent="0.35">
      <c r="A2618" s="2" t="s">
        <v>274</v>
      </c>
      <c r="B2618" s="3">
        <v>45292</v>
      </c>
      <c r="C2618" s="2">
        <v>19</v>
      </c>
      <c r="D2618" s="2">
        <v>29765</v>
      </c>
      <c r="E2618" s="17">
        <v>67441.539999999994</v>
      </c>
      <c r="F2618" s="11">
        <v>6.6</v>
      </c>
      <c r="G2618" s="9">
        <v>4566.6000000000004</v>
      </c>
      <c r="H2618" s="10">
        <v>0.47399999999999998</v>
      </c>
      <c r="I2618" s="11">
        <v>8.4</v>
      </c>
    </row>
    <row r="2619" spans="1:9" x14ac:dyDescent="0.35">
      <c r="A2619" s="2" t="s">
        <v>274</v>
      </c>
      <c r="B2619" s="3">
        <v>45323</v>
      </c>
      <c r="C2619" s="2">
        <v>15</v>
      </c>
      <c r="D2619" s="2">
        <v>24477</v>
      </c>
      <c r="E2619" s="17">
        <v>49334.34</v>
      </c>
      <c r="F2619" s="11">
        <v>6.37</v>
      </c>
      <c r="G2619" s="9">
        <v>3845.9</v>
      </c>
      <c r="H2619" s="10">
        <v>0.6</v>
      </c>
      <c r="I2619" s="11">
        <v>6.1</v>
      </c>
    </row>
    <row r="2620" spans="1:9" x14ac:dyDescent="0.35">
      <c r="A2620" s="2" t="s">
        <v>274</v>
      </c>
      <c r="B2620" s="3">
        <v>45352</v>
      </c>
      <c r="C2620" s="2">
        <v>21</v>
      </c>
      <c r="D2620" s="2">
        <v>35242</v>
      </c>
      <c r="E2620" s="17">
        <v>78779.87</v>
      </c>
      <c r="F2620" s="11">
        <v>6.52</v>
      </c>
      <c r="G2620" s="9">
        <v>5488.9</v>
      </c>
      <c r="H2620" s="10">
        <v>0.47599999999999998</v>
      </c>
      <c r="I2620" s="11">
        <v>6.9</v>
      </c>
    </row>
    <row r="2621" spans="1:9" x14ac:dyDescent="0.35">
      <c r="A2621" s="2" t="s">
        <v>274</v>
      </c>
      <c r="B2621" s="3">
        <v>45383</v>
      </c>
      <c r="C2621" s="2">
        <v>14</v>
      </c>
      <c r="D2621" s="2">
        <v>20652</v>
      </c>
      <c r="E2621" s="17">
        <v>41314.33</v>
      </c>
      <c r="F2621" s="11">
        <v>6.46</v>
      </c>
      <c r="G2621" s="9">
        <v>3159.1</v>
      </c>
      <c r="H2621" s="10">
        <v>0.42899999999999999</v>
      </c>
      <c r="I2621" s="11">
        <v>8</v>
      </c>
    </row>
    <row r="2622" spans="1:9" x14ac:dyDescent="0.35">
      <c r="A2622" s="2" t="s">
        <v>274</v>
      </c>
      <c r="B2622" s="3">
        <v>45413</v>
      </c>
      <c r="C2622" s="2">
        <v>21</v>
      </c>
      <c r="D2622" s="2">
        <v>33909</v>
      </c>
      <c r="E2622" s="17">
        <v>73005.05</v>
      </c>
      <c r="F2622" s="11">
        <v>6.58</v>
      </c>
      <c r="G2622" s="9">
        <v>5133.3</v>
      </c>
      <c r="H2622" s="10">
        <v>0.66700000000000004</v>
      </c>
      <c r="I2622" s="11">
        <v>7.5</v>
      </c>
    </row>
    <row r="2623" spans="1:9" x14ac:dyDescent="0.35">
      <c r="A2623" s="2" t="s">
        <v>274</v>
      </c>
      <c r="B2623" s="3">
        <v>45444</v>
      </c>
      <c r="C2623" s="2">
        <v>22</v>
      </c>
      <c r="D2623" s="2">
        <v>27937</v>
      </c>
      <c r="E2623" s="17">
        <v>59384.31</v>
      </c>
      <c r="F2623" s="11">
        <v>6.44</v>
      </c>
      <c r="G2623" s="9">
        <v>4374.5</v>
      </c>
      <c r="H2623" s="10">
        <v>0.54500000000000004</v>
      </c>
      <c r="I2623" s="11">
        <v>6.4</v>
      </c>
    </row>
    <row r="2624" spans="1:9" x14ac:dyDescent="0.35">
      <c r="A2624" s="2" t="s">
        <v>274</v>
      </c>
      <c r="B2624" s="3">
        <v>45474</v>
      </c>
      <c r="C2624" s="2">
        <v>18</v>
      </c>
      <c r="D2624" s="2">
        <v>25650</v>
      </c>
      <c r="E2624" s="17">
        <v>56457.53</v>
      </c>
      <c r="F2624" s="11">
        <v>6.38</v>
      </c>
      <c r="G2624" s="9">
        <v>3972.7</v>
      </c>
      <c r="H2624" s="10">
        <v>0.33300000000000002</v>
      </c>
      <c r="I2624" s="11">
        <v>7.9</v>
      </c>
    </row>
    <row r="2625" spans="1:9" x14ac:dyDescent="0.35">
      <c r="A2625" s="2" t="s">
        <v>274</v>
      </c>
      <c r="B2625" s="3">
        <v>45505</v>
      </c>
      <c r="C2625" s="2">
        <v>19</v>
      </c>
      <c r="D2625" s="2">
        <v>28585</v>
      </c>
      <c r="E2625" s="17">
        <v>60329.62</v>
      </c>
      <c r="F2625" s="11">
        <v>6.65</v>
      </c>
      <c r="G2625" s="9">
        <v>4288.8</v>
      </c>
      <c r="H2625" s="10">
        <v>0.36799999999999999</v>
      </c>
      <c r="I2625" s="11">
        <v>7.1</v>
      </c>
    </row>
    <row r="2626" spans="1:9" x14ac:dyDescent="0.35">
      <c r="A2626" s="2" t="s">
        <v>274</v>
      </c>
      <c r="B2626" s="3">
        <v>45536</v>
      </c>
      <c r="C2626" s="2">
        <v>13</v>
      </c>
      <c r="D2626" s="2">
        <v>16079</v>
      </c>
      <c r="E2626" s="17">
        <v>31624.93</v>
      </c>
      <c r="F2626" s="11">
        <v>6.73</v>
      </c>
      <c r="G2626" s="9">
        <v>2400.8000000000002</v>
      </c>
      <c r="H2626" s="10">
        <v>0.38500000000000001</v>
      </c>
      <c r="I2626" s="11">
        <v>7.2</v>
      </c>
    </row>
    <row r="2627" spans="1:9" x14ac:dyDescent="0.35">
      <c r="A2627" s="2" t="s">
        <v>274</v>
      </c>
      <c r="B2627" s="3">
        <v>45566</v>
      </c>
      <c r="C2627" s="2">
        <v>23</v>
      </c>
      <c r="D2627" s="2">
        <v>28814</v>
      </c>
      <c r="E2627" s="17">
        <v>58545.42</v>
      </c>
      <c r="F2627" s="11">
        <v>6.35</v>
      </c>
      <c r="G2627" s="9">
        <v>4604.8999999999996</v>
      </c>
      <c r="H2627" s="10">
        <v>0.47799999999999998</v>
      </c>
      <c r="I2627" s="11">
        <v>6.8</v>
      </c>
    </row>
    <row r="2628" spans="1:9" x14ac:dyDescent="0.35">
      <c r="A2628" s="2" t="s">
        <v>274</v>
      </c>
      <c r="B2628" s="3">
        <v>45597</v>
      </c>
      <c r="C2628" s="2">
        <v>19</v>
      </c>
      <c r="D2628" s="2">
        <v>24377</v>
      </c>
      <c r="E2628" s="17">
        <v>53153.89</v>
      </c>
      <c r="F2628" s="11">
        <v>6.61</v>
      </c>
      <c r="G2628" s="9">
        <v>3707.1</v>
      </c>
      <c r="H2628" s="10">
        <v>0.52600000000000002</v>
      </c>
      <c r="I2628" s="11">
        <v>7.2</v>
      </c>
    </row>
    <row r="2629" spans="1:9" x14ac:dyDescent="0.35">
      <c r="A2629" s="2" t="s">
        <v>274</v>
      </c>
      <c r="B2629" s="3">
        <v>45627</v>
      </c>
      <c r="C2629" s="2">
        <v>22</v>
      </c>
      <c r="D2629" s="2">
        <v>28049</v>
      </c>
      <c r="E2629" s="17">
        <v>60735.01</v>
      </c>
      <c r="F2629" s="11">
        <v>6.44</v>
      </c>
      <c r="G2629" s="9">
        <v>4448.3</v>
      </c>
      <c r="H2629" s="10">
        <v>0.36399999999999999</v>
      </c>
      <c r="I2629" s="11">
        <v>7.3</v>
      </c>
    </row>
    <row r="2630" spans="1:9" x14ac:dyDescent="0.35">
      <c r="A2630" s="2" t="s">
        <v>276</v>
      </c>
      <c r="B2630" s="3">
        <v>44562</v>
      </c>
      <c r="C2630" s="2">
        <v>20</v>
      </c>
      <c r="D2630" s="2">
        <v>27807</v>
      </c>
      <c r="E2630" s="17">
        <v>63852.52</v>
      </c>
      <c r="F2630" s="11">
        <v>6.46</v>
      </c>
      <c r="G2630" s="9">
        <v>4263</v>
      </c>
      <c r="H2630" s="10">
        <v>0.55000000000000004</v>
      </c>
      <c r="I2630" s="11">
        <v>7.5</v>
      </c>
    </row>
    <row r="2631" spans="1:9" x14ac:dyDescent="0.35">
      <c r="A2631" s="2" t="s">
        <v>276</v>
      </c>
      <c r="B2631" s="3">
        <v>44593</v>
      </c>
      <c r="C2631" s="2">
        <v>20</v>
      </c>
      <c r="D2631" s="2">
        <v>30515</v>
      </c>
      <c r="E2631" s="17">
        <v>58834.17</v>
      </c>
      <c r="F2631" s="11">
        <v>6.37</v>
      </c>
      <c r="G2631" s="9">
        <v>4861</v>
      </c>
      <c r="H2631" s="10">
        <v>0.3</v>
      </c>
      <c r="I2631" s="11">
        <v>8</v>
      </c>
    </row>
    <row r="2632" spans="1:9" x14ac:dyDescent="0.35">
      <c r="A2632" s="2" t="s">
        <v>276</v>
      </c>
      <c r="B2632" s="3">
        <v>44621</v>
      </c>
      <c r="C2632" s="2">
        <v>17</v>
      </c>
      <c r="D2632" s="2">
        <v>27064</v>
      </c>
      <c r="E2632" s="17">
        <v>55360.85</v>
      </c>
      <c r="F2632" s="11">
        <v>6.4</v>
      </c>
      <c r="G2632" s="9">
        <v>4189.7</v>
      </c>
      <c r="H2632" s="10">
        <v>0.64700000000000002</v>
      </c>
      <c r="I2632" s="11">
        <v>6.8</v>
      </c>
    </row>
    <row r="2633" spans="1:9" x14ac:dyDescent="0.35">
      <c r="A2633" s="2" t="s">
        <v>276</v>
      </c>
      <c r="B2633" s="3">
        <v>44652</v>
      </c>
      <c r="C2633" s="2">
        <v>22</v>
      </c>
      <c r="D2633" s="2">
        <v>29965</v>
      </c>
      <c r="E2633" s="17">
        <v>61105.2</v>
      </c>
      <c r="F2633" s="11">
        <v>6.48</v>
      </c>
      <c r="G2633" s="9">
        <v>4668.1000000000004</v>
      </c>
      <c r="H2633" s="10">
        <v>0.27300000000000002</v>
      </c>
      <c r="I2633" s="11">
        <v>7.7</v>
      </c>
    </row>
    <row r="2634" spans="1:9" x14ac:dyDescent="0.35">
      <c r="A2634" s="2" t="s">
        <v>276</v>
      </c>
      <c r="B2634" s="3">
        <v>44682</v>
      </c>
      <c r="C2634" s="2">
        <v>22</v>
      </c>
      <c r="D2634" s="2">
        <v>36064</v>
      </c>
      <c r="E2634" s="17">
        <v>73359.38</v>
      </c>
      <c r="F2634" s="11">
        <v>6.43</v>
      </c>
      <c r="G2634" s="9">
        <v>5622.3</v>
      </c>
      <c r="H2634" s="10">
        <v>0.45500000000000002</v>
      </c>
      <c r="I2634" s="11">
        <v>7</v>
      </c>
    </row>
    <row r="2635" spans="1:9" x14ac:dyDescent="0.35">
      <c r="A2635" s="2" t="s">
        <v>276</v>
      </c>
      <c r="B2635" s="3">
        <v>44713</v>
      </c>
      <c r="C2635" s="2">
        <v>16</v>
      </c>
      <c r="D2635" s="2">
        <v>23289</v>
      </c>
      <c r="E2635" s="17">
        <v>49530.28</v>
      </c>
      <c r="F2635" s="11">
        <v>6.35</v>
      </c>
      <c r="G2635" s="9">
        <v>3707.8</v>
      </c>
      <c r="H2635" s="10">
        <v>0.56200000000000006</v>
      </c>
      <c r="I2635" s="11">
        <v>6.4</v>
      </c>
    </row>
    <row r="2636" spans="1:9" x14ac:dyDescent="0.35">
      <c r="A2636" s="2" t="s">
        <v>276</v>
      </c>
      <c r="B2636" s="3">
        <v>44743</v>
      </c>
      <c r="C2636" s="2">
        <v>20</v>
      </c>
      <c r="D2636" s="2">
        <v>25343</v>
      </c>
      <c r="E2636" s="17">
        <v>51302.67</v>
      </c>
      <c r="F2636" s="11">
        <v>6.57</v>
      </c>
      <c r="G2636" s="9">
        <v>3939</v>
      </c>
      <c r="H2636" s="10">
        <v>0.45</v>
      </c>
      <c r="I2636" s="11">
        <v>6</v>
      </c>
    </row>
    <row r="2637" spans="1:9" x14ac:dyDescent="0.35">
      <c r="A2637" s="2" t="s">
        <v>276</v>
      </c>
      <c r="B2637" s="3">
        <v>44774</v>
      </c>
      <c r="C2637" s="2">
        <v>23</v>
      </c>
      <c r="D2637" s="2">
        <v>25629</v>
      </c>
      <c r="E2637" s="17">
        <v>55872.21</v>
      </c>
      <c r="F2637" s="11">
        <v>6.44</v>
      </c>
      <c r="G2637" s="9">
        <v>4036.3</v>
      </c>
      <c r="H2637" s="10">
        <v>0.30399999999999999</v>
      </c>
      <c r="I2637" s="11">
        <v>7</v>
      </c>
    </row>
    <row r="2638" spans="1:9" x14ac:dyDescent="0.35">
      <c r="A2638" s="2" t="s">
        <v>276</v>
      </c>
      <c r="B2638" s="3">
        <v>44805</v>
      </c>
      <c r="C2638" s="2">
        <v>15</v>
      </c>
      <c r="D2638" s="2">
        <v>23331</v>
      </c>
      <c r="E2638" s="17">
        <v>57226.41</v>
      </c>
      <c r="F2638" s="11">
        <v>6.53</v>
      </c>
      <c r="G2638" s="9">
        <v>3601.5</v>
      </c>
      <c r="H2638" s="10">
        <v>0.4</v>
      </c>
      <c r="I2638" s="11">
        <v>6.4</v>
      </c>
    </row>
    <row r="2639" spans="1:9" x14ac:dyDescent="0.35">
      <c r="A2639" s="2" t="s">
        <v>276</v>
      </c>
      <c r="B2639" s="3">
        <v>44835</v>
      </c>
      <c r="C2639" s="2">
        <v>22</v>
      </c>
      <c r="D2639" s="2">
        <v>29422</v>
      </c>
      <c r="E2639" s="17">
        <v>64819.69</v>
      </c>
      <c r="F2639" s="11">
        <v>6.52</v>
      </c>
      <c r="G2639" s="9">
        <v>4589.8999999999996</v>
      </c>
      <c r="H2639" s="10">
        <v>0.36399999999999999</v>
      </c>
      <c r="I2639" s="11">
        <v>7.5</v>
      </c>
    </row>
    <row r="2640" spans="1:9" x14ac:dyDescent="0.35">
      <c r="A2640" s="2" t="s">
        <v>276</v>
      </c>
      <c r="B2640" s="3">
        <v>44866</v>
      </c>
      <c r="C2640" s="2">
        <v>19</v>
      </c>
      <c r="D2640" s="2">
        <v>30817</v>
      </c>
      <c r="E2640" s="17">
        <v>68331.59</v>
      </c>
      <c r="F2640" s="11">
        <v>6.37</v>
      </c>
      <c r="G2640" s="9">
        <v>4791.8999999999996</v>
      </c>
      <c r="H2640" s="10">
        <v>0.52600000000000002</v>
      </c>
      <c r="I2640" s="11">
        <v>6.2</v>
      </c>
    </row>
    <row r="2641" spans="1:9" x14ac:dyDescent="0.35">
      <c r="A2641" s="2" t="s">
        <v>276</v>
      </c>
      <c r="B2641" s="3">
        <v>44896</v>
      </c>
      <c r="C2641" s="2">
        <v>23</v>
      </c>
      <c r="D2641" s="2">
        <v>34122</v>
      </c>
      <c r="E2641" s="17">
        <v>68157.850000000006</v>
      </c>
      <c r="F2641" s="11">
        <v>6.48</v>
      </c>
      <c r="G2641" s="9">
        <v>5299.9</v>
      </c>
      <c r="H2641" s="10">
        <v>0.56499999999999995</v>
      </c>
      <c r="I2641" s="11">
        <v>6.2</v>
      </c>
    </row>
    <row r="2642" spans="1:9" x14ac:dyDescent="0.35">
      <c r="A2642" s="2" t="s">
        <v>276</v>
      </c>
      <c r="B2642" s="3">
        <v>44927</v>
      </c>
      <c r="C2642" s="2">
        <v>22</v>
      </c>
      <c r="D2642" s="2">
        <v>26797</v>
      </c>
      <c r="E2642" s="17">
        <v>56330.01</v>
      </c>
      <c r="F2642" s="11">
        <v>6.49</v>
      </c>
      <c r="G2642" s="9">
        <v>4158.8999999999996</v>
      </c>
      <c r="H2642" s="10">
        <v>0.36399999999999999</v>
      </c>
      <c r="I2642" s="11">
        <v>7</v>
      </c>
    </row>
    <row r="2643" spans="1:9" x14ac:dyDescent="0.35">
      <c r="A2643" s="2" t="s">
        <v>276</v>
      </c>
      <c r="B2643" s="3">
        <v>44958</v>
      </c>
      <c r="C2643" s="2">
        <v>15</v>
      </c>
      <c r="D2643" s="2">
        <v>17211</v>
      </c>
      <c r="E2643" s="17">
        <v>41395.120000000003</v>
      </c>
      <c r="F2643" s="11">
        <v>6.52</v>
      </c>
      <c r="G2643" s="9">
        <v>2654.6</v>
      </c>
      <c r="H2643" s="10">
        <v>0.4</v>
      </c>
      <c r="I2643" s="11">
        <v>7.4</v>
      </c>
    </row>
    <row r="2644" spans="1:9" x14ac:dyDescent="0.35">
      <c r="A2644" s="2" t="s">
        <v>276</v>
      </c>
      <c r="B2644" s="3">
        <v>44986</v>
      </c>
      <c r="C2644" s="2">
        <v>18</v>
      </c>
      <c r="D2644" s="2">
        <v>29869</v>
      </c>
      <c r="E2644" s="17">
        <v>67424.490000000005</v>
      </c>
      <c r="F2644" s="11">
        <v>6.61</v>
      </c>
      <c r="G2644" s="9">
        <v>4562.1000000000004</v>
      </c>
      <c r="H2644" s="10">
        <v>0.27800000000000002</v>
      </c>
      <c r="I2644" s="11">
        <v>7.5</v>
      </c>
    </row>
    <row r="2645" spans="1:9" x14ac:dyDescent="0.35">
      <c r="A2645" s="2" t="s">
        <v>276</v>
      </c>
      <c r="B2645" s="3">
        <v>45017</v>
      </c>
      <c r="C2645" s="2">
        <v>12</v>
      </c>
      <c r="D2645" s="2">
        <v>18885</v>
      </c>
      <c r="E2645" s="17">
        <v>45670.45</v>
      </c>
      <c r="F2645" s="11">
        <v>6.52</v>
      </c>
      <c r="G2645" s="9">
        <v>2949</v>
      </c>
      <c r="H2645" s="10">
        <v>0.58299999999999996</v>
      </c>
      <c r="I2645" s="11">
        <v>7.7</v>
      </c>
    </row>
    <row r="2646" spans="1:9" x14ac:dyDescent="0.35">
      <c r="A2646" s="2" t="s">
        <v>276</v>
      </c>
      <c r="B2646" s="3">
        <v>45047</v>
      </c>
      <c r="C2646" s="2">
        <v>25</v>
      </c>
      <c r="D2646" s="2">
        <v>39198</v>
      </c>
      <c r="E2646" s="17">
        <v>82359.47</v>
      </c>
      <c r="F2646" s="11">
        <v>6.44</v>
      </c>
      <c r="G2646" s="9">
        <v>6109.3</v>
      </c>
      <c r="H2646" s="10">
        <v>0.56000000000000005</v>
      </c>
      <c r="I2646" s="11">
        <v>6.7</v>
      </c>
    </row>
    <row r="2647" spans="1:9" x14ac:dyDescent="0.35">
      <c r="A2647" s="2" t="s">
        <v>276</v>
      </c>
      <c r="B2647" s="3">
        <v>45078</v>
      </c>
      <c r="C2647" s="2">
        <v>26</v>
      </c>
      <c r="D2647" s="2">
        <v>30261</v>
      </c>
      <c r="E2647" s="17">
        <v>64794.6</v>
      </c>
      <c r="F2647" s="11">
        <v>6.61</v>
      </c>
      <c r="G2647" s="9">
        <v>4656.7</v>
      </c>
      <c r="H2647" s="10">
        <v>0.42299999999999999</v>
      </c>
      <c r="I2647" s="11">
        <v>8.1</v>
      </c>
    </row>
    <row r="2648" spans="1:9" x14ac:dyDescent="0.35">
      <c r="A2648" s="2" t="s">
        <v>276</v>
      </c>
      <c r="B2648" s="3">
        <v>45108</v>
      </c>
      <c r="C2648" s="2">
        <v>26</v>
      </c>
      <c r="D2648" s="2">
        <v>40052</v>
      </c>
      <c r="E2648" s="17">
        <v>86268.21</v>
      </c>
      <c r="F2648" s="11">
        <v>6.62</v>
      </c>
      <c r="G2648" s="9">
        <v>6207.5</v>
      </c>
      <c r="H2648" s="10">
        <v>0.42299999999999999</v>
      </c>
      <c r="I2648" s="11">
        <v>6.9</v>
      </c>
    </row>
    <row r="2649" spans="1:9" x14ac:dyDescent="0.35">
      <c r="A2649" s="2" t="s">
        <v>276</v>
      </c>
      <c r="B2649" s="3">
        <v>45139</v>
      </c>
      <c r="C2649" s="2">
        <v>17</v>
      </c>
      <c r="D2649" s="2">
        <v>27875</v>
      </c>
      <c r="E2649" s="17">
        <v>59525.58</v>
      </c>
      <c r="F2649" s="11">
        <v>6.43</v>
      </c>
      <c r="G2649" s="9">
        <v>4343.2</v>
      </c>
      <c r="H2649" s="10">
        <v>0.58799999999999997</v>
      </c>
      <c r="I2649" s="11">
        <v>7</v>
      </c>
    </row>
    <row r="2650" spans="1:9" x14ac:dyDescent="0.35">
      <c r="A2650" s="2" t="s">
        <v>276</v>
      </c>
      <c r="B2650" s="3">
        <v>45170</v>
      </c>
      <c r="C2650" s="2">
        <v>11</v>
      </c>
      <c r="D2650" s="2">
        <v>15420</v>
      </c>
      <c r="E2650" s="17">
        <v>35876.99</v>
      </c>
      <c r="F2650" s="11">
        <v>6.36</v>
      </c>
      <c r="G2650" s="9">
        <v>2432.6999999999998</v>
      </c>
      <c r="H2650" s="10">
        <v>0.45500000000000002</v>
      </c>
      <c r="I2650" s="11">
        <v>8.1</v>
      </c>
    </row>
    <row r="2651" spans="1:9" x14ac:dyDescent="0.35">
      <c r="A2651" s="2" t="s">
        <v>276</v>
      </c>
      <c r="B2651" s="3">
        <v>45200</v>
      </c>
      <c r="C2651" s="2">
        <v>22</v>
      </c>
      <c r="D2651" s="2">
        <v>34426</v>
      </c>
      <c r="E2651" s="17">
        <v>76354.679999999993</v>
      </c>
      <c r="F2651" s="11">
        <v>6.49</v>
      </c>
      <c r="G2651" s="9">
        <v>5334.3</v>
      </c>
      <c r="H2651" s="10">
        <v>0.36399999999999999</v>
      </c>
      <c r="I2651" s="11">
        <v>5.9</v>
      </c>
    </row>
    <row r="2652" spans="1:9" x14ac:dyDescent="0.35">
      <c r="A2652" s="2" t="s">
        <v>276</v>
      </c>
      <c r="B2652" s="3">
        <v>45231</v>
      </c>
      <c r="C2652" s="2">
        <v>21</v>
      </c>
      <c r="D2652" s="2">
        <v>19131</v>
      </c>
      <c r="E2652" s="17">
        <v>38491.74</v>
      </c>
      <c r="F2652" s="11">
        <v>6.4</v>
      </c>
      <c r="G2652" s="9">
        <v>2953.8</v>
      </c>
      <c r="H2652" s="10">
        <v>0.52400000000000002</v>
      </c>
      <c r="I2652" s="11">
        <v>7.6</v>
      </c>
    </row>
    <row r="2653" spans="1:9" x14ac:dyDescent="0.35">
      <c r="A2653" s="2" t="s">
        <v>276</v>
      </c>
      <c r="B2653" s="3">
        <v>45261</v>
      </c>
      <c r="C2653" s="2">
        <v>23</v>
      </c>
      <c r="D2653" s="2">
        <v>28596</v>
      </c>
      <c r="E2653" s="17">
        <v>60050.22</v>
      </c>
      <c r="F2653" s="11">
        <v>6.6</v>
      </c>
      <c r="G2653" s="9">
        <v>4382.6000000000004</v>
      </c>
      <c r="H2653" s="10">
        <v>0.34799999999999998</v>
      </c>
      <c r="I2653" s="11">
        <v>7.1</v>
      </c>
    </row>
    <row r="2654" spans="1:9" x14ac:dyDescent="0.35">
      <c r="A2654" s="2" t="s">
        <v>276</v>
      </c>
      <c r="B2654" s="3">
        <v>45292</v>
      </c>
      <c r="C2654" s="2">
        <v>12</v>
      </c>
      <c r="D2654" s="2">
        <v>14259</v>
      </c>
      <c r="E2654" s="17">
        <v>29205.97</v>
      </c>
      <c r="F2654" s="11">
        <v>6.41</v>
      </c>
      <c r="G2654" s="9">
        <v>2249.6</v>
      </c>
      <c r="H2654" s="10">
        <v>0.41699999999999998</v>
      </c>
      <c r="I2654" s="11">
        <v>6.8</v>
      </c>
    </row>
    <row r="2655" spans="1:9" x14ac:dyDescent="0.35">
      <c r="A2655" s="2" t="s">
        <v>276</v>
      </c>
      <c r="B2655" s="3">
        <v>45323</v>
      </c>
      <c r="C2655" s="2">
        <v>20</v>
      </c>
      <c r="D2655" s="2">
        <v>27268</v>
      </c>
      <c r="E2655" s="17">
        <v>62208.57</v>
      </c>
      <c r="F2655" s="11">
        <v>6.32</v>
      </c>
      <c r="G2655" s="9">
        <v>4452.7</v>
      </c>
      <c r="H2655" s="10">
        <v>0.25</v>
      </c>
      <c r="I2655" s="11">
        <v>7.5</v>
      </c>
    </row>
    <row r="2656" spans="1:9" x14ac:dyDescent="0.35">
      <c r="A2656" s="2" t="s">
        <v>276</v>
      </c>
      <c r="B2656" s="3">
        <v>45352</v>
      </c>
      <c r="C2656" s="2">
        <v>24</v>
      </c>
      <c r="D2656" s="2">
        <v>33463</v>
      </c>
      <c r="E2656" s="17">
        <v>69179.48</v>
      </c>
      <c r="F2656" s="11">
        <v>6.55</v>
      </c>
      <c r="G2656" s="9">
        <v>5207.5</v>
      </c>
      <c r="H2656" s="10">
        <v>0.375</v>
      </c>
      <c r="I2656" s="11">
        <v>7.4</v>
      </c>
    </row>
    <row r="2657" spans="1:9" x14ac:dyDescent="0.35">
      <c r="A2657" s="2" t="s">
        <v>276</v>
      </c>
      <c r="B2657" s="3">
        <v>45383</v>
      </c>
      <c r="C2657" s="2">
        <v>16</v>
      </c>
      <c r="D2657" s="2">
        <v>19401</v>
      </c>
      <c r="E2657" s="17">
        <v>45111.23</v>
      </c>
      <c r="F2657" s="11">
        <v>6.59</v>
      </c>
      <c r="G2657" s="9">
        <v>2930.2</v>
      </c>
      <c r="H2657" s="10">
        <v>0.56200000000000006</v>
      </c>
      <c r="I2657" s="11">
        <v>7.6</v>
      </c>
    </row>
    <row r="2658" spans="1:9" x14ac:dyDescent="0.35">
      <c r="A2658" s="2" t="s">
        <v>276</v>
      </c>
      <c r="B2658" s="3">
        <v>45413</v>
      </c>
      <c r="C2658" s="2">
        <v>24</v>
      </c>
      <c r="D2658" s="2">
        <v>43454</v>
      </c>
      <c r="E2658" s="17">
        <v>86479.25</v>
      </c>
      <c r="F2658" s="11">
        <v>6.63</v>
      </c>
      <c r="G2658" s="9">
        <v>6596.9</v>
      </c>
      <c r="H2658" s="10">
        <v>0.29199999999999998</v>
      </c>
      <c r="I2658" s="11">
        <v>6.8</v>
      </c>
    </row>
    <row r="2659" spans="1:9" x14ac:dyDescent="0.35">
      <c r="A2659" s="2" t="s">
        <v>276</v>
      </c>
      <c r="B2659" s="3">
        <v>45444</v>
      </c>
      <c r="C2659" s="2">
        <v>25</v>
      </c>
      <c r="D2659" s="2">
        <v>38959</v>
      </c>
      <c r="E2659" s="17">
        <v>86076.73</v>
      </c>
      <c r="F2659" s="11">
        <v>6.31</v>
      </c>
      <c r="G2659" s="9">
        <v>6164.3</v>
      </c>
      <c r="H2659" s="10">
        <v>0.52</v>
      </c>
      <c r="I2659" s="11">
        <v>6.4</v>
      </c>
    </row>
    <row r="2660" spans="1:9" x14ac:dyDescent="0.35">
      <c r="A2660" s="2" t="s">
        <v>276</v>
      </c>
      <c r="B2660" s="3">
        <v>45474</v>
      </c>
      <c r="C2660" s="2">
        <v>14</v>
      </c>
      <c r="D2660" s="2">
        <v>21854</v>
      </c>
      <c r="E2660" s="17">
        <v>45895.37</v>
      </c>
      <c r="F2660" s="11">
        <v>6.31</v>
      </c>
      <c r="G2660" s="9">
        <v>3465</v>
      </c>
      <c r="H2660" s="10">
        <v>0.57099999999999995</v>
      </c>
      <c r="I2660" s="11">
        <v>6</v>
      </c>
    </row>
    <row r="2661" spans="1:9" x14ac:dyDescent="0.35">
      <c r="A2661" s="2" t="s">
        <v>276</v>
      </c>
      <c r="B2661" s="3">
        <v>45505</v>
      </c>
      <c r="C2661" s="2">
        <v>15</v>
      </c>
      <c r="D2661" s="2">
        <v>21277</v>
      </c>
      <c r="E2661" s="17">
        <v>43885.83</v>
      </c>
      <c r="F2661" s="11">
        <v>6.5</v>
      </c>
      <c r="G2661" s="9">
        <v>3270.9</v>
      </c>
      <c r="H2661" s="10">
        <v>0.2</v>
      </c>
      <c r="I2661" s="11">
        <v>7.3</v>
      </c>
    </row>
    <row r="2662" spans="1:9" x14ac:dyDescent="0.35">
      <c r="A2662" s="2" t="s">
        <v>276</v>
      </c>
      <c r="B2662" s="3">
        <v>45536</v>
      </c>
      <c r="C2662" s="2">
        <v>17</v>
      </c>
      <c r="D2662" s="2">
        <v>19270</v>
      </c>
      <c r="E2662" s="17">
        <v>41890.49</v>
      </c>
      <c r="F2662" s="11">
        <v>6.8</v>
      </c>
      <c r="G2662" s="9">
        <v>2908.8</v>
      </c>
      <c r="H2662" s="10">
        <v>0.58799999999999997</v>
      </c>
      <c r="I2662" s="11">
        <v>7.1</v>
      </c>
    </row>
    <row r="2663" spans="1:9" x14ac:dyDescent="0.35">
      <c r="A2663" s="2" t="s">
        <v>276</v>
      </c>
      <c r="B2663" s="3">
        <v>45566</v>
      </c>
      <c r="C2663" s="2">
        <v>19</v>
      </c>
      <c r="D2663" s="2">
        <v>27601</v>
      </c>
      <c r="E2663" s="17">
        <v>58015.37</v>
      </c>
      <c r="F2663" s="11">
        <v>6.56</v>
      </c>
      <c r="G2663" s="9">
        <v>4200.3</v>
      </c>
      <c r="H2663" s="10">
        <v>0.316</v>
      </c>
      <c r="I2663" s="11">
        <v>6.3</v>
      </c>
    </row>
    <row r="2664" spans="1:9" x14ac:dyDescent="0.35">
      <c r="A2664" s="2" t="s">
        <v>276</v>
      </c>
      <c r="B2664" s="3">
        <v>45597</v>
      </c>
      <c r="C2664" s="2">
        <v>17</v>
      </c>
      <c r="D2664" s="2">
        <v>25400</v>
      </c>
      <c r="E2664" s="17">
        <v>53110.83</v>
      </c>
      <c r="F2664" s="11">
        <v>6.39</v>
      </c>
      <c r="G2664" s="9">
        <v>4000.5</v>
      </c>
      <c r="H2664" s="10">
        <v>0.58799999999999997</v>
      </c>
      <c r="I2664" s="11">
        <v>6.9</v>
      </c>
    </row>
    <row r="2665" spans="1:9" x14ac:dyDescent="0.35">
      <c r="A2665" s="2" t="s">
        <v>276</v>
      </c>
      <c r="B2665" s="3">
        <v>45627</v>
      </c>
      <c r="C2665" s="2">
        <v>14</v>
      </c>
      <c r="D2665" s="2">
        <v>23485</v>
      </c>
      <c r="E2665" s="17">
        <v>47937.43</v>
      </c>
      <c r="F2665" s="11">
        <v>6.52</v>
      </c>
      <c r="G2665" s="9">
        <v>3637.1</v>
      </c>
      <c r="H2665" s="10">
        <v>0.35699999999999998</v>
      </c>
      <c r="I2665" s="11">
        <v>7.3</v>
      </c>
    </row>
    <row r="2666" spans="1:9" x14ac:dyDescent="0.35">
      <c r="A2666" s="2" t="s">
        <v>279</v>
      </c>
      <c r="B2666" s="3">
        <v>44562</v>
      </c>
      <c r="C2666" s="2">
        <v>17</v>
      </c>
      <c r="D2666" s="2">
        <v>27302</v>
      </c>
      <c r="E2666" s="17">
        <v>61152.77</v>
      </c>
      <c r="F2666" s="11">
        <v>6.46</v>
      </c>
      <c r="G2666" s="9">
        <v>4247.7</v>
      </c>
      <c r="H2666" s="10">
        <v>0.58799999999999997</v>
      </c>
      <c r="I2666" s="11">
        <v>7.8</v>
      </c>
    </row>
    <row r="2667" spans="1:9" x14ac:dyDescent="0.35">
      <c r="A2667" s="2" t="s">
        <v>279</v>
      </c>
      <c r="B2667" s="3">
        <v>44593</v>
      </c>
      <c r="C2667" s="2">
        <v>16</v>
      </c>
      <c r="D2667" s="2">
        <v>19773</v>
      </c>
      <c r="E2667" s="17">
        <v>46043.02</v>
      </c>
      <c r="F2667" s="11">
        <v>6.59</v>
      </c>
      <c r="G2667" s="9">
        <v>3007.5</v>
      </c>
      <c r="H2667" s="10">
        <v>0.56200000000000006</v>
      </c>
      <c r="I2667" s="11">
        <v>6.7</v>
      </c>
    </row>
    <row r="2668" spans="1:9" x14ac:dyDescent="0.35">
      <c r="A2668" s="2" t="s">
        <v>279</v>
      </c>
      <c r="B2668" s="3">
        <v>44621</v>
      </c>
      <c r="C2668" s="2">
        <v>16</v>
      </c>
      <c r="D2668" s="2">
        <v>26484</v>
      </c>
      <c r="E2668" s="17">
        <v>55722.43</v>
      </c>
      <c r="F2668" s="11">
        <v>6.3</v>
      </c>
      <c r="G2668" s="9">
        <v>4308.2</v>
      </c>
      <c r="H2668" s="10">
        <v>0.56200000000000006</v>
      </c>
      <c r="I2668" s="11">
        <v>8</v>
      </c>
    </row>
    <row r="2669" spans="1:9" x14ac:dyDescent="0.35">
      <c r="A2669" s="2" t="s">
        <v>279</v>
      </c>
      <c r="B2669" s="3">
        <v>44652</v>
      </c>
      <c r="C2669" s="2">
        <v>26</v>
      </c>
      <c r="D2669" s="2">
        <v>32121</v>
      </c>
      <c r="E2669" s="17">
        <v>72155.149999999994</v>
      </c>
      <c r="F2669" s="11">
        <v>6.52</v>
      </c>
      <c r="G2669" s="9">
        <v>5007.3999999999996</v>
      </c>
      <c r="H2669" s="10">
        <v>0.42299999999999999</v>
      </c>
      <c r="I2669" s="11">
        <v>7.9</v>
      </c>
    </row>
    <row r="2670" spans="1:9" x14ac:dyDescent="0.35">
      <c r="A2670" s="2" t="s">
        <v>279</v>
      </c>
      <c r="B2670" s="3">
        <v>44682</v>
      </c>
      <c r="C2670" s="2">
        <v>12</v>
      </c>
      <c r="D2670" s="2">
        <v>15303</v>
      </c>
      <c r="E2670" s="17">
        <v>35017.699999999997</v>
      </c>
      <c r="F2670" s="11">
        <v>6.57</v>
      </c>
      <c r="G2670" s="9">
        <v>2361.6</v>
      </c>
      <c r="H2670" s="10">
        <v>0.58299999999999996</v>
      </c>
      <c r="I2670" s="11">
        <v>6.1</v>
      </c>
    </row>
    <row r="2671" spans="1:9" x14ac:dyDescent="0.35">
      <c r="A2671" s="2" t="s">
        <v>279</v>
      </c>
      <c r="B2671" s="3">
        <v>44713</v>
      </c>
      <c r="C2671" s="2">
        <v>14</v>
      </c>
      <c r="D2671" s="2">
        <v>19619</v>
      </c>
      <c r="E2671" s="17">
        <v>44235.1</v>
      </c>
      <c r="F2671" s="11">
        <v>6.62</v>
      </c>
      <c r="G2671" s="9">
        <v>3083.2</v>
      </c>
      <c r="H2671" s="10">
        <v>0.5</v>
      </c>
      <c r="I2671" s="11">
        <v>6.6</v>
      </c>
    </row>
    <row r="2672" spans="1:9" x14ac:dyDescent="0.35">
      <c r="A2672" s="2" t="s">
        <v>279</v>
      </c>
      <c r="B2672" s="3">
        <v>44743</v>
      </c>
      <c r="C2672" s="2">
        <v>13</v>
      </c>
      <c r="D2672" s="2">
        <v>14208</v>
      </c>
      <c r="E2672" s="17">
        <v>29493.55</v>
      </c>
      <c r="F2672" s="11">
        <v>6.39</v>
      </c>
      <c r="G2672" s="9">
        <v>2256.1999999999998</v>
      </c>
      <c r="H2672" s="10">
        <v>0.46200000000000002</v>
      </c>
      <c r="I2672" s="11">
        <v>7.3</v>
      </c>
    </row>
    <row r="2673" spans="1:9" x14ac:dyDescent="0.35">
      <c r="A2673" s="2" t="s">
        <v>279</v>
      </c>
      <c r="B2673" s="3">
        <v>44774</v>
      </c>
      <c r="C2673" s="2">
        <v>20</v>
      </c>
      <c r="D2673" s="2">
        <v>26417</v>
      </c>
      <c r="E2673" s="17">
        <v>60719.93</v>
      </c>
      <c r="F2673" s="11">
        <v>6.51</v>
      </c>
      <c r="G2673" s="9">
        <v>4020.8</v>
      </c>
      <c r="H2673" s="10">
        <v>0.45</v>
      </c>
      <c r="I2673" s="11">
        <v>6.9</v>
      </c>
    </row>
    <row r="2674" spans="1:9" x14ac:dyDescent="0.35">
      <c r="A2674" s="2" t="s">
        <v>279</v>
      </c>
      <c r="B2674" s="3">
        <v>44805</v>
      </c>
      <c r="C2674" s="2">
        <v>23</v>
      </c>
      <c r="D2674" s="2">
        <v>28245</v>
      </c>
      <c r="E2674" s="17">
        <v>63106.77</v>
      </c>
      <c r="F2674" s="11">
        <v>6.59</v>
      </c>
      <c r="G2674" s="9">
        <v>4242.8</v>
      </c>
      <c r="H2674" s="10">
        <v>0.47799999999999998</v>
      </c>
      <c r="I2674" s="11">
        <v>7.7</v>
      </c>
    </row>
    <row r="2675" spans="1:9" x14ac:dyDescent="0.35">
      <c r="A2675" s="2" t="s">
        <v>279</v>
      </c>
      <c r="B2675" s="3">
        <v>44835</v>
      </c>
      <c r="C2675" s="2">
        <v>19</v>
      </c>
      <c r="D2675" s="2">
        <v>24014</v>
      </c>
      <c r="E2675" s="17">
        <v>50903.58</v>
      </c>
      <c r="F2675" s="11">
        <v>6.68</v>
      </c>
      <c r="G2675" s="9">
        <v>3653.3</v>
      </c>
      <c r="H2675" s="10">
        <v>0.57899999999999996</v>
      </c>
      <c r="I2675" s="11">
        <v>7.7</v>
      </c>
    </row>
    <row r="2676" spans="1:9" x14ac:dyDescent="0.35">
      <c r="A2676" s="2" t="s">
        <v>279</v>
      </c>
      <c r="B2676" s="3">
        <v>44866</v>
      </c>
      <c r="C2676" s="2">
        <v>16</v>
      </c>
      <c r="D2676" s="2">
        <v>19240</v>
      </c>
      <c r="E2676" s="17">
        <v>41199.42</v>
      </c>
      <c r="F2676" s="11">
        <v>6.56</v>
      </c>
      <c r="G2676" s="9">
        <v>2917.5</v>
      </c>
      <c r="H2676" s="10">
        <v>0.438</v>
      </c>
      <c r="I2676" s="11">
        <v>5.5</v>
      </c>
    </row>
    <row r="2677" spans="1:9" x14ac:dyDescent="0.35">
      <c r="A2677" s="2" t="s">
        <v>279</v>
      </c>
      <c r="B2677" s="3">
        <v>44896</v>
      </c>
      <c r="C2677" s="2">
        <v>18</v>
      </c>
      <c r="D2677" s="2">
        <v>25242</v>
      </c>
      <c r="E2677" s="17">
        <v>55393.61</v>
      </c>
      <c r="F2677" s="11">
        <v>6.45</v>
      </c>
      <c r="G2677" s="9">
        <v>3932.9</v>
      </c>
      <c r="H2677" s="10">
        <v>0.61099999999999999</v>
      </c>
      <c r="I2677" s="11">
        <v>8.9</v>
      </c>
    </row>
    <row r="2678" spans="1:9" x14ac:dyDescent="0.35">
      <c r="A2678" s="2" t="s">
        <v>279</v>
      </c>
      <c r="B2678" s="3">
        <v>44927</v>
      </c>
      <c r="C2678" s="2">
        <v>21</v>
      </c>
      <c r="D2678" s="2">
        <v>29586</v>
      </c>
      <c r="E2678" s="17">
        <v>66415.600000000006</v>
      </c>
      <c r="F2678" s="11">
        <v>6.54</v>
      </c>
      <c r="G2678" s="9">
        <v>4558.2</v>
      </c>
      <c r="H2678" s="10">
        <v>0.47599999999999998</v>
      </c>
      <c r="I2678" s="11">
        <v>6.6</v>
      </c>
    </row>
    <row r="2679" spans="1:9" x14ac:dyDescent="0.35">
      <c r="A2679" s="2" t="s">
        <v>279</v>
      </c>
      <c r="B2679" s="3">
        <v>44958</v>
      </c>
      <c r="C2679" s="2">
        <v>11</v>
      </c>
      <c r="D2679" s="2">
        <v>9089</v>
      </c>
      <c r="E2679" s="17">
        <v>21341.15</v>
      </c>
      <c r="F2679" s="11">
        <v>6.39</v>
      </c>
      <c r="G2679" s="9">
        <v>1411.5</v>
      </c>
      <c r="H2679" s="10">
        <v>0.27300000000000002</v>
      </c>
      <c r="I2679" s="11">
        <v>6.7</v>
      </c>
    </row>
    <row r="2680" spans="1:9" x14ac:dyDescent="0.35">
      <c r="A2680" s="2" t="s">
        <v>279</v>
      </c>
      <c r="B2680" s="3">
        <v>44986</v>
      </c>
      <c r="C2680" s="2">
        <v>19</v>
      </c>
      <c r="D2680" s="2">
        <v>29324</v>
      </c>
      <c r="E2680" s="17">
        <v>64960.32</v>
      </c>
      <c r="F2680" s="11">
        <v>6.5</v>
      </c>
      <c r="G2680" s="9">
        <v>4581.8</v>
      </c>
      <c r="H2680" s="10">
        <v>0.36799999999999999</v>
      </c>
      <c r="I2680" s="11">
        <v>6.2</v>
      </c>
    </row>
    <row r="2681" spans="1:9" x14ac:dyDescent="0.35">
      <c r="A2681" s="2" t="s">
        <v>279</v>
      </c>
      <c r="B2681" s="3">
        <v>45017</v>
      </c>
      <c r="C2681" s="2">
        <v>27</v>
      </c>
      <c r="D2681" s="2">
        <v>36201</v>
      </c>
      <c r="E2681" s="17">
        <v>68519.600000000006</v>
      </c>
      <c r="F2681" s="11">
        <v>6.63</v>
      </c>
      <c r="G2681" s="9">
        <v>5521.1</v>
      </c>
      <c r="H2681" s="10">
        <v>0.51900000000000002</v>
      </c>
      <c r="I2681" s="11">
        <v>7.2</v>
      </c>
    </row>
    <row r="2682" spans="1:9" x14ac:dyDescent="0.35">
      <c r="A2682" s="2" t="s">
        <v>279</v>
      </c>
      <c r="B2682" s="3">
        <v>45047</v>
      </c>
      <c r="C2682" s="2">
        <v>19</v>
      </c>
      <c r="D2682" s="2">
        <v>28525</v>
      </c>
      <c r="E2682" s="17">
        <v>59394.26</v>
      </c>
      <c r="F2682" s="11">
        <v>6.53</v>
      </c>
      <c r="G2682" s="9">
        <v>4336.1000000000004</v>
      </c>
      <c r="H2682" s="10">
        <v>0.316</v>
      </c>
      <c r="I2682" s="11">
        <v>5.8</v>
      </c>
    </row>
    <row r="2683" spans="1:9" x14ac:dyDescent="0.35">
      <c r="A2683" s="2" t="s">
        <v>279</v>
      </c>
      <c r="B2683" s="3">
        <v>45078</v>
      </c>
      <c r="C2683" s="2">
        <v>21</v>
      </c>
      <c r="D2683" s="2">
        <v>30882</v>
      </c>
      <c r="E2683" s="17">
        <v>63142.080000000002</v>
      </c>
      <c r="F2683" s="11">
        <v>6.45</v>
      </c>
      <c r="G2683" s="9">
        <v>4725.2</v>
      </c>
      <c r="H2683" s="10">
        <v>0.38100000000000001</v>
      </c>
      <c r="I2683" s="11">
        <v>6.5</v>
      </c>
    </row>
    <row r="2684" spans="1:9" x14ac:dyDescent="0.35">
      <c r="A2684" s="2" t="s">
        <v>279</v>
      </c>
      <c r="B2684" s="3">
        <v>45108</v>
      </c>
      <c r="C2684" s="2">
        <v>20</v>
      </c>
      <c r="D2684" s="2">
        <v>33447</v>
      </c>
      <c r="E2684" s="17">
        <v>77721.16</v>
      </c>
      <c r="F2684" s="11">
        <v>6.55</v>
      </c>
      <c r="G2684" s="9">
        <v>5219.2</v>
      </c>
      <c r="H2684" s="10">
        <v>0.6</v>
      </c>
      <c r="I2684" s="11">
        <v>7.7</v>
      </c>
    </row>
    <row r="2685" spans="1:9" x14ac:dyDescent="0.35">
      <c r="A2685" s="2" t="s">
        <v>279</v>
      </c>
      <c r="B2685" s="3">
        <v>45139</v>
      </c>
      <c r="C2685" s="2">
        <v>19</v>
      </c>
      <c r="D2685" s="2">
        <v>23764</v>
      </c>
      <c r="E2685" s="17">
        <v>47077.36</v>
      </c>
      <c r="F2685" s="11">
        <v>6.22</v>
      </c>
      <c r="G2685" s="9">
        <v>3775.2</v>
      </c>
      <c r="H2685" s="10">
        <v>0.47399999999999998</v>
      </c>
      <c r="I2685" s="11">
        <v>6.9</v>
      </c>
    </row>
    <row r="2686" spans="1:9" x14ac:dyDescent="0.35">
      <c r="A2686" s="2" t="s">
        <v>279</v>
      </c>
      <c r="B2686" s="3">
        <v>45170</v>
      </c>
      <c r="C2686" s="2">
        <v>17</v>
      </c>
      <c r="D2686" s="2">
        <v>25051</v>
      </c>
      <c r="E2686" s="17">
        <v>52520.63</v>
      </c>
      <c r="F2686" s="11">
        <v>6.43</v>
      </c>
      <c r="G2686" s="9">
        <v>3900.9</v>
      </c>
      <c r="H2686" s="10">
        <v>0.47099999999999997</v>
      </c>
      <c r="I2686" s="11">
        <v>7.5</v>
      </c>
    </row>
    <row r="2687" spans="1:9" x14ac:dyDescent="0.35">
      <c r="A2687" s="2" t="s">
        <v>279</v>
      </c>
      <c r="B2687" s="3">
        <v>45200</v>
      </c>
      <c r="C2687" s="2">
        <v>18</v>
      </c>
      <c r="D2687" s="2">
        <v>25479</v>
      </c>
      <c r="E2687" s="17">
        <v>57237.16</v>
      </c>
      <c r="F2687" s="11">
        <v>6.76</v>
      </c>
      <c r="G2687" s="9">
        <v>3787.7</v>
      </c>
      <c r="H2687" s="10">
        <v>0.38900000000000001</v>
      </c>
      <c r="I2687" s="11">
        <v>6.1</v>
      </c>
    </row>
    <row r="2688" spans="1:9" x14ac:dyDescent="0.35">
      <c r="A2688" s="2" t="s">
        <v>279</v>
      </c>
      <c r="B2688" s="3">
        <v>45231</v>
      </c>
      <c r="C2688" s="2">
        <v>14</v>
      </c>
      <c r="D2688" s="2">
        <v>19109</v>
      </c>
      <c r="E2688" s="17">
        <v>44872.09</v>
      </c>
      <c r="F2688" s="11">
        <v>6.47</v>
      </c>
      <c r="G2688" s="9">
        <v>2945.5</v>
      </c>
      <c r="H2688" s="10">
        <v>0.214</v>
      </c>
      <c r="I2688" s="11">
        <v>6.4</v>
      </c>
    </row>
    <row r="2689" spans="1:9" x14ac:dyDescent="0.35">
      <c r="A2689" s="2" t="s">
        <v>279</v>
      </c>
      <c r="B2689" s="3">
        <v>45261</v>
      </c>
      <c r="C2689" s="2">
        <v>16</v>
      </c>
      <c r="D2689" s="2">
        <v>25682</v>
      </c>
      <c r="E2689" s="17">
        <v>58328.35</v>
      </c>
      <c r="F2689" s="11">
        <v>6.68</v>
      </c>
      <c r="G2689" s="9">
        <v>3890.1</v>
      </c>
      <c r="H2689" s="10">
        <v>0.5</v>
      </c>
      <c r="I2689" s="11">
        <v>6.5</v>
      </c>
    </row>
    <row r="2690" spans="1:9" x14ac:dyDescent="0.35">
      <c r="A2690" s="2" t="s">
        <v>279</v>
      </c>
      <c r="B2690" s="3">
        <v>45292</v>
      </c>
      <c r="C2690" s="2">
        <v>12</v>
      </c>
      <c r="D2690" s="2">
        <v>19717</v>
      </c>
      <c r="E2690" s="17">
        <v>47070.33</v>
      </c>
      <c r="F2690" s="11">
        <v>6.39</v>
      </c>
      <c r="G2690" s="9">
        <v>3153.3</v>
      </c>
      <c r="H2690" s="10">
        <v>0.16700000000000001</v>
      </c>
      <c r="I2690" s="11">
        <v>7.3</v>
      </c>
    </row>
    <row r="2691" spans="1:9" x14ac:dyDescent="0.35">
      <c r="A2691" s="2" t="s">
        <v>279</v>
      </c>
      <c r="B2691" s="3">
        <v>45323</v>
      </c>
      <c r="C2691" s="2">
        <v>14</v>
      </c>
      <c r="D2691" s="2">
        <v>22786</v>
      </c>
      <c r="E2691" s="17">
        <v>49260.97</v>
      </c>
      <c r="F2691" s="11">
        <v>6.3</v>
      </c>
      <c r="G2691" s="9">
        <v>3705.5</v>
      </c>
      <c r="H2691" s="10">
        <v>0.57099999999999995</v>
      </c>
      <c r="I2691" s="11">
        <v>7.7</v>
      </c>
    </row>
    <row r="2692" spans="1:9" x14ac:dyDescent="0.35">
      <c r="A2692" s="2" t="s">
        <v>279</v>
      </c>
      <c r="B2692" s="3">
        <v>45352</v>
      </c>
      <c r="C2692" s="2">
        <v>11</v>
      </c>
      <c r="D2692" s="2">
        <v>15564</v>
      </c>
      <c r="E2692" s="17">
        <v>30717.58</v>
      </c>
      <c r="F2692" s="11">
        <v>6.67</v>
      </c>
      <c r="G2692" s="9">
        <v>2292.5</v>
      </c>
      <c r="H2692" s="10">
        <v>0.27300000000000002</v>
      </c>
      <c r="I2692" s="11">
        <v>7.1</v>
      </c>
    </row>
    <row r="2693" spans="1:9" x14ac:dyDescent="0.35">
      <c r="A2693" s="2" t="s">
        <v>279</v>
      </c>
      <c r="B2693" s="3">
        <v>45383</v>
      </c>
      <c r="C2693" s="2">
        <v>17</v>
      </c>
      <c r="D2693" s="2">
        <v>23792</v>
      </c>
      <c r="E2693" s="17">
        <v>48277.98</v>
      </c>
      <c r="F2693" s="11">
        <v>6.51</v>
      </c>
      <c r="G2693" s="9">
        <v>3715.8</v>
      </c>
      <c r="H2693" s="10">
        <v>0.64700000000000002</v>
      </c>
      <c r="I2693" s="11">
        <v>6.8</v>
      </c>
    </row>
    <row r="2694" spans="1:9" x14ac:dyDescent="0.35">
      <c r="A2694" s="2" t="s">
        <v>279</v>
      </c>
      <c r="B2694" s="3">
        <v>45413</v>
      </c>
      <c r="C2694" s="2">
        <v>13</v>
      </c>
      <c r="D2694" s="2">
        <v>17237</v>
      </c>
      <c r="E2694" s="17">
        <v>35848.639999999999</v>
      </c>
      <c r="F2694" s="11">
        <v>6.36</v>
      </c>
      <c r="G2694" s="9">
        <v>2701.6</v>
      </c>
      <c r="H2694" s="10">
        <v>0.38500000000000001</v>
      </c>
      <c r="I2694" s="11">
        <v>7.4</v>
      </c>
    </row>
    <row r="2695" spans="1:9" x14ac:dyDescent="0.35">
      <c r="A2695" s="2" t="s">
        <v>279</v>
      </c>
      <c r="B2695" s="3">
        <v>45444</v>
      </c>
      <c r="C2695" s="2">
        <v>14</v>
      </c>
      <c r="D2695" s="2">
        <v>21484</v>
      </c>
      <c r="E2695" s="17">
        <v>38989.410000000003</v>
      </c>
      <c r="F2695" s="11">
        <v>6.65</v>
      </c>
      <c r="G2695" s="9">
        <v>3287.8</v>
      </c>
      <c r="H2695" s="10">
        <v>0.42899999999999999</v>
      </c>
      <c r="I2695" s="11">
        <v>7.3</v>
      </c>
    </row>
    <row r="2696" spans="1:9" x14ac:dyDescent="0.35">
      <c r="A2696" s="2" t="s">
        <v>279</v>
      </c>
      <c r="B2696" s="3">
        <v>45474</v>
      </c>
      <c r="C2696" s="2">
        <v>10</v>
      </c>
      <c r="D2696" s="2">
        <v>16525</v>
      </c>
      <c r="E2696" s="17">
        <v>37358.370000000003</v>
      </c>
      <c r="F2696" s="11">
        <v>6.35</v>
      </c>
      <c r="G2696" s="9">
        <v>2664.9</v>
      </c>
      <c r="H2696" s="10">
        <v>0.4</v>
      </c>
      <c r="I2696" s="11">
        <v>6.8</v>
      </c>
    </row>
    <row r="2697" spans="1:9" x14ac:dyDescent="0.35">
      <c r="A2697" s="2" t="s">
        <v>279</v>
      </c>
      <c r="B2697" s="3">
        <v>45505</v>
      </c>
      <c r="C2697" s="2">
        <v>19</v>
      </c>
      <c r="D2697" s="2">
        <v>25350</v>
      </c>
      <c r="E2697" s="17">
        <v>53993.46</v>
      </c>
      <c r="F2697" s="11">
        <v>6.53</v>
      </c>
      <c r="G2697" s="9">
        <v>3947.9</v>
      </c>
      <c r="H2697" s="10">
        <v>0.36799999999999999</v>
      </c>
      <c r="I2697" s="11">
        <v>5.7</v>
      </c>
    </row>
    <row r="2698" spans="1:9" x14ac:dyDescent="0.35">
      <c r="A2698" s="2" t="s">
        <v>279</v>
      </c>
      <c r="B2698" s="3">
        <v>45536</v>
      </c>
      <c r="C2698" s="2">
        <v>11</v>
      </c>
      <c r="D2698" s="2">
        <v>21385</v>
      </c>
      <c r="E2698" s="17">
        <v>52326.59</v>
      </c>
      <c r="F2698" s="11">
        <v>6.59</v>
      </c>
      <c r="G2698" s="9">
        <v>3283</v>
      </c>
      <c r="H2698" s="10">
        <v>0.45500000000000002</v>
      </c>
      <c r="I2698" s="11">
        <v>5.2</v>
      </c>
    </row>
    <row r="2699" spans="1:9" x14ac:dyDescent="0.35">
      <c r="A2699" s="2" t="s">
        <v>279</v>
      </c>
      <c r="B2699" s="3">
        <v>45566</v>
      </c>
      <c r="C2699" s="2">
        <v>15</v>
      </c>
      <c r="D2699" s="2">
        <v>24138</v>
      </c>
      <c r="E2699" s="17">
        <v>53278.75</v>
      </c>
      <c r="F2699" s="11">
        <v>6.49</v>
      </c>
      <c r="G2699" s="9">
        <v>3726.2</v>
      </c>
      <c r="H2699" s="10">
        <v>0.53300000000000003</v>
      </c>
      <c r="I2699" s="11">
        <v>7.8</v>
      </c>
    </row>
    <row r="2700" spans="1:9" x14ac:dyDescent="0.35">
      <c r="A2700" s="2" t="s">
        <v>279</v>
      </c>
      <c r="B2700" s="3">
        <v>45597</v>
      </c>
      <c r="C2700" s="2">
        <v>16</v>
      </c>
      <c r="D2700" s="2">
        <v>22789</v>
      </c>
      <c r="E2700" s="17">
        <v>54590.5</v>
      </c>
      <c r="F2700" s="11">
        <v>6.6</v>
      </c>
      <c r="G2700" s="9">
        <v>3531.2</v>
      </c>
      <c r="H2700" s="10">
        <v>0.5</v>
      </c>
      <c r="I2700" s="11">
        <v>7.7</v>
      </c>
    </row>
    <row r="2701" spans="1:9" x14ac:dyDescent="0.35">
      <c r="A2701" s="2" t="s">
        <v>279</v>
      </c>
      <c r="B2701" s="3">
        <v>45627</v>
      </c>
      <c r="C2701" s="2">
        <v>23</v>
      </c>
      <c r="D2701" s="2">
        <v>31065</v>
      </c>
      <c r="E2701" s="17">
        <v>68919.100000000006</v>
      </c>
      <c r="F2701" s="11">
        <v>6.63</v>
      </c>
      <c r="G2701" s="9">
        <v>4646.7</v>
      </c>
      <c r="H2701" s="10">
        <v>0.56499999999999995</v>
      </c>
      <c r="I2701" s="11">
        <v>7.6</v>
      </c>
    </row>
    <row r="2702" spans="1:9" x14ac:dyDescent="0.35">
      <c r="A2702" s="2" t="s">
        <v>282</v>
      </c>
      <c r="B2702" s="3">
        <v>44562</v>
      </c>
      <c r="C2702" s="2">
        <v>28</v>
      </c>
      <c r="D2702" s="2">
        <v>43049</v>
      </c>
      <c r="E2702" s="17">
        <v>89942.88</v>
      </c>
      <c r="F2702" s="11">
        <v>6.66</v>
      </c>
      <c r="G2702" s="9">
        <v>6538.8</v>
      </c>
      <c r="H2702" s="10">
        <v>0.39300000000000002</v>
      </c>
      <c r="I2702" s="11">
        <v>7</v>
      </c>
    </row>
    <row r="2703" spans="1:9" x14ac:dyDescent="0.35">
      <c r="A2703" s="2" t="s">
        <v>282</v>
      </c>
      <c r="B2703" s="3">
        <v>44593</v>
      </c>
      <c r="C2703" s="2">
        <v>21</v>
      </c>
      <c r="D2703" s="2">
        <v>30255</v>
      </c>
      <c r="E2703" s="17">
        <v>60090.81</v>
      </c>
      <c r="F2703" s="11">
        <v>6.47</v>
      </c>
      <c r="G2703" s="9">
        <v>4680.3999999999996</v>
      </c>
      <c r="H2703" s="10">
        <v>0.38100000000000001</v>
      </c>
      <c r="I2703" s="11">
        <v>7.1</v>
      </c>
    </row>
    <row r="2704" spans="1:9" x14ac:dyDescent="0.35">
      <c r="A2704" s="2" t="s">
        <v>282</v>
      </c>
      <c r="B2704" s="3">
        <v>44621</v>
      </c>
      <c r="C2704" s="2">
        <v>12</v>
      </c>
      <c r="D2704" s="2">
        <v>15524</v>
      </c>
      <c r="E2704" s="17">
        <v>33217.300000000003</v>
      </c>
      <c r="F2704" s="11">
        <v>6.26</v>
      </c>
      <c r="G2704" s="9">
        <v>2526.1</v>
      </c>
      <c r="H2704" s="10">
        <v>0.33300000000000002</v>
      </c>
      <c r="I2704" s="11">
        <v>9.1</v>
      </c>
    </row>
    <row r="2705" spans="1:9" x14ac:dyDescent="0.35">
      <c r="A2705" s="2" t="s">
        <v>282</v>
      </c>
      <c r="B2705" s="3">
        <v>44652</v>
      </c>
      <c r="C2705" s="2">
        <v>21</v>
      </c>
      <c r="D2705" s="2">
        <v>30146</v>
      </c>
      <c r="E2705" s="17">
        <v>60466.93</v>
      </c>
      <c r="F2705" s="11">
        <v>6.59</v>
      </c>
      <c r="G2705" s="9">
        <v>4549.3</v>
      </c>
      <c r="H2705" s="10">
        <v>0.28599999999999998</v>
      </c>
      <c r="I2705" s="11">
        <v>6.4</v>
      </c>
    </row>
    <row r="2706" spans="1:9" x14ac:dyDescent="0.35">
      <c r="A2706" s="2" t="s">
        <v>282</v>
      </c>
      <c r="B2706" s="3">
        <v>44682</v>
      </c>
      <c r="C2706" s="2">
        <v>16</v>
      </c>
      <c r="D2706" s="2">
        <v>17526</v>
      </c>
      <c r="E2706" s="17">
        <v>39227.21</v>
      </c>
      <c r="F2706" s="11">
        <v>6.55</v>
      </c>
      <c r="G2706" s="9">
        <v>2664.2</v>
      </c>
      <c r="H2706" s="10">
        <v>0.438</v>
      </c>
      <c r="I2706" s="11">
        <v>5.7</v>
      </c>
    </row>
    <row r="2707" spans="1:9" x14ac:dyDescent="0.35">
      <c r="A2707" s="2" t="s">
        <v>282</v>
      </c>
      <c r="B2707" s="3">
        <v>44713</v>
      </c>
      <c r="C2707" s="2">
        <v>15</v>
      </c>
      <c r="D2707" s="2">
        <v>20660</v>
      </c>
      <c r="E2707" s="17">
        <v>42361.02</v>
      </c>
      <c r="F2707" s="11">
        <v>6.77</v>
      </c>
      <c r="G2707" s="9">
        <v>3032.3</v>
      </c>
      <c r="H2707" s="10">
        <v>0.6</v>
      </c>
      <c r="I2707" s="11">
        <v>6.7</v>
      </c>
    </row>
    <row r="2708" spans="1:9" x14ac:dyDescent="0.35">
      <c r="A2708" s="2" t="s">
        <v>282</v>
      </c>
      <c r="B2708" s="3">
        <v>44743</v>
      </c>
      <c r="C2708" s="2">
        <v>26</v>
      </c>
      <c r="D2708" s="2">
        <v>34911</v>
      </c>
      <c r="E2708" s="17">
        <v>70085.83</v>
      </c>
      <c r="F2708" s="11">
        <v>6.64</v>
      </c>
      <c r="G2708" s="9">
        <v>5351.8</v>
      </c>
      <c r="H2708" s="10">
        <v>0.57699999999999996</v>
      </c>
      <c r="I2708" s="11">
        <v>6.9</v>
      </c>
    </row>
    <row r="2709" spans="1:9" x14ac:dyDescent="0.35">
      <c r="A2709" s="2" t="s">
        <v>282</v>
      </c>
      <c r="B2709" s="3">
        <v>44774</v>
      </c>
      <c r="C2709" s="2">
        <v>25</v>
      </c>
      <c r="D2709" s="2">
        <v>34636</v>
      </c>
      <c r="E2709" s="17">
        <v>72262.38</v>
      </c>
      <c r="F2709" s="11">
        <v>6.55</v>
      </c>
      <c r="G2709" s="9">
        <v>5205.5</v>
      </c>
      <c r="H2709" s="10">
        <v>0.52</v>
      </c>
      <c r="I2709" s="11">
        <v>7.2</v>
      </c>
    </row>
    <row r="2710" spans="1:9" x14ac:dyDescent="0.35">
      <c r="A2710" s="2" t="s">
        <v>282</v>
      </c>
      <c r="B2710" s="3">
        <v>44805</v>
      </c>
      <c r="C2710" s="2">
        <v>14</v>
      </c>
      <c r="D2710" s="2">
        <v>19435</v>
      </c>
      <c r="E2710" s="17">
        <v>42149.1</v>
      </c>
      <c r="F2710" s="11">
        <v>6.7</v>
      </c>
      <c r="G2710" s="9">
        <v>2884.3</v>
      </c>
      <c r="H2710" s="10">
        <v>0.214</v>
      </c>
      <c r="I2710" s="11">
        <v>6.9</v>
      </c>
    </row>
    <row r="2711" spans="1:9" x14ac:dyDescent="0.35">
      <c r="A2711" s="2" t="s">
        <v>282</v>
      </c>
      <c r="B2711" s="3">
        <v>44835</v>
      </c>
      <c r="C2711" s="2">
        <v>24</v>
      </c>
      <c r="D2711" s="2">
        <v>31132</v>
      </c>
      <c r="E2711" s="17">
        <v>69602.039999999994</v>
      </c>
      <c r="F2711" s="11">
        <v>6.48</v>
      </c>
      <c r="G2711" s="9">
        <v>4710.8999999999996</v>
      </c>
      <c r="H2711" s="10">
        <v>0.45800000000000002</v>
      </c>
      <c r="I2711" s="11">
        <v>6.7</v>
      </c>
    </row>
    <row r="2712" spans="1:9" x14ac:dyDescent="0.35">
      <c r="A2712" s="2" t="s">
        <v>282</v>
      </c>
      <c r="B2712" s="3">
        <v>44866</v>
      </c>
      <c r="C2712" s="2">
        <v>19</v>
      </c>
      <c r="D2712" s="2">
        <v>26960</v>
      </c>
      <c r="E2712" s="17">
        <v>62448.79</v>
      </c>
      <c r="F2712" s="11">
        <v>6.67</v>
      </c>
      <c r="G2712" s="9">
        <v>4053</v>
      </c>
      <c r="H2712" s="10">
        <v>0.47399999999999998</v>
      </c>
      <c r="I2712" s="11">
        <v>7.8</v>
      </c>
    </row>
    <row r="2713" spans="1:9" x14ac:dyDescent="0.35">
      <c r="A2713" s="2" t="s">
        <v>282</v>
      </c>
      <c r="B2713" s="3">
        <v>44896</v>
      </c>
      <c r="C2713" s="2">
        <v>18</v>
      </c>
      <c r="D2713" s="2">
        <v>28470</v>
      </c>
      <c r="E2713" s="17">
        <v>63406.91</v>
      </c>
      <c r="F2713" s="11">
        <v>6.46</v>
      </c>
      <c r="G2713" s="9">
        <v>4371.2</v>
      </c>
      <c r="H2713" s="10">
        <v>0.5</v>
      </c>
      <c r="I2713" s="11">
        <v>7</v>
      </c>
    </row>
    <row r="2714" spans="1:9" x14ac:dyDescent="0.35">
      <c r="A2714" s="2" t="s">
        <v>282</v>
      </c>
      <c r="B2714" s="3">
        <v>44927</v>
      </c>
      <c r="C2714" s="2">
        <v>20</v>
      </c>
      <c r="D2714" s="2">
        <v>28223</v>
      </c>
      <c r="E2714" s="17">
        <v>63985.33</v>
      </c>
      <c r="F2714" s="11">
        <v>6.47</v>
      </c>
      <c r="G2714" s="9">
        <v>4476.8</v>
      </c>
      <c r="H2714" s="10">
        <v>0.45</v>
      </c>
      <c r="I2714" s="11">
        <v>7.3</v>
      </c>
    </row>
    <row r="2715" spans="1:9" x14ac:dyDescent="0.35">
      <c r="A2715" s="2" t="s">
        <v>282</v>
      </c>
      <c r="B2715" s="3">
        <v>44958</v>
      </c>
      <c r="C2715" s="2">
        <v>20</v>
      </c>
      <c r="D2715" s="2">
        <v>27090</v>
      </c>
      <c r="E2715" s="17">
        <v>57077.78</v>
      </c>
      <c r="F2715" s="11">
        <v>6.36</v>
      </c>
      <c r="G2715" s="9">
        <v>4218.8999999999996</v>
      </c>
      <c r="H2715" s="10">
        <v>0.4</v>
      </c>
      <c r="I2715" s="11">
        <v>7.4</v>
      </c>
    </row>
    <row r="2716" spans="1:9" x14ac:dyDescent="0.35">
      <c r="A2716" s="2" t="s">
        <v>282</v>
      </c>
      <c r="B2716" s="3">
        <v>44986</v>
      </c>
      <c r="C2716" s="2">
        <v>25</v>
      </c>
      <c r="D2716" s="2">
        <v>42959</v>
      </c>
      <c r="E2716" s="17">
        <v>91219.62</v>
      </c>
      <c r="F2716" s="11">
        <v>6.55</v>
      </c>
      <c r="G2716" s="9">
        <v>6624.9</v>
      </c>
      <c r="H2716" s="10">
        <v>0.44</v>
      </c>
      <c r="I2716" s="11">
        <v>7.3</v>
      </c>
    </row>
    <row r="2717" spans="1:9" x14ac:dyDescent="0.35">
      <c r="A2717" s="2" t="s">
        <v>282</v>
      </c>
      <c r="B2717" s="3">
        <v>45017</v>
      </c>
      <c r="C2717" s="2">
        <v>25</v>
      </c>
      <c r="D2717" s="2">
        <v>38331</v>
      </c>
      <c r="E2717" s="17">
        <v>78072.56</v>
      </c>
      <c r="F2717" s="11">
        <v>6.28</v>
      </c>
      <c r="G2717" s="9">
        <v>6196.1</v>
      </c>
      <c r="H2717" s="10">
        <v>0.52</v>
      </c>
      <c r="I2717" s="11">
        <v>7</v>
      </c>
    </row>
    <row r="2718" spans="1:9" x14ac:dyDescent="0.35">
      <c r="A2718" s="2" t="s">
        <v>282</v>
      </c>
      <c r="B2718" s="3">
        <v>45047</v>
      </c>
      <c r="C2718" s="2">
        <v>24</v>
      </c>
      <c r="D2718" s="2">
        <v>35180</v>
      </c>
      <c r="E2718" s="17">
        <v>75615.98</v>
      </c>
      <c r="F2718" s="11">
        <v>6.41</v>
      </c>
      <c r="G2718" s="9">
        <v>5492.6</v>
      </c>
      <c r="H2718" s="10">
        <v>0.33300000000000002</v>
      </c>
      <c r="I2718" s="11">
        <v>7</v>
      </c>
    </row>
    <row r="2719" spans="1:9" x14ac:dyDescent="0.35">
      <c r="A2719" s="2" t="s">
        <v>282</v>
      </c>
      <c r="B2719" s="3">
        <v>45078</v>
      </c>
      <c r="C2719" s="2">
        <v>16</v>
      </c>
      <c r="D2719" s="2">
        <v>15785</v>
      </c>
      <c r="E2719" s="17">
        <v>37471.379999999997</v>
      </c>
      <c r="F2719" s="11">
        <v>6.61</v>
      </c>
      <c r="G2719" s="9">
        <v>2407.3000000000002</v>
      </c>
      <c r="H2719" s="10">
        <v>0.25</v>
      </c>
      <c r="I2719" s="11">
        <v>6.4</v>
      </c>
    </row>
    <row r="2720" spans="1:9" x14ac:dyDescent="0.35">
      <c r="A2720" s="2" t="s">
        <v>282</v>
      </c>
      <c r="B2720" s="3">
        <v>45108</v>
      </c>
      <c r="C2720" s="2">
        <v>23</v>
      </c>
      <c r="D2720" s="2">
        <v>25396</v>
      </c>
      <c r="E2720" s="17">
        <v>51002.17</v>
      </c>
      <c r="F2720" s="11">
        <v>6.51</v>
      </c>
      <c r="G2720" s="9">
        <v>3999</v>
      </c>
      <c r="H2720" s="10">
        <v>0.52200000000000002</v>
      </c>
      <c r="I2720" s="11">
        <v>6.1</v>
      </c>
    </row>
    <row r="2721" spans="1:9" x14ac:dyDescent="0.35">
      <c r="A2721" s="2" t="s">
        <v>282</v>
      </c>
      <c r="B2721" s="3">
        <v>45139</v>
      </c>
      <c r="C2721" s="2">
        <v>20</v>
      </c>
      <c r="D2721" s="2">
        <v>28113</v>
      </c>
      <c r="E2721" s="17">
        <v>60912.78</v>
      </c>
      <c r="F2721" s="11">
        <v>6.47</v>
      </c>
      <c r="G2721" s="9">
        <v>4329.5</v>
      </c>
      <c r="H2721" s="10">
        <v>0.45</v>
      </c>
      <c r="I2721" s="11">
        <v>8.1999999999999993</v>
      </c>
    </row>
    <row r="2722" spans="1:9" x14ac:dyDescent="0.35">
      <c r="A2722" s="2" t="s">
        <v>282</v>
      </c>
      <c r="B2722" s="3">
        <v>45170</v>
      </c>
      <c r="C2722" s="2">
        <v>17</v>
      </c>
      <c r="D2722" s="2">
        <v>22692</v>
      </c>
      <c r="E2722" s="17">
        <v>46693.58</v>
      </c>
      <c r="F2722" s="11">
        <v>6.68</v>
      </c>
      <c r="G2722" s="9">
        <v>3420.2</v>
      </c>
      <c r="H2722" s="10">
        <v>0.35299999999999998</v>
      </c>
      <c r="I2722" s="11">
        <v>6.7</v>
      </c>
    </row>
    <row r="2723" spans="1:9" x14ac:dyDescent="0.35">
      <c r="A2723" s="2" t="s">
        <v>282</v>
      </c>
      <c r="B2723" s="3">
        <v>45200</v>
      </c>
      <c r="C2723" s="2">
        <v>23</v>
      </c>
      <c r="D2723" s="2">
        <v>30901</v>
      </c>
      <c r="E2723" s="17">
        <v>65057.17</v>
      </c>
      <c r="F2723" s="11">
        <v>6.47</v>
      </c>
      <c r="G2723" s="9">
        <v>4716.3</v>
      </c>
      <c r="H2723" s="10">
        <v>0.52200000000000002</v>
      </c>
      <c r="I2723" s="11">
        <v>7.1</v>
      </c>
    </row>
    <row r="2724" spans="1:9" x14ac:dyDescent="0.35">
      <c r="A2724" s="2" t="s">
        <v>282</v>
      </c>
      <c r="B2724" s="3">
        <v>45231</v>
      </c>
      <c r="C2724" s="2">
        <v>16</v>
      </c>
      <c r="D2724" s="2">
        <v>26931</v>
      </c>
      <c r="E2724" s="17">
        <v>58095.73</v>
      </c>
      <c r="F2724" s="11">
        <v>6.42</v>
      </c>
      <c r="G2724" s="9">
        <v>4253.5</v>
      </c>
      <c r="H2724" s="10">
        <v>0.438</v>
      </c>
      <c r="I2724" s="11">
        <v>8.1999999999999993</v>
      </c>
    </row>
    <row r="2725" spans="1:9" x14ac:dyDescent="0.35">
      <c r="A2725" s="2" t="s">
        <v>282</v>
      </c>
      <c r="B2725" s="3">
        <v>45261</v>
      </c>
      <c r="C2725" s="2">
        <v>14</v>
      </c>
      <c r="D2725" s="2">
        <v>28289</v>
      </c>
      <c r="E2725" s="17">
        <v>64682.05</v>
      </c>
      <c r="F2725" s="11">
        <v>6.27</v>
      </c>
      <c r="G2725" s="9">
        <v>4600.6000000000004</v>
      </c>
      <c r="H2725" s="10">
        <v>0.14299999999999999</v>
      </c>
      <c r="I2725" s="11">
        <v>6.4</v>
      </c>
    </row>
    <row r="2726" spans="1:9" x14ac:dyDescent="0.35">
      <c r="A2726" s="2" t="s">
        <v>282</v>
      </c>
      <c r="B2726" s="3">
        <v>45292</v>
      </c>
      <c r="C2726" s="2">
        <v>23</v>
      </c>
      <c r="D2726" s="2">
        <v>33491</v>
      </c>
      <c r="E2726" s="17">
        <v>73650.91</v>
      </c>
      <c r="F2726" s="11">
        <v>6.45</v>
      </c>
      <c r="G2726" s="9">
        <v>5359.4</v>
      </c>
      <c r="H2726" s="10">
        <v>0.435</v>
      </c>
      <c r="I2726" s="11">
        <v>6.3</v>
      </c>
    </row>
    <row r="2727" spans="1:9" x14ac:dyDescent="0.35">
      <c r="A2727" s="2" t="s">
        <v>282</v>
      </c>
      <c r="B2727" s="3">
        <v>45323</v>
      </c>
      <c r="C2727" s="2">
        <v>12</v>
      </c>
      <c r="D2727" s="2">
        <v>17918</v>
      </c>
      <c r="E2727" s="17">
        <v>38358.11</v>
      </c>
      <c r="F2727" s="11">
        <v>6.43</v>
      </c>
      <c r="G2727" s="9">
        <v>2893.1</v>
      </c>
      <c r="H2727" s="10">
        <v>0.33300000000000002</v>
      </c>
      <c r="I2727" s="11">
        <v>8.1999999999999993</v>
      </c>
    </row>
    <row r="2728" spans="1:9" x14ac:dyDescent="0.35">
      <c r="A2728" s="2" t="s">
        <v>282</v>
      </c>
      <c r="B2728" s="3">
        <v>45352</v>
      </c>
      <c r="C2728" s="2">
        <v>14</v>
      </c>
      <c r="D2728" s="2">
        <v>19654</v>
      </c>
      <c r="E2728" s="17">
        <v>39974.14</v>
      </c>
      <c r="F2728" s="11">
        <v>6.26</v>
      </c>
      <c r="G2728" s="9">
        <v>3168.4</v>
      </c>
      <c r="H2728" s="10">
        <v>0.28599999999999998</v>
      </c>
      <c r="I2728" s="11">
        <v>7.7</v>
      </c>
    </row>
    <row r="2729" spans="1:9" x14ac:dyDescent="0.35">
      <c r="A2729" s="2" t="s">
        <v>282</v>
      </c>
      <c r="B2729" s="3">
        <v>45383</v>
      </c>
      <c r="C2729" s="2">
        <v>15</v>
      </c>
      <c r="D2729" s="2">
        <v>17835</v>
      </c>
      <c r="E2729" s="17">
        <v>39541.25</v>
      </c>
      <c r="F2729" s="11">
        <v>6.47</v>
      </c>
      <c r="G2729" s="9">
        <v>2730.8</v>
      </c>
      <c r="H2729" s="10">
        <v>0.46700000000000003</v>
      </c>
      <c r="I2729" s="11">
        <v>7.4</v>
      </c>
    </row>
    <row r="2730" spans="1:9" x14ac:dyDescent="0.35">
      <c r="A2730" s="2" t="s">
        <v>282</v>
      </c>
      <c r="B2730" s="3">
        <v>45413</v>
      </c>
      <c r="C2730" s="2">
        <v>16</v>
      </c>
      <c r="D2730" s="2">
        <v>22487</v>
      </c>
      <c r="E2730" s="17">
        <v>52515.78</v>
      </c>
      <c r="F2730" s="11">
        <v>6.62</v>
      </c>
      <c r="G2730" s="9">
        <v>3419.4</v>
      </c>
      <c r="H2730" s="10">
        <v>0.375</v>
      </c>
      <c r="I2730" s="11">
        <v>7.8</v>
      </c>
    </row>
    <row r="2731" spans="1:9" x14ac:dyDescent="0.35">
      <c r="A2731" s="2" t="s">
        <v>282</v>
      </c>
      <c r="B2731" s="3">
        <v>45444</v>
      </c>
      <c r="C2731" s="2">
        <v>26</v>
      </c>
      <c r="D2731" s="2">
        <v>38132</v>
      </c>
      <c r="E2731" s="17">
        <v>80710.899999999994</v>
      </c>
      <c r="F2731" s="11">
        <v>6.29</v>
      </c>
      <c r="G2731" s="9">
        <v>6117.3</v>
      </c>
      <c r="H2731" s="10">
        <v>0.57699999999999996</v>
      </c>
      <c r="I2731" s="11">
        <v>7.7</v>
      </c>
    </row>
    <row r="2732" spans="1:9" x14ac:dyDescent="0.35">
      <c r="A2732" s="2" t="s">
        <v>282</v>
      </c>
      <c r="B2732" s="3">
        <v>45474</v>
      </c>
      <c r="C2732" s="2">
        <v>24</v>
      </c>
      <c r="D2732" s="2">
        <v>31557</v>
      </c>
      <c r="E2732" s="17">
        <v>65345.760000000002</v>
      </c>
      <c r="F2732" s="11">
        <v>6.28</v>
      </c>
      <c r="G2732" s="9">
        <v>5132</v>
      </c>
      <c r="H2732" s="10">
        <v>0.375</v>
      </c>
      <c r="I2732" s="11">
        <v>6.8</v>
      </c>
    </row>
    <row r="2733" spans="1:9" x14ac:dyDescent="0.35">
      <c r="A2733" s="2" t="s">
        <v>282</v>
      </c>
      <c r="B2733" s="3">
        <v>45505</v>
      </c>
      <c r="C2733" s="2">
        <v>23</v>
      </c>
      <c r="D2733" s="2">
        <v>33631</v>
      </c>
      <c r="E2733" s="17">
        <v>70263.67</v>
      </c>
      <c r="F2733" s="11">
        <v>6.38</v>
      </c>
      <c r="G2733" s="9">
        <v>5288.9</v>
      </c>
      <c r="H2733" s="10">
        <v>0.435</v>
      </c>
      <c r="I2733" s="11">
        <v>7.2</v>
      </c>
    </row>
    <row r="2734" spans="1:9" x14ac:dyDescent="0.35">
      <c r="A2734" s="2" t="s">
        <v>282</v>
      </c>
      <c r="B2734" s="3">
        <v>45536</v>
      </c>
      <c r="C2734" s="2">
        <v>16</v>
      </c>
      <c r="D2734" s="2">
        <v>25968</v>
      </c>
      <c r="E2734" s="17">
        <v>48988.82</v>
      </c>
      <c r="F2734" s="11">
        <v>6.73</v>
      </c>
      <c r="G2734" s="9">
        <v>3884.4</v>
      </c>
      <c r="H2734" s="10">
        <v>0.625</v>
      </c>
      <c r="I2734" s="11">
        <v>7.7</v>
      </c>
    </row>
    <row r="2735" spans="1:9" x14ac:dyDescent="0.35">
      <c r="A2735" s="2" t="s">
        <v>282</v>
      </c>
      <c r="B2735" s="3">
        <v>45566</v>
      </c>
      <c r="C2735" s="2">
        <v>18</v>
      </c>
      <c r="D2735" s="2">
        <v>31567</v>
      </c>
      <c r="E2735" s="17">
        <v>71662.63</v>
      </c>
      <c r="F2735" s="11">
        <v>6.59</v>
      </c>
      <c r="G2735" s="9">
        <v>4915.8999999999996</v>
      </c>
      <c r="H2735" s="10">
        <v>0.27800000000000002</v>
      </c>
      <c r="I2735" s="11">
        <v>7</v>
      </c>
    </row>
    <row r="2736" spans="1:9" x14ac:dyDescent="0.35">
      <c r="A2736" s="2" t="s">
        <v>282</v>
      </c>
      <c r="B2736" s="3">
        <v>45597</v>
      </c>
      <c r="C2736" s="2">
        <v>22</v>
      </c>
      <c r="D2736" s="2">
        <v>35828</v>
      </c>
      <c r="E2736" s="17">
        <v>81647.960000000006</v>
      </c>
      <c r="F2736" s="11">
        <v>6.37</v>
      </c>
      <c r="G2736" s="9">
        <v>5663.6</v>
      </c>
      <c r="H2736" s="10">
        <v>0.59099999999999997</v>
      </c>
      <c r="I2736" s="11">
        <v>8.1</v>
      </c>
    </row>
    <row r="2737" spans="1:9" x14ac:dyDescent="0.35">
      <c r="A2737" s="2" t="s">
        <v>282</v>
      </c>
      <c r="B2737" s="3">
        <v>45627</v>
      </c>
      <c r="C2737" s="2">
        <v>20</v>
      </c>
      <c r="D2737" s="2">
        <v>28284</v>
      </c>
      <c r="E2737" s="17">
        <v>56122.28</v>
      </c>
      <c r="F2737" s="11">
        <v>6.65</v>
      </c>
      <c r="G2737" s="9">
        <v>4315.1000000000004</v>
      </c>
      <c r="H2737" s="10">
        <v>0.4</v>
      </c>
      <c r="I2737" s="11">
        <v>7.2</v>
      </c>
    </row>
    <row r="2738" spans="1:9" x14ac:dyDescent="0.35">
      <c r="A2738" s="2" t="s">
        <v>287</v>
      </c>
      <c r="B2738" s="3">
        <v>44562</v>
      </c>
      <c r="C2738" s="2">
        <v>21</v>
      </c>
      <c r="D2738" s="2">
        <v>27189</v>
      </c>
      <c r="E2738" s="17">
        <v>54625.23</v>
      </c>
      <c r="F2738" s="11">
        <v>6.51</v>
      </c>
      <c r="G2738" s="9">
        <v>4234.5</v>
      </c>
      <c r="H2738" s="10">
        <v>0.42899999999999999</v>
      </c>
      <c r="I2738" s="11">
        <v>7</v>
      </c>
    </row>
    <row r="2739" spans="1:9" x14ac:dyDescent="0.35">
      <c r="A2739" s="2" t="s">
        <v>287</v>
      </c>
      <c r="B2739" s="3">
        <v>44593</v>
      </c>
      <c r="C2739" s="2">
        <v>18</v>
      </c>
      <c r="D2739" s="2">
        <v>29222</v>
      </c>
      <c r="E2739" s="17">
        <v>63071.25</v>
      </c>
      <c r="F2739" s="11">
        <v>6.37</v>
      </c>
      <c r="G2739" s="9">
        <v>4585.8999999999996</v>
      </c>
      <c r="H2739" s="10">
        <v>0.44400000000000001</v>
      </c>
      <c r="I2739" s="11">
        <v>7.3</v>
      </c>
    </row>
    <row r="2740" spans="1:9" x14ac:dyDescent="0.35">
      <c r="A2740" s="2" t="s">
        <v>287</v>
      </c>
      <c r="B2740" s="3">
        <v>44621</v>
      </c>
      <c r="C2740" s="2">
        <v>22</v>
      </c>
      <c r="D2740" s="2">
        <v>37341</v>
      </c>
      <c r="E2740" s="17">
        <v>83203.34</v>
      </c>
      <c r="F2740" s="11">
        <v>6.67</v>
      </c>
      <c r="G2740" s="9">
        <v>5716</v>
      </c>
      <c r="H2740" s="10">
        <v>0.5</v>
      </c>
      <c r="I2740" s="11">
        <v>6.7</v>
      </c>
    </row>
    <row r="2741" spans="1:9" x14ac:dyDescent="0.35">
      <c r="A2741" s="2" t="s">
        <v>287</v>
      </c>
      <c r="B2741" s="3">
        <v>44652</v>
      </c>
      <c r="C2741" s="2">
        <v>19</v>
      </c>
      <c r="D2741" s="2">
        <v>28283</v>
      </c>
      <c r="E2741" s="17">
        <v>66744.86</v>
      </c>
      <c r="F2741" s="11">
        <v>6.6</v>
      </c>
      <c r="G2741" s="9">
        <v>4315.8999999999996</v>
      </c>
      <c r="H2741" s="10">
        <v>0.26300000000000001</v>
      </c>
      <c r="I2741" s="11">
        <v>6.8</v>
      </c>
    </row>
    <row r="2742" spans="1:9" x14ac:dyDescent="0.35">
      <c r="A2742" s="2" t="s">
        <v>287</v>
      </c>
      <c r="B2742" s="3">
        <v>44682</v>
      </c>
      <c r="C2742" s="2">
        <v>23</v>
      </c>
      <c r="D2742" s="2">
        <v>38566</v>
      </c>
      <c r="E2742" s="17">
        <v>83794.259999999995</v>
      </c>
      <c r="F2742" s="11">
        <v>6.72</v>
      </c>
      <c r="G2742" s="9">
        <v>5794.1</v>
      </c>
      <c r="H2742" s="10">
        <v>0.435</v>
      </c>
      <c r="I2742" s="11">
        <v>6.8</v>
      </c>
    </row>
    <row r="2743" spans="1:9" x14ac:dyDescent="0.35">
      <c r="A2743" s="2" t="s">
        <v>287</v>
      </c>
      <c r="B2743" s="3">
        <v>44713</v>
      </c>
      <c r="C2743" s="2">
        <v>19</v>
      </c>
      <c r="D2743" s="2">
        <v>27777</v>
      </c>
      <c r="E2743" s="17">
        <v>60102.89</v>
      </c>
      <c r="F2743" s="11">
        <v>6.51</v>
      </c>
      <c r="G2743" s="9">
        <v>4329</v>
      </c>
      <c r="H2743" s="10">
        <v>0.68400000000000005</v>
      </c>
      <c r="I2743" s="11">
        <v>7</v>
      </c>
    </row>
    <row r="2744" spans="1:9" x14ac:dyDescent="0.35">
      <c r="A2744" s="2" t="s">
        <v>287</v>
      </c>
      <c r="B2744" s="3">
        <v>44743</v>
      </c>
      <c r="C2744" s="2">
        <v>19</v>
      </c>
      <c r="D2744" s="2">
        <v>24994</v>
      </c>
      <c r="E2744" s="17">
        <v>51940.84</v>
      </c>
      <c r="F2744" s="11">
        <v>6.35</v>
      </c>
      <c r="G2744" s="9">
        <v>4087.9</v>
      </c>
      <c r="H2744" s="10">
        <v>0.316</v>
      </c>
      <c r="I2744" s="11">
        <v>6.2</v>
      </c>
    </row>
    <row r="2745" spans="1:9" x14ac:dyDescent="0.35">
      <c r="A2745" s="2" t="s">
        <v>287</v>
      </c>
      <c r="B2745" s="3">
        <v>44774</v>
      </c>
      <c r="C2745" s="2">
        <v>22</v>
      </c>
      <c r="D2745" s="2">
        <v>32754</v>
      </c>
      <c r="E2745" s="17">
        <v>70975.600000000006</v>
      </c>
      <c r="F2745" s="11">
        <v>6.59</v>
      </c>
      <c r="G2745" s="9">
        <v>4990.1000000000004</v>
      </c>
      <c r="H2745" s="10">
        <v>0.63600000000000001</v>
      </c>
      <c r="I2745" s="11">
        <v>5.9</v>
      </c>
    </row>
    <row r="2746" spans="1:9" x14ac:dyDescent="0.35">
      <c r="A2746" s="2" t="s">
        <v>287</v>
      </c>
      <c r="B2746" s="3">
        <v>44805</v>
      </c>
      <c r="C2746" s="2">
        <v>19</v>
      </c>
      <c r="D2746" s="2">
        <v>26277</v>
      </c>
      <c r="E2746" s="17">
        <v>57181.09</v>
      </c>
      <c r="F2746" s="11">
        <v>6.51</v>
      </c>
      <c r="G2746" s="9">
        <v>4065</v>
      </c>
      <c r="H2746" s="10">
        <v>0.47399999999999998</v>
      </c>
      <c r="I2746" s="11">
        <v>7</v>
      </c>
    </row>
    <row r="2747" spans="1:9" x14ac:dyDescent="0.35">
      <c r="A2747" s="2" t="s">
        <v>287</v>
      </c>
      <c r="B2747" s="3">
        <v>44835</v>
      </c>
      <c r="C2747" s="2">
        <v>19</v>
      </c>
      <c r="D2747" s="2">
        <v>29407</v>
      </c>
      <c r="E2747" s="17">
        <v>64614.62</v>
      </c>
      <c r="F2747" s="11">
        <v>6.62</v>
      </c>
      <c r="G2747" s="9">
        <v>4380.8999999999996</v>
      </c>
      <c r="H2747" s="10">
        <v>0.316</v>
      </c>
      <c r="I2747" s="11">
        <v>6.6</v>
      </c>
    </row>
    <row r="2748" spans="1:9" x14ac:dyDescent="0.35">
      <c r="A2748" s="2" t="s">
        <v>287</v>
      </c>
      <c r="B2748" s="3">
        <v>44866</v>
      </c>
      <c r="C2748" s="2">
        <v>17</v>
      </c>
      <c r="D2748" s="2">
        <v>21867</v>
      </c>
      <c r="E2748" s="17">
        <v>46672</v>
      </c>
      <c r="F2748" s="11">
        <v>6.69</v>
      </c>
      <c r="G2748" s="9">
        <v>3278.2</v>
      </c>
      <c r="H2748" s="10">
        <v>0.29399999999999998</v>
      </c>
      <c r="I2748" s="11">
        <v>5.5</v>
      </c>
    </row>
    <row r="2749" spans="1:9" x14ac:dyDescent="0.35">
      <c r="A2749" s="2" t="s">
        <v>287</v>
      </c>
      <c r="B2749" s="3">
        <v>44896</v>
      </c>
      <c r="C2749" s="2">
        <v>16</v>
      </c>
      <c r="D2749" s="2">
        <v>22481</v>
      </c>
      <c r="E2749" s="17">
        <v>46480.79</v>
      </c>
      <c r="F2749" s="11">
        <v>6.41</v>
      </c>
      <c r="G2749" s="9">
        <v>3577.6</v>
      </c>
      <c r="H2749" s="10">
        <v>0.56200000000000006</v>
      </c>
      <c r="I2749" s="11">
        <v>8.8000000000000007</v>
      </c>
    </row>
    <row r="2750" spans="1:9" x14ac:dyDescent="0.35">
      <c r="A2750" s="2" t="s">
        <v>287</v>
      </c>
      <c r="B2750" s="3">
        <v>44927</v>
      </c>
      <c r="C2750" s="2">
        <v>18</v>
      </c>
      <c r="D2750" s="2">
        <v>21363</v>
      </c>
      <c r="E2750" s="17">
        <v>42932.39</v>
      </c>
      <c r="F2750" s="11">
        <v>6.62</v>
      </c>
      <c r="G2750" s="9">
        <v>3207.9</v>
      </c>
      <c r="H2750" s="10">
        <v>0.27800000000000002</v>
      </c>
      <c r="I2750" s="11">
        <v>7.4</v>
      </c>
    </row>
    <row r="2751" spans="1:9" x14ac:dyDescent="0.35">
      <c r="A2751" s="2" t="s">
        <v>287</v>
      </c>
      <c r="B2751" s="3">
        <v>44958</v>
      </c>
      <c r="C2751" s="2">
        <v>12</v>
      </c>
      <c r="D2751" s="2">
        <v>18936</v>
      </c>
      <c r="E2751" s="17">
        <v>32376.53</v>
      </c>
      <c r="F2751" s="11">
        <v>6.38</v>
      </c>
      <c r="G2751" s="9">
        <v>3013.4</v>
      </c>
      <c r="H2751" s="10">
        <v>0.58299999999999996</v>
      </c>
      <c r="I2751" s="11">
        <v>6.5</v>
      </c>
    </row>
    <row r="2752" spans="1:9" x14ac:dyDescent="0.35">
      <c r="A2752" s="2" t="s">
        <v>287</v>
      </c>
      <c r="B2752" s="3">
        <v>44986</v>
      </c>
      <c r="C2752" s="2">
        <v>22</v>
      </c>
      <c r="D2752" s="2">
        <v>28108</v>
      </c>
      <c r="E2752" s="17">
        <v>59921.45</v>
      </c>
      <c r="F2752" s="11">
        <v>6.56</v>
      </c>
      <c r="G2752" s="9">
        <v>4312.6000000000004</v>
      </c>
      <c r="H2752" s="10">
        <v>0.318</v>
      </c>
      <c r="I2752" s="11">
        <v>7</v>
      </c>
    </row>
    <row r="2753" spans="1:9" x14ac:dyDescent="0.35">
      <c r="A2753" s="2" t="s">
        <v>287</v>
      </c>
      <c r="B2753" s="3">
        <v>45017</v>
      </c>
      <c r="C2753" s="2">
        <v>19</v>
      </c>
      <c r="D2753" s="2">
        <v>27835</v>
      </c>
      <c r="E2753" s="17">
        <v>57567.64</v>
      </c>
      <c r="F2753" s="11">
        <v>6.36</v>
      </c>
      <c r="G2753" s="9">
        <v>4380.8999999999996</v>
      </c>
      <c r="H2753" s="10">
        <v>0.26300000000000001</v>
      </c>
      <c r="I2753" s="11">
        <v>6.3</v>
      </c>
    </row>
    <row r="2754" spans="1:9" x14ac:dyDescent="0.35">
      <c r="A2754" s="2" t="s">
        <v>287</v>
      </c>
      <c r="B2754" s="3">
        <v>45047</v>
      </c>
      <c r="C2754" s="2">
        <v>16</v>
      </c>
      <c r="D2754" s="2">
        <v>23188</v>
      </c>
      <c r="E2754" s="17">
        <v>50282.64</v>
      </c>
      <c r="F2754" s="11">
        <v>6.52</v>
      </c>
      <c r="G2754" s="9">
        <v>3537.2</v>
      </c>
      <c r="H2754" s="10">
        <v>0.56200000000000006</v>
      </c>
      <c r="I2754" s="11">
        <v>7.2</v>
      </c>
    </row>
    <row r="2755" spans="1:9" x14ac:dyDescent="0.35">
      <c r="A2755" s="2" t="s">
        <v>287</v>
      </c>
      <c r="B2755" s="3">
        <v>45078</v>
      </c>
      <c r="C2755" s="2">
        <v>16</v>
      </c>
      <c r="D2755" s="2">
        <v>23928</v>
      </c>
      <c r="E2755" s="17">
        <v>47532.160000000003</v>
      </c>
      <c r="F2755" s="11">
        <v>6.31</v>
      </c>
      <c r="G2755" s="9">
        <v>3853.7</v>
      </c>
      <c r="H2755" s="10">
        <v>0.625</v>
      </c>
      <c r="I2755" s="11">
        <v>7</v>
      </c>
    </row>
    <row r="2756" spans="1:9" x14ac:dyDescent="0.35">
      <c r="A2756" s="2" t="s">
        <v>287</v>
      </c>
      <c r="B2756" s="3">
        <v>45108</v>
      </c>
      <c r="C2756" s="2">
        <v>18</v>
      </c>
      <c r="D2756" s="2">
        <v>30527</v>
      </c>
      <c r="E2756" s="17">
        <v>66615.100000000006</v>
      </c>
      <c r="F2756" s="11">
        <v>6.23</v>
      </c>
      <c r="G2756" s="9">
        <v>4943.3999999999996</v>
      </c>
      <c r="H2756" s="10">
        <v>0.55600000000000005</v>
      </c>
      <c r="I2756" s="11">
        <v>8</v>
      </c>
    </row>
    <row r="2757" spans="1:9" x14ac:dyDescent="0.35">
      <c r="A2757" s="2" t="s">
        <v>287</v>
      </c>
      <c r="B2757" s="3">
        <v>45139</v>
      </c>
      <c r="C2757" s="2">
        <v>18</v>
      </c>
      <c r="D2757" s="2">
        <v>23291</v>
      </c>
      <c r="E2757" s="17">
        <v>54808.480000000003</v>
      </c>
      <c r="F2757" s="11">
        <v>6.32</v>
      </c>
      <c r="G2757" s="9">
        <v>3683.7</v>
      </c>
      <c r="H2757" s="10">
        <v>0.5</v>
      </c>
      <c r="I2757" s="11">
        <v>7.2</v>
      </c>
    </row>
    <row r="2758" spans="1:9" x14ac:dyDescent="0.35">
      <c r="A2758" s="2" t="s">
        <v>287</v>
      </c>
      <c r="B2758" s="3">
        <v>45170</v>
      </c>
      <c r="C2758" s="2">
        <v>21</v>
      </c>
      <c r="D2758" s="2">
        <v>32081</v>
      </c>
      <c r="E2758" s="17">
        <v>69673</v>
      </c>
      <c r="F2758" s="11">
        <v>6.32</v>
      </c>
      <c r="G2758" s="9">
        <v>5149.2</v>
      </c>
      <c r="H2758" s="10">
        <v>0.52400000000000002</v>
      </c>
      <c r="I2758" s="11">
        <v>5.8</v>
      </c>
    </row>
    <row r="2759" spans="1:9" x14ac:dyDescent="0.35">
      <c r="A2759" s="2" t="s">
        <v>287</v>
      </c>
      <c r="B2759" s="3">
        <v>45200</v>
      </c>
      <c r="C2759" s="2">
        <v>26</v>
      </c>
      <c r="D2759" s="2">
        <v>37682</v>
      </c>
      <c r="E2759" s="17">
        <v>78983.83</v>
      </c>
      <c r="F2759" s="11">
        <v>6.6</v>
      </c>
      <c r="G2759" s="9">
        <v>5751.2</v>
      </c>
      <c r="H2759" s="10">
        <v>0.38500000000000001</v>
      </c>
      <c r="I2759" s="11">
        <v>6.7</v>
      </c>
    </row>
    <row r="2760" spans="1:9" x14ac:dyDescent="0.35">
      <c r="A2760" s="2" t="s">
        <v>287</v>
      </c>
      <c r="B2760" s="3">
        <v>45231</v>
      </c>
      <c r="C2760" s="2">
        <v>18</v>
      </c>
      <c r="D2760" s="2">
        <v>26214</v>
      </c>
      <c r="E2760" s="17">
        <v>63457.55</v>
      </c>
      <c r="F2760" s="11">
        <v>6.45</v>
      </c>
      <c r="G2760" s="9">
        <v>4084.9</v>
      </c>
      <c r="H2760" s="10">
        <v>0.27800000000000002</v>
      </c>
      <c r="I2760" s="11">
        <v>7.3</v>
      </c>
    </row>
    <row r="2761" spans="1:9" x14ac:dyDescent="0.35">
      <c r="A2761" s="2" t="s">
        <v>287</v>
      </c>
      <c r="B2761" s="3">
        <v>45261</v>
      </c>
      <c r="C2761" s="2">
        <v>18</v>
      </c>
      <c r="D2761" s="2">
        <v>22524</v>
      </c>
      <c r="E2761" s="17">
        <v>51447.7</v>
      </c>
      <c r="F2761" s="11">
        <v>6.28</v>
      </c>
      <c r="G2761" s="9">
        <v>3598.5</v>
      </c>
      <c r="H2761" s="10">
        <v>0.44400000000000001</v>
      </c>
      <c r="I2761" s="11">
        <v>6.2</v>
      </c>
    </row>
    <row r="2762" spans="1:9" x14ac:dyDescent="0.35">
      <c r="A2762" s="2" t="s">
        <v>287</v>
      </c>
      <c r="B2762" s="3">
        <v>45292</v>
      </c>
      <c r="C2762" s="2">
        <v>16</v>
      </c>
      <c r="D2762" s="2">
        <v>24326</v>
      </c>
      <c r="E2762" s="17">
        <v>49276.19</v>
      </c>
      <c r="F2762" s="11">
        <v>6.34</v>
      </c>
      <c r="G2762" s="9">
        <v>3885.3</v>
      </c>
      <c r="H2762" s="10">
        <v>0.438</v>
      </c>
      <c r="I2762" s="11">
        <v>8.5</v>
      </c>
    </row>
    <row r="2763" spans="1:9" x14ac:dyDescent="0.35">
      <c r="A2763" s="2" t="s">
        <v>287</v>
      </c>
      <c r="B2763" s="3">
        <v>45323</v>
      </c>
      <c r="C2763" s="2">
        <v>18</v>
      </c>
      <c r="D2763" s="2">
        <v>25361</v>
      </c>
      <c r="E2763" s="17">
        <v>53891.49</v>
      </c>
      <c r="F2763" s="11">
        <v>6.53</v>
      </c>
      <c r="G2763" s="9">
        <v>3929.2</v>
      </c>
      <c r="H2763" s="10">
        <v>0.33300000000000002</v>
      </c>
      <c r="I2763" s="11">
        <v>7.1</v>
      </c>
    </row>
    <row r="2764" spans="1:9" x14ac:dyDescent="0.35">
      <c r="A2764" s="2" t="s">
        <v>287</v>
      </c>
      <c r="B2764" s="3">
        <v>45352</v>
      </c>
      <c r="C2764" s="2">
        <v>18</v>
      </c>
      <c r="D2764" s="2">
        <v>24741</v>
      </c>
      <c r="E2764" s="17">
        <v>51306.5</v>
      </c>
      <c r="F2764" s="11">
        <v>6.4</v>
      </c>
      <c r="G2764" s="9">
        <v>3991</v>
      </c>
      <c r="H2764" s="10">
        <v>0.38900000000000001</v>
      </c>
      <c r="I2764" s="11">
        <v>7.7</v>
      </c>
    </row>
    <row r="2765" spans="1:9" x14ac:dyDescent="0.35">
      <c r="A2765" s="2" t="s">
        <v>287</v>
      </c>
      <c r="B2765" s="3">
        <v>45383</v>
      </c>
      <c r="C2765" s="2">
        <v>23</v>
      </c>
      <c r="D2765" s="2">
        <v>28302</v>
      </c>
      <c r="E2765" s="17">
        <v>62847.21</v>
      </c>
      <c r="F2765" s="11">
        <v>6.55</v>
      </c>
      <c r="G2765" s="9">
        <v>4355.5</v>
      </c>
      <c r="H2765" s="10">
        <v>0.52200000000000002</v>
      </c>
      <c r="I2765" s="11">
        <v>6.5</v>
      </c>
    </row>
    <row r="2766" spans="1:9" x14ac:dyDescent="0.35">
      <c r="A2766" s="2" t="s">
        <v>287</v>
      </c>
      <c r="B2766" s="3">
        <v>45413</v>
      </c>
      <c r="C2766" s="2">
        <v>24</v>
      </c>
      <c r="D2766" s="2">
        <v>33615</v>
      </c>
      <c r="E2766" s="17">
        <v>68873.2</v>
      </c>
      <c r="F2766" s="11">
        <v>6.56</v>
      </c>
      <c r="G2766" s="9">
        <v>5124</v>
      </c>
      <c r="H2766" s="10">
        <v>0.375</v>
      </c>
      <c r="I2766" s="11">
        <v>6.7</v>
      </c>
    </row>
    <row r="2767" spans="1:9" x14ac:dyDescent="0.35">
      <c r="A2767" s="2" t="s">
        <v>287</v>
      </c>
      <c r="B2767" s="3">
        <v>45444</v>
      </c>
      <c r="C2767" s="2">
        <v>12</v>
      </c>
      <c r="D2767" s="2">
        <v>16439</v>
      </c>
      <c r="E2767" s="17">
        <v>36538.43</v>
      </c>
      <c r="F2767" s="11">
        <v>6.48</v>
      </c>
      <c r="G2767" s="9">
        <v>2586.6999999999998</v>
      </c>
      <c r="H2767" s="10">
        <v>0.5</v>
      </c>
      <c r="I2767" s="11">
        <v>8.6</v>
      </c>
    </row>
    <row r="2768" spans="1:9" x14ac:dyDescent="0.35">
      <c r="A2768" s="2" t="s">
        <v>287</v>
      </c>
      <c r="B2768" s="3">
        <v>45474</v>
      </c>
      <c r="C2768" s="2">
        <v>20</v>
      </c>
      <c r="D2768" s="2">
        <v>28651</v>
      </c>
      <c r="E2768" s="17">
        <v>66116.33</v>
      </c>
      <c r="F2768" s="11">
        <v>6.53</v>
      </c>
      <c r="G2768" s="9">
        <v>4443.2</v>
      </c>
      <c r="H2768" s="10">
        <v>0.5</v>
      </c>
      <c r="I2768" s="11">
        <v>7.1</v>
      </c>
    </row>
    <row r="2769" spans="1:9" x14ac:dyDescent="0.35">
      <c r="A2769" s="2" t="s">
        <v>287</v>
      </c>
      <c r="B2769" s="3">
        <v>45505</v>
      </c>
      <c r="C2769" s="2">
        <v>18</v>
      </c>
      <c r="D2769" s="2">
        <v>21920</v>
      </c>
      <c r="E2769" s="17">
        <v>46102.559999999998</v>
      </c>
      <c r="F2769" s="11">
        <v>6.61</v>
      </c>
      <c r="G2769" s="9">
        <v>3329.9</v>
      </c>
      <c r="H2769" s="10">
        <v>0.33300000000000002</v>
      </c>
      <c r="I2769" s="11">
        <v>7</v>
      </c>
    </row>
    <row r="2770" spans="1:9" x14ac:dyDescent="0.35">
      <c r="A2770" s="2" t="s">
        <v>287</v>
      </c>
      <c r="B2770" s="3">
        <v>45536</v>
      </c>
      <c r="C2770" s="2">
        <v>19</v>
      </c>
      <c r="D2770" s="2">
        <v>27697</v>
      </c>
      <c r="E2770" s="17">
        <v>59030.47</v>
      </c>
      <c r="F2770" s="11">
        <v>6.45</v>
      </c>
      <c r="G2770" s="9">
        <v>4298.7</v>
      </c>
      <c r="H2770" s="10">
        <v>0.316</v>
      </c>
      <c r="I2770" s="11">
        <v>6.5</v>
      </c>
    </row>
    <row r="2771" spans="1:9" x14ac:dyDescent="0.35">
      <c r="A2771" s="2" t="s">
        <v>287</v>
      </c>
      <c r="B2771" s="3">
        <v>45566</v>
      </c>
      <c r="C2771" s="2">
        <v>24</v>
      </c>
      <c r="D2771" s="2">
        <v>25661</v>
      </c>
      <c r="E2771" s="17">
        <v>56249.27</v>
      </c>
      <c r="F2771" s="11">
        <v>6.24</v>
      </c>
      <c r="G2771" s="9">
        <v>4128.5</v>
      </c>
      <c r="H2771" s="10">
        <v>0.375</v>
      </c>
      <c r="I2771" s="11">
        <v>6</v>
      </c>
    </row>
    <row r="2772" spans="1:9" x14ac:dyDescent="0.35">
      <c r="A2772" s="2" t="s">
        <v>287</v>
      </c>
      <c r="B2772" s="3">
        <v>45597</v>
      </c>
      <c r="C2772" s="2">
        <v>18</v>
      </c>
      <c r="D2772" s="2">
        <v>23129</v>
      </c>
      <c r="E2772" s="17">
        <v>49321.59</v>
      </c>
      <c r="F2772" s="11">
        <v>6.49</v>
      </c>
      <c r="G2772" s="9">
        <v>3546.6</v>
      </c>
      <c r="H2772" s="10">
        <v>0.44400000000000001</v>
      </c>
      <c r="I2772" s="11">
        <v>7.4</v>
      </c>
    </row>
    <row r="2773" spans="1:9" x14ac:dyDescent="0.35">
      <c r="A2773" s="2" t="s">
        <v>287</v>
      </c>
      <c r="B2773" s="3">
        <v>45627</v>
      </c>
      <c r="C2773" s="2">
        <v>18</v>
      </c>
      <c r="D2773" s="2">
        <v>27624</v>
      </c>
      <c r="E2773" s="17">
        <v>60751.25</v>
      </c>
      <c r="F2773" s="11">
        <v>6.43</v>
      </c>
      <c r="G2773" s="9">
        <v>4342.1000000000004</v>
      </c>
      <c r="H2773" s="10">
        <v>0.55600000000000005</v>
      </c>
      <c r="I2773" s="11">
        <v>6.5</v>
      </c>
    </row>
    <row r="2774" spans="1:9" x14ac:dyDescent="0.35">
      <c r="A2774" s="2" t="s">
        <v>289</v>
      </c>
      <c r="B2774" s="3">
        <v>44562</v>
      </c>
      <c r="C2774" s="2">
        <v>17</v>
      </c>
      <c r="D2774" s="2">
        <v>24196</v>
      </c>
      <c r="E2774" s="17">
        <v>54000.71</v>
      </c>
      <c r="F2774" s="11">
        <v>6.67</v>
      </c>
      <c r="G2774" s="9">
        <v>3585.9</v>
      </c>
      <c r="H2774" s="10">
        <v>0.29399999999999998</v>
      </c>
      <c r="I2774" s="11">
        <v>7.1</v>
      </c>
    </row>
    <row r="2775" spans="1:9" x14ac:dyDescent="0.35">
      <c r="A2775" s="2" t="s">
        <v>289</v>
      </c>
      <c r="B2775" s="3">
        <v>44593</v>
      </c>
      <c r="C2775" s="2">
        <v>21</v>
      </c>
      <c r="D2775" s="2">
        <v>29696</v>
      </c>
      <c r="E2775" s="17">
        <v>57649.05</v>
      </c>
      <c r="F2775" s="11">
        <v>6.16</v>
      </c>
      <c r="G2775" s="9">
        <v>4931.3999999999996</v>
      </c>
      <c r="H2775" s="10">
        <v>0.61899999999999999</v>
      </c>
      <c r="I2775" s="11">
        <v>6.8</v>
      </c>
    </row>
    <row r="2776" spans="1:9" x14ac:dyDescent="0.35">
      <c r="A2776" s="2" t="s">
        <v>289</v>
      </c>
      <c r="B2776" s="3">
        <v>44621</v>
      </c>
      <c r="C2776" s="2">
        <v>12</v>
      </c>
      <c r="D2776" s="2">
        <v>13244</v>
      </c>
      <c r="E2776" s="17">
        <v>29713</v>
      </c>
      <c r="F2776" s="11">
        <v>6.36</v>
      </c>
      <c r="G2776" s="9">
        <v>2074.9</v>
      </c>
      <c r="H2776" s="10">
        <v>0.33300000000000002</v>
      </c>
      <c r="I2776" s="11">
        <v>7.3</v>
      </c>
    </row>
    <row r="2777" spans="1:9" x14ac:dyDescent="0.35">
      <c r="A2777" s="2" t="s">
        <v>289</v>
      </c>
      <c r="B2777" s="3">
        <v>44652</v>
      </c>
      <c r="C2777" s="2">
        <v>21</v>
      </c>
      <c r="D2777" s="2">
        <v>33690</v>
      </c>
      <c r="E2777" s="17">
        <v>79443.69</v>
      </c>
      <c r="F2777" s="11">
        <v>6.57</v>
      </c>
      <c r="G2777" s="9">
        <v>5172.1000000000004</v>
      </c>
      <c r="H2777" s="10">
        <v>0.47599999999999998</v>
      </c>
      <c r="I2777" s="11">
        <v>6.1</v>
      </c>
    </row>
    <row r="2778" spans="1:9" x14ac:dyDescent="0.35">
      <c r="A2778" s="2" t="s">
        <v>289</v>
      </c>
      <c r="B2778" s="3">
        <v>44682</v>
      </c>
      <c r="C2778" s="2">
        <v>18</v>
      </c>
      <c r="D2778" s="2">
        <v>22069</v>
      </c>
      <c r="E2778" s="17">
        <v>47633.36</v>
      </c>
      <c r="F2778" s="11">
        <v>6.43</v>
      </c>
      <c r="G2778" s="9">
        <v>3432.1</v>
      </c>
      <c r="H2778" s="10">
        <v>0.38900000000000001</v>
      </c>
      <c r="I2778" s="11">
        <v>6.3</v>
      </c>
    </row>
    <row r="2779" spans="1:9" x14ac:dyDescent="0.35">
      <c r="A2779" s="2" t="s">
        <v>289</v>
      </c>
      <c r="B2779" s="3">
        <v>44713</v>
      </c>
      <c r="C2779" s="2">
        <v>15</v>
      </c>
      <c r="D2779" s="2">
        <v>14790</v>
      </c>
      <c r="E2779" s="17">
        <v>29660.82</v>
      </c>
      <c r="F2779" s="11">
        <v>6.5</v>
      </c>
      <c r="G2779" s="9">
        <v>2307.5</v>
      </c>
      <c r="H2779" s="10">
        <v>0.4</v>
      </c>
      <c r="I2779" s="11">
        <v>8.5</v>
      </c>
    </row>
    <row r="2780" spans="1:9" x14ac:dyDescent="0.35">
      <c r="A2780" s="2" t="s">
        <v>289</v>
      </c>
      <c r="B2780" s="3">
        <v>44743</v>
      </c>
      <c r="C2780" s="2">
        <v>22</v>
      </c>
      <c r="D2780" s="2">
        <v>32270</v>
      </c>
      <c r="E2780" s="17">
        <v>70761.240000000005</v>
      </c>
      <c r="F2780" s="11">
        <v>6.46</v>
      </c>
      <c r="G2780" s="9">
        <v>5029</v>
      </c>
      <c r="H2780" s="10">
        <v>0.318</v>
      </c>
      <c r="I2780" s="11">
        <v>7.8</v>
      </c>
    </row>
    <row r="2781" spans="1:9" x14ac:dyDescent="0.35">
      <c r="A2781" s="2" t="s">
        <v>289</v>
      </c>
      <c r="B2781" s="3">
        <v>44774</v>
      </c>
      <c r="C2781" s="2">
        <v>20</v>
      </c>
      <c r="D2781" s="2">
        <v>28826</v>
      </c>
      <c r="E2781" s="17">
        <v>62742.47</v>
      </c>
      <c r="F2781" s="11">
        <v>6.4</v>
      </c>
      <c r="G2781" s="9">
        <v>4554.3999999999996</v>
      </c>
      <c r="H2781" s="10">
        <v>0.45</v>
      </c>
      <c r="I2781" s="11">
        <v>7.7</v>
      </c>
    </row>
    <row r="2782" spans="1:9" x14ac:dyDescent="0.35">
      <c r="A2782" s="2" t="s">
        <v>289</v>
      </c>
      <c r="B2782" s="3">
        <v>44805</v>
      </c>
      <c r="C2782" s="2">
        <v>20</v>
      </c>
      <c r="D2782" s="2">
        <v>29741</v>
      </c>
      <c r="E2782" s="17">
        <v>62639.27</v>
      </c>
      <c r="F2782" s="11">
        <v>6.46</v>
      </c>
      <c r="G2782" s="9">
        <v>4564.7</v>
      </c>
      <c r="H2782" s="10">
        <v>0.5</v>
      </c>
      <c r="I2782" s="11">
        <v>6.2</v>
      </c>
    </row>
    <row r="2783" spans="1:9" x14ac:dyDescent="0.35">
      <c r="A2783" s="2" t="s">
        <v>289</v>
      </c>
      <c r="B2783" s="3">
        <v>44835</v>
      </c>
      <c r="C2783" s="2">
        <v>16</v>
      </c>
      <c r="D2783" s="2">
        <v>24996</v>
      </c>
      <c r="E2783" s="17">
        <v>58900.76</v>
      </c>
      <c r="F2783" s="11">
        <v>6.58</v>
      </c>
      <c r="G2783" s="9">
        <v>3829.8</v>
      </c>
      <c r="H2783" s="10">
        <v>0.438</v>
      </c>
      <c r="I2783" s="11">
        <v>6.6</v>
      </c>
    </row>
    <row r="2784" spans="1:9" x14ac:dyDescent="0.35">
      <c r="A2784" s="2" t="s">
        <v>289</v>
      </c>
      <c r="B2784" s="3">
        <v>44866</v>
      </c>
      <c r="C2784" s="2">
        <v>10</v>
      </c>
      <c r="D2784" s="2">
        <v>10393</v>
      </c>
      <c r="E2784" s="17">
        <v>23897.15</v>
      </c>
      <c r="F2784" s="11">
        <v>6.36</v>
      </c>
      <c r="G2784" s="9">
        <v>1602.3</v>
      </c>
      <c r="H2784" s="10">
        <v>0.2</v>
      </c>
      <c r="I2784" s="11">
        <v>5.2</v>
      </c>
    </row>
    <row r="2785" spans="1:9" x14ac:dyDescent="0.35">
      <c r="A2785" s="2" t="s">
        <v>289</v>
      </c>
      <c r="B2785" s="3">
        <v>44896</v>
      </c>
      <c r="C2785" s="2">
        <v>23</v>
      </c>
      <c r="D2785" s="2">
        <v>28192</v>
      </c>
      <c r="E2785" s="17">
        <v>61838.18</v>
      </c>
      <c r="F2785" s="11">
        <v>6.54</v>
      </c>
      <c r="G2785" s="9">
        <v>4440.8999999999996</v>
      </c>
      <c r="H2785" s="10">
        <v>0.47799999999999998</v>
      </c>
      <c r="I2785" s="11">
        <v>7.1</v>
      </c>
    </row>
    <row r="2786" spans="1:9" x14ac:dyDescent="0.35">
      <c r="A2786" s="2" t="s">
        <v>289</v>
      </c>
      <c r="B2786" s="3">
        <v>44927</v>
      </c>
      <c r="C2786" s="2">
        <v>26</v>
      </c>
      <c r="D2786" s="2">
        <v>30960</v>
      </c>
      <c r="E2786" s="17">
        <v>66876.990000000005</v>
      </c>
      <c r="F2786" s="11">
        <v>6.29</v>
      </c>
      <c r="G2786" s="9">
        <v>4871.7</v>
      </c>
      <c r="H2786" s="10">
        <v>0.42299999999999999</v>
      </c>
      <c r="I2786" s="11">
        <v>7.1</v>
      </c>
    </row>
    <row r="2787" spans="1:9" x14ac:dyDescent="0.35">
      <c r="A2787" s="2" t="s">
        <v>289</v>
      </c>
      <c r="B2787" s="3">
        <v>44958</v>
      </c>
      <c r="C2787" s="2">
        <v>22</v>
      </c>
      <c r="D2787" s="2">
        <v>31095</v>
      </c>
      <c r="E2787" s="17">
        <v>66200.09</v>
      </c>
      <c r="F2787" s="11">
        <v>6.71</v>
      </c>
      <c r="G2787" s="9">
        <v>4644.6000000000004</v>
      </c>
      <c r="H2787" s="10">
        <v>0.318</v>
      </c>
      <c r="I2787" s="11">
        <v>7.3</v>
      </c>
    </row>
    <row r="2788" spans="1:9" x14ac:dyDescent="0.35">
      <c r="A2788" s="2" t="s">
        <v>289</v>
      </c>
      <c r="B2788" s="3">
        <v>44986</v>
      </c>
      <c r="C2788" s="2">
        <v>15</v>
      </c>
      <c r="D2788" s="2">
        <v>20350</v>
      </c>
      <c r="E2788" s="17">
        <v>45921.66</v>
      </c>
      <c r="F2788" s="11">
        <v>6.77</v>
      </c>
      <c r="G2788" s="9">
        <v>3087.7</v>
      </c>
      <c r="H2788" s="10">
        <v>0.13300000000000001</v>
      </c>
      <c r="I2788" s="11">
        <v>6.7</v>
      </c>
    </row>
    <row r="2789" spans="1:9" x14ac:dyDescent="0.35">
      <c r="A2789" s="2" t="s">
        <v>289</v>
      </c>
      <c r="B2789" s="3">
        <v>45017</v>
      </c>
      <c r="C2789" s="2">
        <v>17</v>
      </c>
      <c r="D2789" s="2">
        <v>18531</v>
      </c>
      <c r="E2789" s="17">
        <v>41847.339999999997</v>
      </c>
      <c r="F2789" s="11">
        <v>6.25</v>
      </c>
      <c r="G2789" s="9">
        <v>3007.6</v>
      </c>
      <c r="H2789" s="10">
        <v>0.58799999999999997</v>
      </c>
      <c r="I2789" s="11">
        <v>6.2</v>
      </c>
    </row>
    <row r="2790" spans="1:9" x14ac:dyDescent="0.35">
      <c r="A2790" s="2" t="s">
        <v>289</v>
      </c>
      <c r="B2790" s="3">
        <v>45047</v>
      </c>
      <c r="C2790" s="2">
        <v>19</v>
      </c>
      <c r="D2790" s="2">
        <v>30933</v>
      </c>
      <c r="E2790" s="17">
        <v>65799.81</v>
      </c>
      <c r="F2790" s="11">
        <v>6.69</v>
      </c>
      <c r="G2790" s="9">
        <v>4621</v>
      </c>
      <c r="H2790" s="10">
        <v>0.316</v>
      </c>
      <c r="I2790" s="11">
        <v>6.4</v>
      </c>
    </row>
    <row r="2791" spans="1:9" x14ac:dyDescent="0.35">
      <c r="A2791" s="2" t="s">
        <v>289</v>
      </c>
      <c r="B2791" s="3">
        <v>45078</v>
      </c>
      <c r="C2791" s="2">
        <v>11</v>
      </c>
      <c r="D2791" s="2">
        <v>16797</v>
      </c>
      <c r="E2791" s="17">
        <v>37398.5</v>
      </c>
      <c r="F2791" s="11">
        <v>6.62</v>
      </c>
      <c r="G2791" s="9">
        <v>2571.1999999999998</v>
      </c>
      <c r="H2791" s="10">
        <v>0.72699999999999998</v>
      </c>
      <c r="I2791" s="11">
        <v>7</v>
      </c>
    </row>
    <row r="2792" spans="1:9" x14ac:dyDescent="0.35">
      <c r="A2792" s="2" t="s">
        <v>289</v>
      </c>
      <c r="B2792" s="3">
        <v>45108</v>
      </c>
      <c r="C2792" s="2">
        <v>20</v>
      </c>
      <c r="D2792" s="2">
        <v>29890</v>
      </c>
      <c r="E2792" s="17">
        <v>70060.429999999993</v>
      </c>
      <c r="F2792" s="11">
        <v>6.24</v>
      </c>
      <c r="G2792" s="9">
        <v>4797.2</v>
      </c>
      <c r="H2792" s="10">
        <v>0.35</v>
      </c>
      <c r="I2792" s="11">
        <v>6</v>
      </c>
    </row>
    <row r="2793" spans="1:9" x14ac:dyDescent="0.35">
      <c r="A2793" s="2" t="s">
        <v>289</v>
      </c>
      <c r="B2793" s="3">
        <v>45139</v>
      </c>
      <c r="C2793" s="2">
        <v>21</v>
      </c>
      <c r="D2793" s="2">
        <v>29726</v>
      </c>
      <c r="E2793" s="17">
        <v>66502.75</v>
      </c>
      <c r="F2793" s="11">
        <v>6.69</v>
      </c>
      <c r="G2793" s="9">
        <v>4501.5</v>
      </c>
      <c r="H2793" s="10">
        <v>0.47599999999999998</v>
      </c>
      <c r="I2793" s="11">
        <v>7.3</v>
      </c>
    </row>
    <row r="2794" spans="1:9" x14ac:dyDescent="0.35">
      <c r="A2794" s="2" t="s">
        <v>289</v>
      </c>
      <c r="B2794" s="3">
        <v>45170</v>
      </c>
      <c r="C2794" s="2">
        <v>22</v>
      </c>
      <c r="D2794" s="2">
        <v>31867</v>
      </c>
      <c r="E2794" s="17">
        <v>70351.259999999995</v>
      </c>
      <c r="F2794" s="11">
        <v>6.26</v>
      </c>
      <c r="G2794" s="9">
        <v>5055.8</v>
      </c>
      <c r="H2794" s="10">
        <v>0.318</v>
      </c>
      <c r="I2794" s="11">
        <v>7.3</v>
      </c>
    </row>
    <row r="2795" spans="1:9" x14ac:dyDescent="0.35">
      <c r="A2795" s="2" t="s">
        <v>289</v>
      </c>
      <c r="B2795" s="3">
        <v>45200</v>
      </c>
      <c r="C2795" s="2">
        <v>18</v>
      </c>
      <c r="D2795" s="2">
        <v>21821</v>
      </c>
      <c r="E2795" s="17">
        <v>48547.07</v>
      </c>
      <c r="F2795" s="11">
        <v>6.3</v>
      </c>
      <c r="G2795" s="9">
        <v>3459.2</v>
      </c>
      <c r="H2795" s="10">
        <v>0.38900000000000001</v>
      </c>
      <c r="I2795" s="11">
        <v>6.7</v>
      </c>
    </row>
    <row r="2796" spans="1:9" x14ac:dyDescent="0.35">
      <c r="A2796" s="2" t="s">
        <v>289</v>
      </c>
      <c r="B2796" s="3">
        <v>45231</v>
      </c>
      <c r="C2796" s="2">
        <v>12</v>
      </c>
      <c r="D2796" s="2">
        <v>22133</v>
      </c>
      <c r="E2796" s="17">
        <v>44538.36</v>
      </c>
      <c r="F2796" s="11">
        <v>6.46</v>
      </c>
      <c r="G2796" s="9">
        <v>3389.1</v>
      </c>
      <c r="H2796" s="10">
        <v>0.33300000000000002</v>
      </c>
      <c r="I2796" s="11">
        <v>6.6</v>
      </c>
    </row>
    <row r="2797" spans="1:9" x14ac:dyDescent="0.35">
      <c r="A2797" s="2" t="s">
        <v>289</v>
      </c>
      <c r="B2797" s="3">
        <v>45261</v>
      </c>
      <c r="C2797" s="2">
        <v>20</v>
      </c>
      <c r="D2797" s="2">
        <v>26256</v>
      </c>
      <c r="E2797" s="17">
        <v>52637.3</v>
      </c>
      <c r="F2797" s="11">
        <v>6.34</v>
      </c>
      <c r="G2797" s="9">
        <v>4098</v>
      </c>
      <c r="H2797" s="10">
        <v>0.5</v>
      </c>
      <c r="I2797" s="11">
        <v>6.1</v>
      </c>
    </row>
    <row r="2798" spans="1:9" x14ac:dyDescent="0.35">
      <c r="A2798" s="2" t="s">
        <v>289</v>
      </c>
      <c r="B2798" s="3">
        <v>45292</v>
      </c>
      <c r="C2798" s="2">
        <v>22</v>
      </c>
      <c r="D2798" s="2">
        <v>36180</v>
      </c>
      <c r="E2798" s="17">
        <v>75402.55</v>
      </c>
      <c r="F2798" s="11">
        <v>6.39</v>
      </c>
      <c r="G2798" s="9">
        <v>5731.6</v>
      </c>
      <c r="H2798" s="10">
        <v>0.59099999999999997</v>
      </c>
      <c r="I2798" s="11">
        <v>7</v>
      </c>
    </row>
    <row r="2799" spans="1:9" x14ac:dyDescent="0.35">
      <c r="A2799" s="2" t="s">
        <v>289</v>
      </c>
      <c r="B2799" s="3">
        <v>45323</v>
      </c>
      <c r="C2799" s="2">
        <v>9</v>
      </c>
      <c r="D2799" s="2">
        <v>16630</v>
      </c>
      <c r="E2799" s="17">
        <v>38956.33</v>
      </c>
      <c r="F2799" s="11">
        <v>6.76</v>
      </c>
      <c r="G2799" s="9">
        <v>2495</v>
      </c>
      <c r="H2799" s="10">
        <v>0.55600000000000005</v>
      </c>
      <c r="I2799" s="11">
        <v>7.2</v>
      </c>
    </row>
    <row r="2800" spans="1:9" x14ac:dyDescent="0.35">
      <c r="A2800" s="2" t="s">
        <v>289</v>
      </c>
      <c r="B2800" s="3">
        <v>45352</v>
      </c>
      <c r="C2800" s="2">
        <v>18</v>
      </c>
      <c r="D2800" s="2">
        <v>26398</v>
      </c>
      <c r="E2800" s="17">
        <v>59560.69</v>
      </c>
      <c r="F2800" s="11">
        <v>6.87</v>
      </c>
      <c r="G2800" s="9">
        <v>3874.3</v>
      </c>
      <c r="H2800" s="10">
        <v>0.38900000000000001</v>
      </c>
      <c r="I2800" s="11">
        <v>7</v>
      </c>
    </row>
    <row r="2801" spans="1:9" x14ac:dyDescent="0.35">
      <c r="A2801" s="2" t="s">
        <v>289</v>
      </c>
      <c r="B2801" s="3">
        <v>45383</v>
      </c>
      <c r="C2801" s="2">
        <v>26</v>
      </c>
      <c r="D2801" s="2">
        <v>41610</v>
      </c>
      <c r="E2801" s="17">
        <v>85101.14</v>
      </c>
      <c r="F2801" s="11">
        <v>6.52</v>
      </c>
      <c r="G2801" s="9">
        <v>6485.6</v>
      </c>
      <c r="H2801" s="10">
        <v>0.38500000000000001</v>
      </c>
      <c r="I2801" s="11">
        <v>6.5</v>
      </c>
    </row>
    <row r="2802" spans="1:9" x14ac:dyDescent="0.35">
      <c r="A2802" s="2" t="s">
        <v>289</v>
      </c>
      <c r="B2802" s="3">
        <v>45413</v>
      </c>
      <c r="C2802" s="2">
        <v>14</v>
      </c>
      <c r="D2802" s="2">
        <v>17172</v>
      </c>
      <c r="E2802" s="17">
        <v>33878.910000000003</v>
      </c>
      <c r="F2802" s="11">
        <v>6.59</v>
      </c>
      <c r="G2802" s="9">
        <v>2662.2</v>
      </c>
      <c r="H2802" s="10">
        <v>0.28599999999999998</v>
      </c>
      <c r="I2802" s="11">
        <v>7.4</v>
      </c>
    </row>
    <row r="2803" spans="1:9" x14ac:dyDescent="0.35">
      <c r="A2803" s="2" t="s">
        <v>289</v>
      </c>
      <c r="B2803" s="3">
        <v>45444</v>
      </c>
      <c r="C2803" s="2">
        <v>18</v>
      </c>
      <c r="D2803" s="2">
        <v>26698</v>
      </c>
      <c r="E2803" s="17">
        <v>56601.98</v>
      </c>
      <c r="F2803" s="11">
        <v>6.32</v>
      </c>
      <c r="G2803" s="9">
        <v>4294.5</v>
      </c>
      <c r="H2803" s="10">
        <v>0.33300000000000002</v>
      </c>
      <c r="I2803" s="11">
        <v>6.4</v>
      </c>
    </row>
    <row r="2804" spans="1:9" x14ac:dyDescent="0.35">
      <c r="A2804" s="2" t="s">
        <v>289</v>
      </c>
      <c r="B2804" s="3">
        <v>45474</v>
      </c>
      <c r="C2804" s="2">
        <v>14</v>
      </c>
      <c r="D2804" s="2">
        <v>20333</v>
      </c>
      <c r="E2804" s="17">
        <v>40862.379999999997</v>
      </c>
      <c r="F2804" s="11">
        <v>6.34</v>
      </c>
      <c r="G2804" s="9">
        <v>3222.9</v>
      </c>
      <c r="H2804" s="10">
        <v>0.42899999999999999</v>
      </c>
      <c r="I2804" s="11">
        <v>6.5</v>
      </c>
    </row>
    <row r="2805" spans="1:9" x14ac:dyDescent="0.35">
      <c r="A2805" s="2" t="s">
        <v>289</v>
      </c>
      <c r="B2805" s="3">
        <v>45505</v>
      </c>
      <c r="C2805" s="2">
        <v>16</v>
      </c>
      <c r="D2805" s="2">
        <v>22287</v>
      </c>
      <c r="E2805" s="17">
        <v>41082.160000000003</v>
      </c>
      <c r="F2805" s="11">
        <v>6.28</v>
      </c>
      <c r="G2805" s="9">
        <v>3543.8</v>
      </c>
      <c r="H2805" s="10">
        <v>0.438</v>
      </c>
      <c r="I2805" s="11">
        <v>7.8</v>
      </c>
    </row>
    <row r="2806" spans="1:9" x14ac:dyDescent="0.35">
      <c r="A2806" s="2" t="s">
        <v>289</v>
      </c>
      <c r="B2806" s="3">
        <v>45536</v>
      </c>
      <c r="C2806" s="2">
        <v>20</v>
      </c>
      <c r="D2806" s="2">
        <v>28031</v>
      </c>
      <c r="E2806" s="17">
        <v>63924.44</v>
      </c>
      <c r="F2806" s="11">
        <v>6.56</v>
      </c>
      <c r="G2806" s="9">
        <v>4381.1000000000004</v>
      </c>
      <c r="H2806" s="10">
        <v>0.3</v>
      </c>
      <c r="I2806" s="11">
        <v>7.5</v>
      </c>
    </row>
    <row r="2807" spans="1:9" x14ac:dyDescent="0.35">
      <c r="A2807" s="2" t="s">
        <v>289</v>
      </c>
      <c r="B2807" s="3">
        <v>45566</v>
      </c>
      <c r="C2807" s="2">
        <v>11</v>
      </c>
      <c r="D2807" s="2">
        <v>14517</v>
      </c>
      <c r="E2807" s="17">
        <v>29105.3</v>
      </c>
      <c r="F2807" s="11">
        <v>6.66</v>
      </c>
      <c r="G2807" s="9">
        <v>2205.9</v>
      </c>
      <c r="H2807" s="10">
        <v>0.45500000000000002</v>
      </c>
      <c r="I2807" s="11">
        <v>7.2</v>
      </c>
    </row>
    <row r="2808" spans="1:9" x14ac:dyDescent="0.35">
      <c r="A2808" s="2" t="s">
        <v>289</v>
      </c>
      <c r="B2808" s="3">
        <v>45597</v>
      </c>
      <c r="C2808" s="2">
        <v>18</v>
      </c>
      <c r="D2808" s="2">
        <v>25428</v>
      </c>
      <c r="E2808" s="17">
        <v>51526.2</v>
      </c>
      <c r="F2808" s="11">
        <v>6.54</v>
      </c>
      <c r="G2808" s="9">
        <v>3936.2</v>
      </c>
      <c r="H2808" s="10">
        <v>0.5</v>
      </c>
      <c r="I2808" s="11">
        <v>7</v>
      </c>
    </row>
    <row r="2809" spans="1:9" x14ac:dyDescent="0.35">
      <c r="A2809" s="2" t="s">
        <v>289</v>
      </c>
      <c r="B2809" s="3">
        <v>45627</v>
      </c>
      <c r="C2809" s="2">
        <v>13</v>
      </c>
      <c r="D2809" s="2">
        <v>12278</v>
      </c>
      <c r="E2809" s="17">
        <v>24068.91</v>
      </c>
      <c r="F2809" s="11">
        <v>6.64</v>
      </c>
      <c r="G2809" s="9">
        <v>1871.5</v>
      </c>
      <c r="H2809" s="10">
        <v>0.46200000000000002</v>
      </c>
      <c r="I2809" s="11">
        <v>7.6</v>
      </c>
    </row>
    <row r="2810" spans="1:9" x14ac:dyDescent="0.35">
      <c r="A2810" s="2" t="s">
        <v>293</v>
      </c>
      <c r="B2810" s="3">
        <v>44562</v>
      </c>
      <c r="C2810" s="2">
        <v>19</v>
      </c>
      <c r="D2810" s="2">
        <v>26304</v>
      </c>
      <c r="E2810" s="17">
        <v>54531.63</v>
      </c>
      <c r="F2810" s="11">
        <v>6.45</v>
      </c>
      <c r="G2810" s="9">
        <v>4050.9</v>
      </c>
      <c r="H2810" s="10">
        <v>0.47399999999999998</v>
      </c>
      <c r="I2810" s="11">
        <v>6.6</v>
      </c>
    </row>
    <row r="2811" spans="1:9" x14ac:dyDescent="0.35">
      <c r="A2811" s="2" t="s">
        <v>293</v>
      </c>
      <c r="B2811" s="3">
        <v>44593</v>
      </c>
      <c r="C2811" s="2">
        <v>12</v>
      </c>
      <c r="D2811" s="2">
        <v>10940</v>
      </c>
      <c r="E2811" s="17">
        <v>23632.29</v>
      </c>
      <c r="F2811" s="11">
        <v>6.34</v>
      </c>
      <c r="G2811" s="9">
        <v>1737.7</v>
      </c>
      <c r="H2811" s="10">
        <v>0.16700000000000001</v>
      </c>
      <c r="I2811" s="11">
        <v>7.4</v>
      </c>
    </row>
    <row r="2812" spans="1:9" x14ac:dyDescent="0.35">
      <c r="A2812" s="2" t="s">
        <v>293</v>
      </c>
      <c r="B2812" s="3">
        <v>44621</v>
      </c>
      <c r="C2812" s="2">
        <v>21</v>
      </c>
      <c r="D2812" s="2">
        <v>29367</v>
      </c>
      <c r="E2812" s="17">
        <v>60217.05</v>
      </c>
      <c r="F2812" s="11">
        <v>6.55</v>
      </c>
      <c r="G2812" s="9">
        <v>4456.8</v>
      </c>
      <c r="H2812" s="10">
        <v>0.19</v>
      </c>
      <c r="I2812" s="11">
        <v>7.7</v>
      </c>
    </row>
    <row r="2813" spans="1:9" x14ac:dyDescent="0.35">
      <c r="A2813" s="2" t="s">
        <v>293</v>
      </c>
      <c r="B2813" s="3">
        <v>44652</v>
      </c>
      <c r="C2813" s="2">
        <v>18</v>
      </c>
      <c r="D2813" s="2">
        <v>22616</v>
      </c>
      <c r="E2813" s="17">
        <v>48399.85</v>
      </c>
      <c r="F2813" s="11">
        <v>6.39</v>
      </c>
      <c r="G2813" s="9">
        <v>3623.6</v>
      </c>
      <c r="H2813" s="10">
        <v>0.66700000000000004</v>
      </c>
      <c r="I2813" s="11">
        <v>7</v>
      </c>
    </row>
    <row r="2814" spans="1:9" x14ac:dyDescent="0.35">
      <c r="A2814" s="2" t="s">
        <v>293</v>
      </c>
      <c r="B2814" s="3">
        <v>44682</v>
      </c>
      <c r="C2814" s="2">
        <v>26</v>
      </c>
      <c r="D2814" s="2">
        <v>37293</v>
      </c>
      <c r="E2814" s="17">
        <v>75855.570000000007</v>
      </c>
      <c r="F2814" s="11">
        <v>6.51</v>
      </c>
      <c r="G2814" s="9">
        <v>5738.9</v>
      </c>
      <c r="H2814" s="10">
        <v>0.34599999999999997</v>
      </c>
      <c r="I2814" s="11">
        <v>8.4</v>
      </c>
    </row>
    <row r="2815" spans="1:9" x14ac:dyDescent="0.35">
      <c r="A2815" s="2" t="s">
        <v>293</v>
      </c>
      <c r="B2815" s="3">
        <v>44713</v>
      </c>
      <c r="C2815" s="2">
        <v>19</v>
      </c>
      <c r="D2815" s="2">
        <v>27859</v>
      </c>
      <c r="E2815" s="17">
        <v>62057.96</v>
      </c>
      <c r="F2815" s="11">
        <v>6.35</v>
      </c>
      <c r="G2815" s="9">
        <v>4496.7</v>
      </c>
      <c r="H2815" s="10">
        <v>0.52600000000000002</v>
      </c>
      <c r="I2815" s="11">
        <v>6.8</v>
      </c>
    </row>
    <row r="2816" spans="1:9" x14ac:dyDescent="0.35">
      <c r="A2816" s="2" t="s">
        <v>293</v>
      </c>
      <c r="B2816" s="3">
        <v>44743</v>
      </c>
      <c r="C2816" s="2">
        <v>13</v>
      </c>
      <c r="D2816" s="2">
        <v>20707</v>
      </c>
      <c r="E2816" s="17">
        <v>44569.02</v>
      </c>
      <c r="F2816" s="11">
        <v>6.52</v>
      </c>
      <c r="G2816" s="9">
        <v>3175.3</v>
      </c>
      <c r="H2816" s="10">
        <v>0.46200000000000002</v>
      </c>
      <c r="I2816" s="11">
        <v>6.7</v>
      </c>
    </row>
    <row r="2817" spans="1:9" x14ac:dyDescent="0.35">
      <c r="A2817" s="2" t="s">
        <v>293</v>
      </c>
      <c r="B2817" s="3">
        <v>44774</v>
      </c>
      <c r="C2817" s="2">
        <v>18</v>
      </c>
      <c r="D2817" s="2">
        <v>30308</v>
      </c>
      <c r="E2817" s="17">
        <v>61738.89</v>
      </c>
      <c r="F2817" s="11">
        <v>6.33</v>
      </c>
      <c r="G2817" s="9">
        <v>4858.3999999999996</v>
      </c>
      <c r="H2817" s="10">
        <v>0.55600000000000005</v>
      </c>
      <c r="I2817" s="11">
        <v>6.5</v>
      </c>
    </row>
    <row r="2818" spans="1:9" x14ac:dyDescent="0.35">
      <c r="A2818" s="2" t="s">
        <v>293</v>
      </c>
      <c r="B2818" s="3">
        <v>44805</v>
      </c>
      <c r="C2818" s="2">
        <v>21</v>
      </c>
      <c r="D2818" s="2">
        <v>29836</v>
      </c>
      <c r="E2818" s="17">
        <v>61594.45</v>
      </c>
      <c r="F2818" s="11">
        <v>6.47</v>
      </c>
      <c r="G2818" s="9">
        <v>4598.5</v>
      </c>
      <c r="H2818" s="10">
        <v>0.66700000000000004</v>
      </c>
      <c r="I2818" s="11">
        <v>6.6</v>
      </c>
    </row>
    <row r="2819" spans="1:9" x14ac:dyDescent="0.35">
      <c r="A2819" s="2" t="s">
        <v>293</v>
      </c>
      <c r="B2819" s="3">
        <v>44835</v>
      </c>
      <c r="C2819" s="2">
        <v>17</v>
      </c>
      <c r="D2819" s="2">
        <v>18534</v>
      </c>
      <c r="E2819" s="17">
        <v>39016.9</v>
      </c>
      <c r="F2819" s="11">
        <v>6.36</v>
      </c>
      <c r="G2819" s="9">
        <v>2917.9</v>
      </c>
      <c r="H2819" s="10">
        <v>0.47099999999999997</v>
      </c>
      <c r="I2819" s="11">
        <v>6.4</v>
      </c>
    </row>
    <row r="2820" spans="1:9" x14ac:dyDescent="0.35">
      <c r="A2820" s="2" t="s">
        <v>293</v>
      </c>
      <c r="B2820" s="3">
        <v>44866</v>
      </c>
      <c r="C2820" s="2">
        <v>17</v>
      </c>
      <c r="D2820" s="2">
        <v>25639</v>
      </c>
      <c r="E2820" s="17">
        <v>54394.64</v>
      </c>
      <c r="F2820" s="11">
        <v>6.4</v>
      </c>
      <c r="G2820" s="9">
        <v>4061.3</v>
      </c>
      <c r="H2820" s="10">
        <v>0.52900000000000003</v>
      </c>
      <c r="I2820" s="11">
        <v>7.1</v>
      </c>
    </row>
    <row r="2821" spans="1:9" x14ac:dyDescent="0.35">
      <c r="A2821" s="2" t="s">
        <v>293</v>
      </c>
      <c r="B2821" s="3">
        <v>44896</v>
      </c>
      <c r="C2821" s="2">
        <v>22</v>
      </c>
      <c r="D2821" s="2">
        <v>30301</v>
      </c>
      <c r="E2821" s="17">
        <v>66991.649999999994</v>
      </c>
      <c r="F2821" s="11">
        <v>6.58</v>
      </c>
      <c r="G2821" s="9">
        <v>4525.5</v>
      </c>
      <c r="H2821" s="10">
        <v>0.45500000000000002</v>
      </c>
      <c r="I2821" s="11">
        <v>7.4</v>
      </c>
    </row>
    <row r="2822" spans="1:9" x14ac:dyDescent="0.35">
      <c r="A2822" s="2" t="s">
        <v>293</v>
      </c>
      <c r="B2822" s="3">
        <v>44927</v>
      </c>
      <c r="C2822" s="2">
        <v>32</v>
      </c>
      <c r="D2822" s="2">
        <v>41691</v>
      </c>
      <c r="E2822" s="17">
        <v>83395.69</v>
      </c>
      <c r="F2822" s="11">
        <v>6.53</v>
      </c>
      <c r="G2822" s="9">
        <v>6481.5</v>
      </c>
      <c r="H2822" s="10">
        <v>0.53100000000000003</v>
      </c>
      <c r="I2822" s="11">
        <v>6.6</v>
      </c>
    </row>
    <row r="2823" spans="1:9" x14ac:dyDescent="0.35">
      <c r="A2823" s="2" t="s">
        <v>293</v>
      </c>
      <c r="B2823" s="3">
        <v>44958</v>
      </c>
      <c r="C2823" s="2">
        <v>18</v>
      </c>
      <c r="D2823" s="2">
        <v>27049</v>
      </c>
      <c r="E2823" s="17">
        <v>52886.81</v>
      </c>
      <c r="F2823" s="11">
        <v>6.48</v>
      </c>
      <c r="G2823" s="9">
        <v>4185.1000000000004</v>
      </c>
      <c r="H2823" s="10">
        <v>0.5</v>
      </c>
      <c r="I2823" s="11">
        <v>7.4</v>
      </c>
    </row>
    <row r="2824" spans="1:9" x14ac:dyDescent="0.35">
      <c r="A2824" s="2" t="s">
        <v>293</v>
      </c>
      <c r="B2824" s="3">
        <v>44986</v>
      </c>
      <c r="C2824" s="2">
        <v>21</v>
      </c>
      <c r="D2824" s="2">
        <v>29919</v>
      </c>
      <c r="E2824" s="17">
        <v>61787.5</v>
      </c>
      <c r="F2824" s="11">
        <v>6.32</v>
      </c>
      <c r="G2824" s="9">
        <v>4750.3999999999996</v>
      </c>
      <c r="H2824" s="10">
        <v>0.47599999999999998</v>
      </c>
      <c r="I2824" s="11">
        <v>6.6</v>
      </c>
    </row>
    <row r="2825" spans="1:9" x14ac:dyDescent="0.35">
      <c r="A2825" s="2" t="s">
        <v>293</v>
      </c>
      <c r="B2825" s="3">
        <v>45017</v>
      </c>
      <c r="C2825" s="2">
        <v>21</v>
      </c>
      <c r="D2825" s="2">
        <v>32027</v>
      </c>
      <c r="E2825" s="17">
        <v>68460.95</v>
      </c>
      <c r="F2825" s="11">
        <v>6.41</v>
      </c>
      <c r="G2825" s="9">
        <v>5151.6000000000004</v>
      </c>
      <c r="H2825" s="10">
        <v>0.42899999999999999</v>
      </c>
      <c r="I2825" s="11">
        <v>7</v>
      </c>
    </row>
    <row r="2826" spans="1:9" x14ac:dyDescent="0.35">
      <c r="A2826" s="2" t="s">
        <v>293</v>
      </c>
      <c r="B2826" s="3">
        <v>45047</v>
      </c>
      <c r="C2826" s="2">
        <v>13</v>
      </c>
      <c r="D2826" s="2">
        <v>18426</v>
      </c>
      <c r="E2826" s="17">
        <v>41410.97</v>
      </c>
      <c r="F2826" s="11">
        <v>6.5</v>
      </c>
      <c r="G2826" s="9">
        <v>2881.1</v>
      </c>
      <c r="H2826" s="10">
        <v>0.46200000000000002</v>
      </c>
      <c r="I2826" s="11">
        <v>6.6</v>
      </c>
    </row>
    <row r="2827" spans="1:9" x14ac:dyDescent="0.35">
      <c r="A2827" s="2" t="s">
        <v>293</v>
      </c>
      <c r="B2827" s="3">
        <v>45078</v>
      </c>
      <c r="C2827" s="2">
        <v>33</v>
      </c>
      <c r="D2827" s="2">
        <v>48141</v>
      </c>
      <c r="E2827" s="17">
        <v>94001.66</v>
      </c>
      <c r="F2827" s="11">
        <v>6.7</v>
      </c>
      <c r="G2827" s="9">
        <v>7153.1</v>
      </c>
      <c r="H2827" s="10">
        <v>0.45500000000000002</v>
      </c>
      <c r="I2827" s="11">
        <v>7.1</v>
      </c>
    </row>
    <row r="2828" spans="1:9" x14ac:dyDescent="0.35">
      <c r="A2828" s="2" t="s">
        <v>293</v>
      </c>
      <c r="B2828" s="3">
        <v>45108</v>
      </c>
      <c r="C2828" s="2">
        <v>24</v>
      </c>
      <c r="D2828" s="2">
        <v>30762</v>
      </c>
      <c r="E2828" s="17">
        <v>65826.8</v>
      </c>
      <c r="F2828" s="11">
        <v>6.42</v>
      </c>
      <c r="G2828" s="9">
        <v>4773.8999999999996</v>
      </c>
      <c r="H2828" s="10">
        <v>0.58299999999999996</v>
      </c>
      <c r="I2828" s="11">
        <v>7.5</v>
      </c>
    </row>
    <row r="2829" spans="1:9" x14ac:dyDescent="0.35">
      <c r="A2829" s="2" t="s">
        <v>293</v>
      </c>
      <c r="B2829" s="3">
        <v>45139</v>
      </c>
      <c r="C2829" s="2">
        <v>12</v>
      </c>
      <c r="D2829" s="2">
        <v>17861</v>
      </c>
      <c r="E2829" s="17">
        <v>40425.26</v>
      </c>
      <c r="F2829" s="11">
        <v>6.32</v>
      </c>
      <c r="G2829" s="9">
        <v>2837.6</v>
      </c>
      <c r="H2829" s="10">
        <v>0.25</v>
      </c>
      <c r="I2829" s="11">
        <v>7.6</v>
      </c>
    </row>
    <row r="2830" spans="1:9" x14ac:dyDescent="0.35">
      <c r="A2830" s="2" t="s">
        <v>293</v>
      </c>
      <c r="B2830" s="3">
        <v>45170</v>
      </c>
      <c r="C2830" s="2">
        <v>10</v>
      </c>
      <c r="D2830" s="2">
        <v>10470</v>
      </c>
      <c r="E2830" s="17">
        <v>22155.98</v>
      </c>
      <c r="F2830" s="11">
        <v>6.68</v>
      </c>
      <c r="G2830" s="9">
        <v>1577</v>
      </c>
      <c r="H2830" s="10">
        <v>0.6</v>
      </c>
      <c r="I2830" s="11">
        <v>6.5</v>
      </c>
    </row>
    <row r="2831" spans="1:9" x14ac:dyDescent="0.35">
      <c r="A2831" s="2" t="s">
        <v>293</v>
      </c>
      <c r="B2831" s="3">
        <v>45200</v>
      </c>
      <c r="C2831" s="2">
        <v>15</v>
      </c>
      <c r="D2831" s="2">
        <v>23419</v>
      </c>
      <c r="E2831" s="17">
        <v>48045.26</v>
      </c>
      <c r="F2831" s="11">
        <v>6.38</v>
      </c>
      <c r="G2831" s="9">
        <v>3742.6</v>
      </c>
      <c r="H2831" s="10">
        <v>0.2</v>
      </c>
      <c r="I2831" s="11">
        <v>5.5</v>
      </c>
    </row>
    <row r="2832" spans="1:9" x14ac:dyDescent="0.35">
      <c r="A2832" s="2" t="s">
        <v>293</v>
      </c>
      <c r="B2832" s="3">
        <v>45231</v>
      </c>
      <c r="C2832" s="2">
        <v>18</v>
      </c>
      <c r="D2832" s="2">
        <v>31203</v>
      </c>
      <c r="E2832" s="17">
        <v>72125.149999999994</v>
      </c>
      <c r="F2832" s="11">
        <v>6.33</v>
      </c>
      <c r="G2832" s="9">
        <v>4925.8</v>
      </c>
      <c r="H2832" s="10">
        <v>0.44400000000000001</v>
      </c>
      <c r="I2832" s="11">
        <v>6.8</v>
      </c>
    </row>
    <row r="2833" spans="1:9" x14ac:dyDescent="0.35">
      <c r="A2833" s="2" t="s">
        <v>293</v>
      </c>
      <c r="B2833" s="3">
        <v>45261</v>
      </c>
      <c r="C2833" s="2">
        <v>13</v>
      </c>
      <c r="D2833" s="2">
        <v>12972</v>
      </c>
      <c r="E2833" s="17">
        <v>26837.8</v>
      </c>
      <c r="F2833" s="11">
        <v>6.66</v>
      </c>
      <c r="G2833" s="9">
        <v>1931.8</v>
      </c>
      <c r="H2833" s="10">
        <v>0.23100000000000001</v>
      </c>
      <c r="I2833" s="11">
        <v>6.7</v>
      </c>
    </row>
    <row r="2834" spans="1:9" x14ac:dyDescent="0.35">
      <c r="A2834" s="2" t="s">
        <v>293</v>
      </c>
      <c r="B2834" s="3">
        <v>45292</v>
      </c>
      <c r="C2834" s="2">
        <v>14</v>
      </c>
      <c r="D2834" s="2">
        <v>24471</v>
      </c>
      <c r="E2834" s="17">
        <v>52504.05</v>
      </c>
      <c r="F2834" s="11">
        <v>6.31</v>
      </c>
      <c r="G2834" s="9">
        <v>3882.2</v>
      </c>
      <c r="H2834" s="10">
        <v>0.42899999999999999</v>
      </c>
      <c r="I2834" s="11">
        <v>7.7</v>
      </c>
    </row>
    <row r="2835" spans="1:9" x14ac:dyDescent="0.35">
      <c r="A2835" s="2" t="s">
        <v>293</v>
      </c>
      <c r="B2835" s="3">
        <v>45323</v>
      </c>
      <c r="C2835" s="2">
        <v>28</v>
      </c>
      <c r="D2835" s="2">
        <v>35767</v>
      </c>
      <c r="E2835" s="17">
        <v>75753.94</v>
      </c>
      <c r="F2835" s="11">
        <v>6.53</v>
      </c>
      <c r="G2835" s="9">
        <v>5461.8</v>
      </c>
      <c r="H2835" s="10">
        <v>0.35699999999999998</v>
      </c>
      <c r="I2835" s="11">
        <v>7.2</v>
      </c>
    </row>
    <row r="2836" spans="1:9" x14ac:dyDescent="0.35">
      <c r="A2836" s="2" t="s">
        <v>293</v>
      </c>
      <c r="B2836" s="3">
        <v>45352</v>
      </c>
      <c r="C2836" s="2">
        <v>19</v>
      </c>
      <c r="D2836" s="2">
        <v>20653</v>
      </c>
      <c r="E2836" s="17">
        <v>43394.1</v>
      </c>
      <c r="F2836" s="11">
        <v>6.41</v>
      </c>
      <c r="G2836" s="9">
        <v>3238.5</v>
      </c>
      <c r="H2836" s="10">
        <v>0.36799999999999999</v>
      </c>
      <c r="I2836" s="11">
        <v>6.8</v>
      </c>
    </row>
    <row r="2837" spans="1:9" x14ac:dyDescent="0.35">
      <c r="A2837" s="2" t="s">
        <v>293</v>
      </c>
      <c r="B2837" s="3">
        <v>45383</v>
      </c>
      <c r="C2837" s="2">
        <v>15</v>
      </c>
      <c r="D2837" s="2">
        <v>18671</v>
      </c>
      <c r="E2837" s="17">
        <v>38581.519999999997</v>
      </c>
      <c r="F2837" s="11">
        <v>6.69</v>
      </c>
      <c r="G2837" s="9">
        <v>2806.7</v>
      </c>
      <c r="H2837" s="10">
        <v>0.46700000000000003</v>
      </c>
      <c r="I2837" s="11">
        <v>6</v>
      </c>
    </row>
    <row r="2838" spans="1:9" x14ac:dyDescent="0.35">
      <c r="A2838" s="2" t="s">
        <v>293</v>
      </c>
      <c r="B2838" s="3">
        <v>45413</v>
      </c>
      <c r="C2838" s="2">
        <v>23</v>
      </c>
      <c r="D2838" s="2">
        <v>32331</v>
      </c>
      <c r="E2838" s="17">
        <v>70302.8</v>
      </c>
      <c r="F2838" s="11">
        <v>6.5</v>
      </c>
      <c r="G2838" s="9">
        <v>5122.2</v>
      </c>
      <c r="H2838" s="10">
        <v>0.26100000000000001</v>
      </c>
      <c r="I2838" s="11">
        <v>5.8</v>
      </c>
    </row>
    <row r="2839" spans="1:9" x14ac:dyDescent="0.35">
      <c r="A2839" s="2" t="s">
        <v>293</v>
      </c>
      <c r="B2839" s="3">
        <v>45444</v>
      </c>
      <c r="C2839" s="2">
        <v>14</v>
      </c>
      <c r="D2839" s="2">
        <v>22218</v>
      </c>
      <c r="E2839" s="17">
        <v>52763.57</v>
      </c>
      <c r="F2839" s="11">
        <v>6.67</v>
      </c>
      <c r="G2839" s="9">
        <v>3345.2</v>
      </c>
      <c r="H2839" s="10">
        <v>0.28599999999999998</v>
      </c>
      <c r="I2839" s="11">
        <v>5.4</v>
      </c>
    </row>
    <row r="2840" spans="1:9" x14ac:dyDescent="0.35">
      <c r="A2840" s="2" t="s">
        <v>293</v>
      </c>
      <c r="B2840" s="3">
        <v>45474</v>
      </c>
      <c r="C2840" s="2">
        <v>28</v>
      </c>
      <c r="D2840" s="2">
        <v>41331</v>
      </c>
      <c r="E2840" s="17">
        <v>92573.37</v>
      </c>
      <c r="F2840" s="11">
        <v>6.52</v>
      </c>
      <c r="G2840" s="9">
        <v>6386.7</v>
      </c>
      <c r="H2840" s="10">
        <v>0.32100000000000001</v>
      </c>
      <c r="I2840" s="11">
        <v>6.6</v>
      </c>
    </row>
    <row r="2841" spans="1:9" x14ac:dyDescent="0.35">
      <c r="A2841" s="2" t="s">
        <v>293</v>
      </c>
      <c r="B2841" s="3">
        <v>45505</v>
      </c>
      <c r="C2841" s="2">
        <v>10</v>
      </c>
      <c r="D2841" s="2">
        <v>11439</v>
      </c>
      <c r="E2841" s="17">
        <v>23548.32</v>
      </c>
      <c r="F2841" s="11">
        <v>6.17</v>
      </c>
      <c r="G2841" s="9">
        <v>1876.3</v>
      </c>
      <c r="H2841" s="10">
        <v>0.4</v>
      </c>
      <c r="I2841" s="11">
        <v>8.1</v>
      </c>
    </row>
    <row r="2842" spans="1:9" x14ac:dyDescent="0.35">
      <c r="A2842" s="2" t="s">
        <v>293</v>
      </c>
      <c r="B2842" s="3">
        <v>45536</v>
      </c>
      <c r="C2842" s="2">
        <v>17</v>
      </c>
      <c r="D2842" s="2">
        <v>21572</v>
      </c>
      <c r="E2842" s="17">
        <v>44782.27</v>
      </c>
      <c r="F2842" s="11">
        <v>6.32</v>
      </c>
      <c r="G2842" s="9">
        <v>3423.5</v>
      </c>
      <c r="H2842" s="10">
        <v>0.41199999999999998</v>
      </c>
      <c r="I2842" s="11">
        <v>5.9</v>
      </c>
    </row>
    <row r="2843" spans="1:9" x14ac:dyDescent="0.35">
      <c r="A2843" s="2" t="s">
        <v>293</v>
      </c>
      <c r="B2843" s="3">
        <v>45566</v>
      </c>
      <c r="C2843" s="2">
        <v>17</v>
      </c>
      <c r="D2843" s="2">
        <v>14464</v>
      </c>
      <c r="E2843" s="17">
        <v>26975.88</v>
      </c>
      <c r="F2843" s="11">
        <v>6.57</v>
      </c>
      <c r="G2843" s="9">
        <v>2225.1</v>
      </c>
      <c r="H2843" s="10">
        <v>0.47099999999999997</v>
      </c>
      <c r="I2843" s="11">
        <v>7.4</v>
      </c>
    </row>
    <row r="2844" spans="1:9" x14ac:dyDescent="0.35">
      <c r="A2844" s="2" t="s">
        <v>293</v>
      </c>
      <c r="B2844" s="3">
        <v>45597</v>
      </c>
      <c r="C2844" s="2">
        <v>18</v>
      </c>
      <c r="D2844" s="2">
        <v>24669</v>
      </c>
      <c r="E2844" s="17">
        <v>54684.480000000003</v>
      </c>
      <c r="F2844" s="11">
        <v>6.54</v>
      </c>
      <c r="G2844" s="9">
        <v>3776.1</v>
      </c>
      <c r="H2844" s="10">
        <v>0.5</v>
      </c>
      <c r="I2844" s="11">
        <v>6.5</v>
      </c>
    </row>
    <row r="2845" spans="1:9" x14ac:dyDescent="0.35">
      <c r="A2845" s="2" t="s">
        <v>293</v>
      </c>
      <c r="B2845" s="3">
        <v>45627</v>
      </c>
      <c r="C2845" s="2">
        <v>27</v>
      </c>
      <c r="D2845" s="2">
        <v>32451</v>
      </c>
      <c r="E2845" s="17">
        <v>68879.61</v>
      </c>
      <c r="F2845" s="11">
        <v>6.58</v>
      </c>
      <c r="G2845" s="9">
        <v>4988.3</v>
      </c>
      <c r="H2845" s="10">
        <v>0.29599999999999999</v>
      </c>
      <c r="I2845" s="11">
        <v>7.7</v>
      </c>
    </row>
    <row r="2846" spans="1:9" x14ac:dyDescent="0.35">
      <c r="A2846" s="2" t="s">
        <v>295</v>
      </c>
      <c r="B2846" s="3">
        <v>44562</v>
      </c>
      <c r="C2846" s="2">
        <v>11</v>
      </c>
      <c r="D2846" s="2">
        <v>20368</v>
      </c>
      <c r="E2846" s="17">
        <v>41555.21</v>
      </c>
      <c r="F2846" s="11">
        <v>6.23</v>
      </c>
      <c r="G2846" s="9">
        <v>3321.5</v>
      </c>
      <c r="H2846" s="10">
        <v>0.45500000000000002</v>
      </c>
      <c r="I2846" s="11">
        <v>7.9</v>
      </c>
    </row>
    <row r="2847" spans="1:9" x14ac:dyDescent="0.35">
      <c r="A2847" s="2" t="s">
        <v>295</v>
      </c>
      <c r="B2847" s="3">
        <v>44593</v>
      </c>
      <c r="C2847" s="2">
        <v>21</v>
      </c>
      <c r="D2847" s="2">
        <v>29715</v>
      </c>
      <c r="E2847" s="17">
        <v>69258.48</v>
      </c>
      <c r="F2847" s="11">
        <v>6.5</v>
      </c>
      <c r="G2847" s="9">
        <v>4627.2</v>
      </c>
      <c r="H2847" s="10">
        <v>0.42899999999999999</v>
      </c>
      <c r="I2847" s="11">
        <v>7</v>
      </c>
    </row>
    <row r="2848" spans="1:9" x14ac:dyDescent="0.35">
      <c r="A2848" s="2" t="s">
        <v>295</v>
      </c>
      <c r="B2848" s="3">
        <v>44621</v>
      </c>
      <c r="C2848" s="2">
        <v>24</v>
      </c>
      <c r="D2848" s="2">
        <v>33082</v>
      </c>
      <c r="E2848" s="17">
        <v>65315.35</v>
      </c>
      <c r="F2848" s="11">
        <v>6.41</v>
      </c>
      <c r="G2848" s="9">
        <v>5089.6000000000004</v>
      </c>
      <c r="H2848" s="10">
        <v>0.20799999999999999</v>
      </c>
      <c r="I2848" s="11">
        <v>7.7</v>
      </c>
    </row>
    <row r="2849" spans="1:9" x14ac:dyDescent="0.35">
      <c r="A2849" s="2" t="s">
        <v>295</v>
      </c>
      <c r="B2849" s="3">
        <v>44652</v>
      </c>
      <c r="C2849" s="2">
        <v>21</v>
      </c>
      <c r="D2849" s="2">
        <v>26864</v>
      </c>
      <c r="E2849" s="17">
        <v>59395.22</v>
      </c>
      <c r="F2849" s="11">
        <v>6.56</v>
      </c>
      <c r="G2849" s="9">
        <v>4081.6</v>
      </c>
      <c r="H2849" s="10">
        <v>0.38100000000000001</v>
      </c>
      <c r="I2849" s="11">
        <v>8.6</v>
      </c>
    </row>
    <row r="2850" spans="1:9" x14ac:dyDescent="0.35">
      <c r="A2850" s="2" t="s">
        <v>295</v>
      </c>
      <c r="B2850" s="3">
        <v>44682</v>
      </c>
      <c r="C2850" s="2">
        <v>19</v>
      </c>
      <c r="D2850" s="2">
        <v>29284</v>
      </c>
      <c r="E2850" s="17">
        <v>62376.66</v>
      </c>
      <c r="F2850" s="11">
        <v>6.54</v>
      </c>
      <c r="G2850" s="9">
        <v>4561.3999999999996</v>
      </c>
      <c r="H2850" s="10">
        <v>0.42099999999999999</v>
      </c>
      <c r="I2850" s="11">
        <v>6.8</v>
      </c>
    </row>
    <row r="2851" spans="1:9" x14ac:dyDescent="0.35">
      <c r="A2851" s="2" t="s">
        <v>295</v>
      </c>
      <c r="B2851" s="3">
        <v>44713</v>
      </c>
      <c r="C2851" s="2">
        <v>24</v>
      </c>
      <c r="D2851" s="2">
        <v>38671</v>
      </c>
      <c r="E2851" s="17">
        <v>83075.41</v>
      </c>
      <c r="F2851" s="11">
        <v>6.5</v>
      </c>
      <c r="G2851" s="9">
        <v>5874.6</v>
      </c>
      <c r="H2851" s="10">
        <v>0.5</v>
      </c>
      <c r="I2851" s="11">
        <v>7.2</v>
      </c>
    </row>
    <row r="2852" spans="1:9" x14ac:dyDescent="0.35">
      <c r="A2852" s="2" t="s">
        <v>295</v>
      </c>
      <c r="B2852" s="3">
        <v>44743</v>
      </c>
      <c r="C2852" s="2">
        <v>18</v>
      </c>
      <c r="D2852" s="2">
        <v>31394</v>
      </c>
      <c r="E2852" s="17">
        <v>70725.73</v>
      </c>
      <c r="F2852" s="11">
        <v>6.52</v>
      </c>
      <c r="G2852" s="9">
        <v>4898.3999999999996</v>
      </c>
      <c r="H2852" s="10">
        <v>0.61099999999999999</v>
      </c>
      <c r="I2852" s="11">
        <v>7.1</v>
      </c>
    </row>
    <row r="2853" spans="1:9" x14ac:dyDescent="0.35">
      <c r="A2853" s="2" t="s">
        <v>295</v>
      </c>
      <c r="B2853" s="3">
        <v>44774</v>
      </c>
      <c r="C2853" s="2">
        <v>25</v>
      </c>
      <c r="D2853" s="2">
        <v>35339</v>
      </c>
      <c r="E2853" s="17">
        <v>72596.33</v>
      </c>
      <c r="F2853" s="11">
        <v>6.38</v>
      </c>
      <c r="G2853" s="9">
        <v>5479.8</v>
      </c>
      <c r="H2853" s="10">
        <v>0.36</v>
      </c>
      <c r="I2853" s="11">
        <v>7</v>
      </c>
    </row>
    <row r="2854" spans="1:9" x14ac:dyDescent="0.35">
      <c r="A2854" s="2" t="s">
        <v>295</v>
      </c>
      <c r="B2854" s="3">
        <v>44805</v>
      </c>
      <c r="C2854" s="2">
        <v>19</v>
      </c>
      <c r="D2854" s="2">
        <v>28113</v>
      </c>
      <c r="E2854" s="17">
        <v>65617.45</v>
      </c>
      <c r="F2854" s="11">
        <v>6.71</v>
      </c>
      <c r="G2854" s="9">
        <v>4123.8</v>
      </c>
      <c r="H2854" s="10">
        <v>0.47399999999999998</v>
      </c>
      <c r="I2854" s="11">
        <v>7.1</v>
      </c>
    </row>
    <row r="2855" spans="1:9" x14ac:dyDescent="0.35">
      <c r="A2855" s="2" t="s">
        <v>295</v>
      </c>
      <c r="B2855" s="3">
        <v>44835</v>
      </c>
      <c r="C2855" s="2">
        <v>11</v>
      </c>
      <c r="D2855" s="2">
        <v>17981</v>
      </c>
      <c r="E2855" s="17">
        <v>37410.58</v>
      </c>
      <c r="F2855" s="11">
        <v>6.78</v>
      </c>
      <c r="G2855" s="9">
        <v>2662.1</v>
      </c>
      <c r="H2855" s="10">
        <v>0.27300000000000002</v>
      </c>
      <c r="I2855" s="11">
        <v>5.4</v>
      </c>
    </row>
    <row r="2856" spans="1:9" x14ac:dyDescent="0.35">
      <c r="A2856" s="2" t="s">
        <v>295</v>
      </c>
      <c r="B2856" s="3">
        <v>44866</v>
      </c>
      <c r="C2856" s="2">
        <v>22</v>
      </c>
      <c r="D2856" s="2">
        <v>27192</v>
      </c>
      <c r="E2856" s="17">
        <v>54884.81</v>
      </c>
      <c r="F2856" s="11">
        <v>6.34</v>
      </c>
      <c r="G2856" s="9">
        <v>4273.1000000000004</v>
      </c>
      <c r="H2856" s="10">
        <v>0.45500000000000002</v>
      </c>
      <c r="I2856" s="11">
        <v>7.7</v>
      </c>
    </row>
    <row r="2857" spans="1:9" x14ac:dyDescent="0.35">
      <c r="A2857" s="2" t="s">
        <v>295</v>
      </c>
      <c r="B2857" s="3">
        <v>44896</v>
      </c>
      <c r="C2857" s="2">
        <v>23</v>
      </c>
      <c r="D2857" s="2">
        <v>33091</v>
      </c>
      <c r="E2857" s="17">
        <v>72621.77</v>
      </c>
      <c r="F2857" s="11">
        <v>6.5</v>
      </c>
      <c r="G2857" s="9">
        <v>5234.3</v>
      </c>
      <c r="H2857" s="10">
        <v>0.435</v>
      </c>
      <c r="I2857" s="11">
        <v>6.3</v>
      </c>
    </row>
    <row r="2858" spans="1:9" x14ac:dyDescent="0.35">
      <c r="A2858" s="2" t="s">
        <v>295</v>
      </c>
      <c r="B2858" s="3">
        <v>44927</v>
      </c>
      <c r="C2858" s="2">
        <v>18</v>
      </c>
      <c r="D2858" s="2">
        <v>24775</v>
      </c>
      <c r="E2858" s="17">
        <v>53869.83</v>
      </c>
      <c r="F2858" s="11">
        <v>6.48</v>
      </c>
      <c r="G2858" s="9">
        <v>3816.5</v>
      </c>
      <c r="H2858" s="10">
        <v>0.16700000000000001</v>
      </c>
      <c r="I2858" s="11">
        <v>7.8</v>
      </c>
    </row>
    <row r="2859" spans="1:9" x14ac:dyDescent="0.35">
      <c r="A2859" s="2" t="s">
        <v>295</v>
      </c>
      <c r="B2859" s="3">
        <v>44958</v>
      </c>
      <c r="C2859" s="2">
        <v>18</v>
      </c>
      <c r="D2859" s="2">
        <v>27339</v>
      </c>
      <c r="E2859" s="17">
        <v>55101.13</v>
      </c>
      <c r="F2859" s="11">
        <v>6.57</v>
      </c>
      <c r="G2859" s="9">
        <v>4313.3999999999996</v>
      </c>
      <c r="H2859" s="10">
        <v>0.44400000000000001</v>
      </c>
      <c r="I2859" s="11">
        <v>7.6</v>
      </c>
    </row>
    <row r="2860" spans="1:9" x14ac:dyDescent="0.35">
      <c r="A2860" s="2" t="s">
        <v>295</v>
      </c>
      <c r="B2860" s="3">
        <v>44986</v>
      </c>
      <c r="C2860" s="2">
        <v>22</v>
      </c>
      <c r="D2860" s="2">
        <v>31980</v>
      </c>
      <c r="E2860" s="17">
        <v>69721.45</v>
      </c>
      <c r="F2860" s="11">
        <v>6.52</v>
      </c>
      <c r="G2860" s="9">
        <v>4999.8</v>
      </c>
      <c r="H2860" s="10">
        <v>0.36399999999999999</v>
      </c>
      <c r="I2860" s="11">
        <v>6</v>
      </c>
    </row>
    <row r="2861" spans="1:9" x14ac:dyDescent="0.35">
      <c r="A2861" s="2" t="s">
        <v>295</v>
      </c>
      <c r="B2861" s="3">
        <v>45017</v>
      </c>
      <c r="C2861" s="2">
        <v>14</v>
      </c>
      <c r="D2861" s="2">
        <v>21649</v>
      </c>
      <c r="E2861" s="17">
        <v>47058.04</v>
      </c>
      <c r="F2861" s="11">
        <v>6.76</v>
      </c>
      <c r="G2861" s="9">
        <v>3199.6</v>
      </c>
      <c r="H2861" s="10">
        <v>0.214</v>
      </c>
      <c r="I2861" s="11">
        <v>7.2</v>
      </c>
    </row>
    <row r="2862" spans="1:9" x14ac:dyDescent="0.35">
      <c r="A2862" s="2" t="s">
        <v>295</v>
      </c>
      <c r="B2862" s="3">
        <v>45047</v>
      </c>
      <c r="C2862" s="2">
        <v>15</v>
      </c>
      <c r="D2862" s="2">
        <v>21539</v>
      </c>
      <c r="E2862" s="17">
        <v>45578.61</v>
      </c>
      <c r="F2862" s="11">
        <v>6.32</v>
      </c>
      <c r="G2862" s="9">
        <v>3417.3</v>
      </c>
      <c r="H2862" s="10">
        <v>0.33300000000000002</v>
      </c>
      <c r="I2862" s="11">
        <v>7.4</v>
      </c>
    </row>
    <row r="2863" spans="1:9" x14ac:dyDescent="0.35">
      <c r="A2863" s="2" t="s">
        <v>295</v>
      </c>
      <c r="B2863" s="3">
        <v>45078</v>
      </c>
      <c r="C2863" s="2">
        <v>14</v>
      </c>
      <c r="D2863" s="2">
        <v>22096</v>
      </c>
      <c r="E2863" s="17">
        <v>49066.17</v>
      </c>
      <c r="F2863" s="11">
        <v>6.48</v>
      </c>
      <c r="G2863" s="9">
        <v>3422.9</v>
      </c>
      <c r="H2863" s="10">
        <v>0.42899999999999999</v>
      </c>
      <c r="I2863" s="11">
        <v>6.6</v>
      </c>
    </row>
    <row r="2864" spans="1:9" x14ac:dyDescent="0.35">
      <c r="A2864" s="2" t="s">
        <v>295</v>
      </c>
      <c r="B2864" s="3">
        <v>45108</v>
      </c>
      <c r="C2864" s="2">
        <v>15</v>
      </c>
      <c r="D2864" s="2">
        <v>15694</v>
      </c>
      <c r="E2864" s="17">
        <v>31451.63</v>
      </c>
      <c r="F2864" s="11">
        <v>6.69</v>
      </c>
      <c r="G2864" s="9">
        <v>2351.1</v>
      </c>
      <c r="H2864" s="10">
        <v>0.46700000000000003</v>
      </c>
      <c r="I2864" s="11">
        <v>6.6</v>
      </c>
    </row>
    <row r="2865" spans="1:9" x14ac:dyDescent="0.35">
      <c r="A2865" s="2" t="s">
        <v>295</v>
      </c>
      <c r="B2865" s="3">
        <v>45139</v>
      </c>
      <c r="C2865" s="2">
        <v>23</v>
      </c>
      <c r="D2865" s="2">
        <v>38346</v>
      </c>
      <c r="E2865" s="17">
        <v>82121.149999999994</v>
      </c>
      <c r="F2865" s="11">
        <v>6.53</v>
      </c>
      <c r="G2865" s="9">
        <v>5983.5</v>
      </c>
      <c r="H2865" s="10">
        <v>0.34799999999999998</v>
      </c>
      <c r="I2865" s="11">
        <v>7.7</v>
      </c>
    </row>
    <row r="2866" spans="1:9" x14ac:dyDescent="0.35">
      <c r="A2866" s="2" t="s">
        <v>295</v>
      </c>
      <c r="B2866" s="3">
        <v>45170</v>
      </c>
      <c r="C2866" s="2">
        <v>10</v>
      </c>
      <c r="D2866" s="2">
        <v>15931</v>
      </c>
      <c r="E2866" s="17">
        <v>34915.980000000003</v>
      </c>
      <c r="F2866" s="11">
        <v>6.84</v>
      </c>
      <c r="G2866" s="9">
        <v>2303.1999999999998</v>
      </c>
      <c r="H2866" s="10">
        <v>0.3</v>
      </c>
      <c r="I2866" s="11">
        <v>5.9</v>
      </c>
    </row>
    <row r="2867" spans="1:9" x14ac:dyDescent="0.35">
      <c r="A2867" s="2" t="s">
        <v>295</v>
      </c>
      <c r="B2867" s="3">
        <v>45200</v>
      </c>
      <c r="C2867" s="2">
        <v>20</v>
      </c>
      <c r="D2867" s="2">
        <v>21065</v>
      </c>
      <c r="E2867" s="17">
        <v>47042.67</v>
      </c>
      <c r="F2867" s="11">
        <v>6.88</v>
      </c>
      <c r="G2867" s="9">
        <v>3126.1</v>
      </c>
      <c r="H2867" s="10">
        <v>0.6</v>
      </c>
      <c r="I2867" s="11">
        <v>7.7</v>
      </c>
    </row>
    <row r="2868" spans="1:9" x14ac:dyDescent="0.35">
      <c r="A2868" s="2" t="s">
        <v>295</v>
      </c>
      <c r="B2868" s="3">
        <v>45231</v>
      </c>
      <c r="C2868" s="2">
        <v>23</v>
      </c>
      <c r="D2868" s="2">
        <v>28487</v>
      </c>
      <c r="E2868" s="17">
        <v>58073.34</v>
      </c>
      <c r="F2868" s="11">
        <v>6.47</v>
      </c>
      <c r="G2868" s="9">
        <v>4428.7</v>
      </c>
      <c r="H2868" s="10">
        <v>0.39100000000000001</v>
      </c>
      <c r="I2868" s="11">
        <v>6.6</v>
      </c>
    </row>
    <row r="2869" spans="1:9" x14ac:dyDescent="0.35">
      <c r="A2869" s="2" t="s">
        <v>295</v>
      </c>
      <c r="B2869" s="3">
        <v>45261</v>
      </c>
      <c r="C2869" s="2">
        <v>9</v>
      </c>
      <c r="D2869" s="2">
        <v>15644</v>
      </c>
      <c r="E2869" s="17">
        <v>35634.800000000003</v>
      </c>
      <c r="F2869" s="11">
        <v>6.55</v>
      </c>
      <c r="G2869" s="9">
        <v>2397.6999999999998</v>
      </c>
      <c r="H2869" s="10">
        <v>0.44400000000000001</v>
      </c>
      <c r="I2869" s="11">
        <v>7.4</v>
      </c>
    </row>
    <row r="2870" spans="1:9" x14ac:dyDescent="0.35">
      <c r="A2870" s="2" t="s">
        <v>295</v>
      </c>
      <c r="B2870" s="3">
        <v>45292</v>
      </c>
      <c r="C2870" s="2">
        <v>18</v>
      </c>
      <c r="D2870" s="2">
        <v>24720</v>
      </c>
      <c r="E2870" s="17">
        <v>51947.96</v>
      </c>
      <c r="F2870" s="11">
        <v>6.54</v>
      </c>
      <c r="G2870" s="9">
        <v>3897</v>
      </c>
      <c r="H2870" s="10">
        <v>0.33300000000000002</v>
      </c>
      <c r="I2870" s="11">
        <v>5.3</v>
      </c>
    </row>
    <row r="2871" spans="1:9" x14ac:dyDescent="0.35">
      <c r="A2871" s="2" t="s">
        <v>295</v>
      </c>
      <c r="B2871" s="3">
        <v>45323</v>
      </c>
      <c r="C2871" s="2">
        <v>23</v>
      </c>
      <c r="D2871" s="2">
        <v>24341</v>
      </c>
      <c r="E2871" s="17">
        <v>52943.65</v>
      </c>
      <c r="F2871" s="11">
        <v>6.59</v>
      </c>
      <c r="G2871" s="9">
        <v>3848.4</v>
      </c>
      <c r="H2871" s="10">
        <v>0.39100000000000001</v>
      </c>
      <c r="I2871" s="11">
        <v>7.4</v>
      </c>
    </row>
    <row r="2872" spans="1:9" x14ac:dyDescent="0.35">
      <c r="A2872" s="2" t="s">
        <v>295</v>
      </c>
      <c r="B2872" s="3">
        <v>45352</v>
      </c>
      <c r="C2872" s="2">
        <v>17</v>
      </c>
      <c r="D2872" s="2">
        <v>27610</v>
      </c>
      <c r="E2872" s="17">
        <v>58422.25</v>
      </c>
      <c r="F2872" s="11">
        <v>6.57</v>
      </c>
      <c r="G2872" s="9">
        <v>4410.7</v>
      </c>
      <c r="H2872" s="10">
        <v>0.41199999999999998</v>
      </c>
      <c r="I2872" s="11">
        <v>6.5</v>
      </c>
    </row>
    <row r="2873" spans="1:9" x14ac:dyDescent="0.35">
      <c r="A2873" s="2" t="s">
        <v>295</v>
      </c>
      <c r="B2873" s="3">
        <v>45383</v>
      </c>
      <c r="C2873" s="2">
        <v>27</v>
      </c>
      <c r="D2873" s="2">
        <v>36800</v>
      </c>
      <c r="E2873" s="17">
        <v>77338.240000000005</v>
      </c>
      <c r="F2873" s="11">
        <v>6.52</v>
      </c>
      <c r="G2873" s="9">
        <v>5663.5</v>
      </c>
      <c r="H2873" s="10">
        <v>0.40699999999999997</v>
      </c>
      <c r="I2873" s="11">
        <v>6.9</v>
      </c>
    </row>
    <row r="2874" spans="1:9" x14ac:dyDescent="0.35">
      <c r="A2874" s="2" t="s">
        <v>295</v>
      </c>
      <c r="B2874" s="3">
        <v>45413</v>
      </c>
      <c r="C2874" s="2">
        <v>14</v>
      </c>
      <c r="D2874" s="2">
        <v>18628</v>
      </c>
      <c r="E2874" s="17">
        <v>39609.67</v>
      </c>
      <c r="F2874" s="11">
        <v>6.73</v>
      </c>
      <c r="G2874" s="9">
        <v>2809.7</v>
      </c>
      <c r="H2874" s="10">
        <v>0.28599999999999998</v>
      </c>
      <c r="I2874" s="11">
        <v>7.7</v>
      </c>
    </row>
    <row r="2875" spans="1:9" x14ac:dyDescent="0.35">
      <c r="A2875" s="2" t="s">
        <v>295</v>
      </c>
      <c r="B2875" s="3">
        <v>45444</v>
      </c>
      <c r="C2875" s="2">
        <v>25</v>
      </c>
      <c r="D2875" s="2">
        <v>33903</v>
      </c>
      <c r="E2875" s="17">
        <v>75577.55</v>
      </c>
      <c r="F2875" s="11">
        <v>6.52</v>
      </c>
      <c r="G2875" s="9">
        <v>5242.8</v>
      </c>
      <c r="H2875" s="10">
        <v>0.4</v>
      </c>
      <c r="I2875" s="11">
        <v>8.1</v>
      </c>
    </row>
    <row r="2876" spans="1:9" x14ac:dyDescent="0.35">
      <c r="A2876" s="2" t="s">
        <v>295</v>
      </c>
      <c r="B2876" s="3">
        <v>45474</v>
      </c>
      <c r="C2876" s="2">
        <v>22</v>
      </c>
      <c r="D2876" s="2">
        <v>28022</v>
      </c>
      <c r="E2876" s="17">
        <v>60339.58</v>
      </c>
      <c r="F2876" s="11">
        <v>6.53</v>
      </c>
      <c r="G2876" s="9">
        <v>4341.1000000000004</v>
      </c>
      <c r="H2876" s="10">
        <v>0.22700000000000001</v>
      </c>
      <c r="I2876" s="11">
        <v>7.9</v>
      </c>
    </row>
    <row r="2877" spans="1:9" x14ac:dyDescent="0.35">
      <c r="A2877" s="2" t="s">
        <v>295</v>
      </c>
      <c r="B2877" s="3">
        <v>45505</v>
      </c>
      <c r="C2877" s="2">
        <v>22</v>
      </c>
      <c r="D2877" s="2">
        <v>32260</v>
      </c>
      <c r="E2877" s="17">
        <v>67400.19</v>
      </c>
      <c r="F2877" s="11">
        <v>6.38</v>
      </c>
      <c r="G2877" s="9">
        <v>5150.3999999999996</v>
      </c>
      <c r="H2877" s="10">
        <v>0.63600000000000001</v>
      </c>
      <c r="I2877" s="11">
        <v>6.6</v>
      </c>
    </row>
    <row r="2878" spans="1:9" x14ac:dyDescent="0.35">
      <c r="A2878" s="2" t="s">
        <v>295</v>
      </c>
      <c r="B2878" s="3">
        <v>45536</v>
      </c>
      <c r="C2878" s="2">
        <v>20</v>
      </c>
      <c r="D2878" s="2">
        <v>25625</v>
      </c>
      <c r="E2878" s="17">
        <v>54389.95</v>
      </c>
      <c r="F2878" s="11">
        <v>6.84</v>
      </c>
      <c r="G2878" s="9">
        <v>3813.3</v>
      </c>
      <c r="H2878" s="10">
        <v>0.55000000000000004</v>
      </c>
      <c r="I2878" s="11">
        <v>7.2</v>
      </c>
    </row>
    <row r="2879" spans="1:9" x14ac:dyDescent="0.35">
      <c r="A2879" s="2" t="s">
        <v>295</v>
      </c>
      <c r="B2879" s="3">
        <v>45566</v>
      </c>
      <c r="C2879" s="2">
        <v>16</v>
      </c>
      <c r="D2879" s="2">
        <v>28278</v>
      </c>
      <c r="E2879" s="17">
        <v>64740.160000000003</v>
      </c>
      <c r="F2879" s="11">
        <v>6.56</v>
      </c>
      <c r="G2879" s="9">
        <v>4328.2</v>
      </c>
      <c r="H2879" s="10">
        <v>0.625</v>
      </c>
      <c r="I2879" s="11">
        <v>7.2</v>
      </c>
    </row>
    <row r="2880" spans="1:9" x14ac:dyDescent="0.35">
      <c r="A2880" s="2" t="s">
        <v>295</v>
      </c>
      <c r="B2880" s="3">
        <v>45597</v>
      </c>
      <c r="C2880" s="2">
        <v>14</v>
      </c>
      <c r="D2880" s="2">
        <v>17050</v>
      </c>
      <c r="E2880" s="17">
        <v>37486.51</v>
      </c>
      <c r="F2880" s="11">
        <v>6.42</v>
      </c>
      <c r="G2880" s="9">
        <v>2764.4</v>
      </c>
      <c r="H2880" s="10">
        <v>0.42899999999999999</v>
      </c>
      <c r="I2880" s="11">
        <v>6.4</v>
      </c>
    </row>
    <row r="2881" spans="1:9" x14ac:dyDescent="0.35">
      <c r="A2881" s="2" t="s">
        <v>295</v>
      </c>
      <c r="B2881" s="3">
        <v>45627</v>
      </c>
      <c r="C2881" s="2">
        <v>25</v>
      </c>
      <c r="D2881" s="2">
        <v>45001</v>
      </c>
      <c r="E2881" s="17">
        <v>92048.75</v>
      </c>
      <c r="F2881" s="11">
        <v>6.66</v>
      </c>
      <c r="G2881" s="9">
        <v>6713.9</v>
      </c>
      <c r="H2881" s="10">
        <v>0.44</v>
      </c>
      <c r="I2881" s="11">
        <v>6.5</v>
      </c>
    </row>
    <row r="2882" spans="1:9" x14ac:dyDescent="0.35">
      <c r="A2882" s="2" t="s">
        <v>297</v>
      </c>
      <c r="B2882" s="3">
        <v>44562</v>
      </c>
      <c r="C2882" s="2">
        <v>9</v>
      </c>
      <c r="D2882" s="2">
        <v>11799</v>
      </c>
      <c r="E2882" s="17">
        <v>21434.73</v>
      </c>
      <c r="F2882" s="11">
        <v>6.85</v>
      </c>
      <c r="G2882" s="9">
        <v>1751.1</v>
      </c>
      <c r="H2882" s="10">
        <v>0.44400000000000001</v>
      </c>
      <c r="I2882" s="11">
        <v>7.3</v>
      </c>
    </row>
    <row r="2883" spans="1:9" x14ac:dyDescent="0.35">
      <c r="A2883" s="2" t="s">
        <v>297</v>
      </c>
      <c r="B2883" s="3">
        <v>44593</v>
      </c>
      <c r="C2883" s="2">
        <v>17</v>
      </c>
      <c r="D2883" s="2">
        <v>28907</v>
      </c>
      <c r="E2883" s="17">
        <v>61904.28</v>
      </c>
      <c r="F2883" s="11">
        <v>6.51</v>
      </c>
      <c r="G2883" s="9">
        <v>4496.3</v>
      </c>
      <c r="H2883" s="10">
        <v>0.41199999999999998</v>
      </c>
      <c r="I2883" s="11">
        <v>7</v>
      </c>
    </row>
    <row r="2884" spans="1:9" x14ac:dyDescent="0.35">
      <c r="A2884" s="2" t="s">
        <v>297</v>
      </c>
      <c r="B2884" s="3">
        <v>44621</v>
      </c>
      <c r="C2884" s="2">
        <v>25</v>
      </c>
      <c r="D2884" s="2">
        <v>37265</v>
      </c>
      <c r="E2884" s="17">
        <v>75824.89</v>
      </c>
      <c r="F2884" s="11">
        <v>6.48</v>
      </c>
      <c r="G2884" s="9">
        <v>5778.4</v>
      </c>
      <c r="H2884" s="10">
        <v>0.4</v>
      </c>
      <c r="I2884" s="11">
        <v>7.4</v>
      </c>
    </row>
    <row r="2885" spans="1:9" x14ac:dyDescent="0.35">
      <c r="A2885" s="2" t="s">
        <v>297</v>
      </c>
      <c r="B2885" s="3">
        <v>44652</v>
      </c>
      <c r="C2885" s="2">
        <v>22</v>
      </c>
      <c r="D2885" s="2">
        <v>27906</v>
      </c>
      <c r="E2885" s="17">
        <v>59468.67</v>
      </c>
      <c r="F2885" s="11">
        <v>6.66</v>
      </c>
      <c r="G2885" s="9">
        <v>4222.1000000000004</v>
      </c>
      <c r="H2885" s="10">
        <v>0.40899999999999997</v>
      </c>
      <c r="I2885" s="11">
        <v>8</v>
      </c>
    </row>
    <row r="2886" spans="1:9" x14ac:dyDescent="0.35">
      <c r="A2886" s="2" t="s">
        <v>297</v>
      </c>
      <c r="B2886" s="3">
        <v>44682</v>
      </c>
      <c r="C2886" s="2">
        <v>26</v>
      </c>
      <c r="D2886" s="2">
        <v>37553</v>
      </c>
      <c r="E2886" s="17">
        <v>86137.78</v>
      </c>
      <c r="F2886" s="11">
        <v>6.59</v>
      </c>
      <c r="G2886" s="9">
        <v>5709.4</v>
      </c>
      <c r="H2886" s="10">
        <v>0.5</v>
      </c>
      <c r="I2886" s="11">
        <v>6.5</v>
      </c>
    </row>
    <row r="2887" spans="1:9" x14ac:dyDescent="0.35">
      <c r="A2887" s="2" t="s">
        <v>297</v>
      </c>
      <c r="B2887" s="3">
        <v>44713</v>
      </c>
      <c r="C2887" s="2">
        <v>26</v>
      </c>
      <c r="D2887" s="2">
        <v>39483</v>
      </c>
      <c r="E2887" s="17">
        <v>83754.52</v>
      </c>
      <c r="F2887" s="11">
        <v>6.49</v>
      </c>
      <c r="G2887" s="9">
        <v>6132.8</v>
      </c>
      <c r="H2887" s="10">
        <v>0.42299999999999999</v>
      </c>
      <c r="I2887" s="11">
        <v>6.7</v>
      </c>
    </row>
    <row r="2888" spans="1:9" x14ac:dyDescent="0.35">
      <c r="A2888" s="2" t="s">
        <v>297</v>
      </c>
      <c r="B2888" s="3">
        <v>44743</v>
      </c>
      <c r="C2888" s="2">
        <v>25</v>
      </c>
      <c r="D2888" s="2">
        <v>36331</v>
      </c>
      <c r="E2888" s="17">
        <v>79931.08</v>
      </c>
      <c r="F2888" s="11">
        <v>6.5</v>
      </c>
      <c r="G2888" s="9">
        <v>5680.9</v>
      </c>
      <c r="H2888" s="10">
        <v>0.56000000000000005</v>
      </c>
      <c r="I2888" s="11">
        <v>6.5</v>
      </c>
    </row>
    <row r="2889" spans="1:9" x14ac:dyDescent="0.35">
      <c r="A2889" s="2" t="s">
        <v>297</v>
      </c>
      <c r="B2889" s="3">
        <v>44774</v>
      </c>
      <c r="C2889" s="2">
        <v>18</v>
      </c>
      <c r="D2889" s="2">
        <v>25163</v>
      </c>
      <c r="E2889" s="17">
        <v>55862.14</v>
      </c>
      <c r="F2889" s="11">
        <v>6.44</v>
      </c>
      <c r="G2889" s="9">
        <v>3957.6</v>
      </c>
      <c r="H2889" s="10">
        <v>0.61099999999999999</v>
      </c>
      <c r="I2889" s="11">
        <v>7.7</v>
      </c>
    </row>
    <row r="2890" spans="1:9" x14ac:dyDescent="0.35">
      <c r="A2890" s="2" t="s">
        <v>297</v>
      </c>
      <c r="B2890" s="3">
        <v>44805</v>
      </c>
      <c r="C2890" s="2">
        <v>18</v>
      </c>
      <c r="D2890" s="2">
        <v>22764</v>
      </c>
      <c r="E2890" s="17">
        <v>48652.97</v>
      </c>
      <c r="F2890" s="11">
        <v>6.8</v>
      </c>
      <c r="G2890" s="9">
        <v>3366.7</v>
      </c>
      <c r="H2890" s="10">
        <v>0.5</v>
      </c>
      <c r="I2890" s="11">
        <v>7.4</v>
      </c>
    </row>
    <row r="2891" spans="1:9" x14ac:dyDescent="0.35">
      <c r="A2891" s="2" t="s">
        <v>297</v>
      </c>
      <c r="B2891" s="3">
        <v>44835</v>
      </c>
      <c r="C2891" s="2">
        <v>18</v>
      </c>
      <c r="D2891" s="2">
        <v>28215</v>
      </c>
      <c r="E2891" s="17">
        <v>62954.91</v>
      </c>
      <c r="F2891" s="11">
        <v>6.53</v>
      </c>
      <c r="G2891" s="9">
        <v>4379.1000000000004</v>
      </c>
      <c r="H2891" s="10">
        <v>0.44400000000000001</v>
      </c>
      <c r="I2891" s="11">
        <v>7.9</v>
      </c>
    </row>
    <row r="2892" spans="1:9" x14ac:dyDescent="0.35">
      <c r="A2892" s="2" t="s">
        <v>297</v>
      </c>
      <c r="B2892" s="3">
        <v>44866</v>
      </c>
      <c r="C2892" s="2">
        <v>23</v>
      </c>
      <c r="D2892" s="2">
        <v>31462</v>
      </c>
      <c r="E2892" s="17">
        <v>74658.48</v>
      </c>
      <c r="F2892" s="11">
        <v>6.5</v>
      </c>
      <c r="G2892" s="9">
        <v>4777</v>
      </c>
      <c r="H2892" s="10">
        <v>0.69599999999999995</v>
      </c>
      <c r="I2892" s="11">
        <v>7.8</v>
      </c>
    </row>
    <row r="2893" spans="1:9" x14ac:dyDescent="0.35">
      <c r="A2893" s="2" t="s">
        <v>297</v>
      </c>
      <c r="B2893" s="3">
        <v>44896</v>
      </c>
      <c r="C2893" s="2">
        <v>17</v>
      </c>
      <c r="D2893" s="2">
        <v>19921</v>
      </c>
      <c r="E2893" s="17">
        <v>42136.62</v>
      </c>
      <c r="F2893" s="11">
        <v>6.48</v>
      </c>
      <c r="G2893" s="9">
        <v>3066.2</v>
      </c>
      <c r="H2893" s="10">
        <v>0.35299999999999998</v>
      </c>
      <c r="I2893" s="11">
        <v>7.8</v>
      </c>
    </row>
    <row r="2894" spans="1:9" x14ac:dyDescent="0.35">
      <c r="A2894" s="2" t="s">
        <v>297</v>
      </c>
      <c r="B2894" s="3">
        <v>44927</v>
      </c>
      <c r="C2894" s="2">
        <v>27</v>
      </c>
      <c r="D2894" s="2">
        <v>46058</v>
      </c>
      <c r="E2894" s="17">
        <v>96579.96</v>
      </c>
      <c r="F2894" s="11">
        <v>6.37</v>
      </c>
      <c r="G2894" s="9">
        <v>7305.8</v>
      </c>
      <c r="H2894" s="10">
        <v>0.51900000000000002</v>
      </c>
      <c r="I2894" s="11">
        <v>7.5</v>
      </c>
    </row>
    <row r="2895" spans="1:9" x14ac:dyDescent="0.35">
      <c r="A2895" s="2" t="s">
        <v>297</v>
      </c>
      <c r="B2895" s="3">
        <v>44958</v>
      </c>
      <c r="C2895" s="2">
        <v>21</v>
      </c>
      <c r="D2895" s="2">
        <v>30193</v>
      </c>
      <c r="E2895" s="17">
        <v>66218.59</v>
      </c>
      <c r="F2895" s="11">
        <v>6.53</v>
      </c>
      <c r="G2895" s="9">
        <v>4659.8</v>
      </c>
      <c r="H2895" s="10">
        <v>0.42899999999999999</v>
      </c>
      <c r="I2895" s="11">
        <v>7.8</v>
      </c>
    </row>
    <row r="2896" spans="1:9" x14ac:dyDescent="0.35">
      <c r="A2896" s="2" t="s">
        <v>297</v>
      </c>
      <c r="B2896" s="3">
        <v>44986</v>
      </c>
      <c r="C2896" s="2">
        <v>15</v>
      </c>
      <c r="D2896" s="2">
        <v>22623</v>
      </c>
      <c r="E2896" s="17">
        <v>51432.67</v>
      </c>
      <c r="F2896" s="11">
        <v>6.48</v>
      </c>
      <c r="G2896" s="9">
        <v>3561.8</v>
      </c>
      <c r="H2896" s="10">
        <v>0.46700000000000003</v>
      </c>
      <c r="I2896" s="11">
        <v>6.6</v>
      </c>
    </row>
    <row r="2897" spans="1:9" x14ac:dyDescent="0.35">
      <c r="A2897" s="2" t="s">
        <v>297</v>
      </c>
      <c r="B2897" s="3">
        <v>45017</v>
      </c>
      <c r="C2897" s="2">
        <v>18</v>
      </c>
      <c r="D2897" s="2">
        <v>24384</v>
      </c>
      <c r="E2897" s="17">
        <v>55651.05</v>
      </c>
      <c r="F2897" s="11">
        <v>6.37</v>
      </c>
      <c r="G2897" s="9">
        <v>3824.2</v>
      </c>
      <c r="H2897" s="10">
        <v>0.38900000000000001</v>
      </c>
      <c r="I2897" s="11">
        <v>6</v>
      </c>
    </row>
    <row r="2898" spans="1:9" x14ac:dyDescent="0.35">
      <c r="A2898" s="2" t="s">
        <v>297</v>
      </c>
      <c r="B2898" s="3">
        <v>45047</v>
      </c>
      <c r="C2898" s="2">
        <v>21</v>
      </c>
      <c r="D2898" s="2">
        <v>25773</v>
      </c>
      <c r="E2898" s="17">
        <v>56151.8</v>
      </c>
      <c r="F2898" s="11">
        <v>6.47</v>
      </c>
      <c r="G2898" s="9">
        <v>3964.8</v>
      </c>
      <c r="H2898" s="10">
        <v>0.42899999999999999</v>
      </c>
      <c r="I2898" s="11">
        <v>6.7</v>
      </c>
    </row>
    <row r="2899" spans="1:9" x14ac:dyDescent="0.35">
      <c r="A2899" s="2" t="s">
        <v>297</v>
      </c>
      <c r="B2899" s="3">
        <v>45078</v>
      </c>
      <c r="C2899" s="2">
        <v>13</v>
      </c>
      <c r="D2899" s="2">
        <v>13294</v>
      </c>
      <c r="E2899" s="17">
        <v>30796.42</v>
      </c>
      <c r="F2899" s="11">
        <v>6.44</v>
      </c>
      <c r="G2899" s="9">
        <v>2073.8000000000002</v>
      </c>
      <c r="H2899" s="10">
        <v>0.61499999999999999</v>
      </c>
      <c r="I2899" s="11">
        <v>6.6</v>
      </c>
    </row>
    <row r="2900" spans="1:9" x14ac:dyDescent="0.35">
      <c r="A2900" s="2" t="s">
        <v>297</v>
      </c>
      <c r="B2900" s="3">
        <v>45108</v>
      </c>
      <c r="C2900" s="2">
        <v>17</v>
      </c>
      <c r="D2900" s="2">
        <v>26496</v>
      </c>
      <c r="E2900" s="17">
        <v>54973.81</v>
      </c>
      <c r="F2900" s="11">
        <v>6.42</v>
      </c>
      <c r="G2900" s="9">
        <v>4219.5</v>
      </c>
      <c r="H2900" s="10">
        <v>0.47099999999999997</v>
      </c>
      <c r="I2900" s="11">
        <v>6.9</v>
      </c>
    </row>
    <row r="2901" spans="1:9" x14ac:dyDescent="0.35">
      <c r="A2901" s="2" t="s">
        <v>297</v>
      </c>
      <c r="B2901" s="3">
        <v>45139</v>
      </c>
      <c r="C2901" s="2">
        <v>17</v>
      </c>
      <c r="D2901" s="2">
        <v>25223</v>
      </c>
      <c r="E2901" s="17">
        <v>53277.39</v>
      </c>
      <c r="F2901" s="11">
        <v>6.65</v>
      </c>
      <c r="G2901" s="9">
        <v>3909.3</v>
      </c>
      <c r="H2901" s="10">
        <v>0.41199999999999998</v>
      </c>
      <c r="I2901" s="11">
        <v>6.9</v>
      </c>
    </row>
    <row r="2902" spans="1:9" x14ac:dyDescent="0.35">
      <c r="A2902" s="2" t="s">
        <v>297</v>
      </c>
      <c r="B2902" s="3">
        <v>45170</v>
      </c>
      <c r="C2902" s="2">
        <v>24</v>
      </c>
      <c r="D2902" s="2">
        <v>36100</v>
      </c>
      <c r="E2902" s="17">
        <v>82265.66</v>
      </c>
      <c r="F2902" s="11">
        <v>6.53</v>
      </c>
      <c r="G2902" s="9">
        <v>5413.5</v>
      </c>
      <c r="H2902" s="10">
        <v>0.375</v>
      </c>
      <c r="I2902" s="11">
        <v>6.2</v>
      </c>
    </row>
    <row r="2903" spans="1:9" x14ac:dyDescent="0.35">
      <c r="A2903" s="2" t="s">
        <v>297</v>
      </c>
      <c r="B2903" s="3">
        <v>45200</v>
      </c>
      <c r="C2903" s="2">
        <v>19</v>
      </c>
      <c r="D2903" s="2">
        <v>23917</v>
      </c>
      <c r="E2903" s="17">
        <v>51906.53</v>
      </c>
      <c r="F2903" s="11">
        <v>6.59</v>
      </c>
      <c r="G2903" s="9">
        <v>3670.5</v>
      </c>
      <c r="H2903" s="10">
        <v>0.36799999999999999</v>
      </c>
      <c r="I2903" s="11">
        <v>7.5</v>
      </c>
    </row>
    <row r="2904" spans="1:9" x14ac:dyDescent="0.35">
      <c r="A2904" s="2" t="s">
        <v>297</v>
      </c>
      <c r="B2904" s="3">
        <v>45231</v>
      </c>
      <c r="C2904" s="2">
        <v>15</v>
      </c>
      <c r="D2904" s="2">
        <v>18084</v>
      </c>
      <c r="E2904" s="17">
        <v>38590.839999999997</v>
      </c>
      <c r="F2904" s="11">
        <v>6.34</v>
      </c>
      <c r="G2904" s="9">
        <v>2822.7</v>
      </c>
      <c r="H2904" s="10">
        <v>0.66700000000000004</v>
      </c>
      <c r="I2904" s="11">
        <v>6.6</v>
      </c>
    </row>
    <row r="2905" spans="1:9" x14ac:dyDescent="0.35">
      <c r="A2905" s="2" t="s">
        <v>297</v>
      </c>
      <c r="B2905" s="3">
        <v>45261</v>
      </c>
      <c r="C2905" s="2">
        <v>12</v>
      </c>
      <c r="D2905" s="2">
        <v>15230</v>
      </c>
      <c r="E2905" s="17">
        <v>33373.97</v>
      </c>
      <c r="F2905" s="11">
        <v>6.52</v>
      </c>
      <c r="G2905" s="9">
        <v>2383.1</v>
      </c>
      <c r="H2905" s="10">
        <v>0.66700000000000004</v>
      </c>
      <c r="I2905" s="11">
        <v>6.3</v>
      </c>
    </row>
    <row r="2906" spans="1:9" x14ac:dyDescent="0.35">
      <c r="A2906" s="2" t="s">
        <v>297</v>
      </c>
      <c r="B2906" s="3">
        <v>45292</v>
      </c>
      <c r="C2906" s="2">
        <v>19</v>
      </c>
      <c r="D2906" s="2">
        <v>29806</v>
      </c>
      <c r="E2906" s="17">
        <v>65183.9</v>
      </c>
      <c r="F2906" s="11">
        <v>6.25</v>
      </c>
      <c r="G2906" s="9">
        <v>4808.2</v>
      </c>
      <c r="H2906" s="10">
        <v>0.36799999999999999</v>
      </c>
      <c r="I2906" s="11">
        <v>7.7</v>
      </c>
    </row>
    <row r="2907" spans="1:9" x14ac:dyDescent="0.35">
      <c r="A2907" s="2" t="s">
        <v>297</v>
      </c>
      <c r="B2907" s="3">
        <v>45323</v>
      </c>
      <c r="C2907" s="2">
        <v>11</v>
      </c>
      <c r="D2907" s="2">
        <v>13423</v>
      </c>
      <c r="E2907" s="17">
        <v>28500.34</v>
      </c>
      <c r="F2907" s="11">
        <v>6.7</v>
      </c>
      <c r="G2907" s="9">
        <v>2024.3</v>
      </c>
      <c r="H2907" s="10">
        <v>0.27300000000000002</v>
      </c>
      <c r="I2907" s="11">
        <v>6.1</v>
      </c>
    </row>
    <row r="2908" spans="1:9" x14ac:dyDescent="0.35">
      <c r="A2908" s="2" t="s">
        <v>297</v>
      </c>
      <c r="B2908" s="3">
        <v>45352</v>
      </c>
      <c r="C2908" s="2">
        <v>28</v>
      </c>
      <c r="D2908" s="2">
        <v>43832</v>
      </c>
      <c r="E2908" s="17">
        <v>92969.54</v>
      </c>
      <c r="F2908" s="11">
        <v>6.41</v>
      </c>
      <c r="G2908" s="9">
        <v>6952.5</v>
      </c>
      <c r="H2908" s="10">
        <v>0.5</v>
      </c>
      <c r="I2908" s="11">
        <v>7.1</v>
      </c>
    </row>
    <row r="2909" spans="1:9" x14ac:dyDescent="0.35">
      <c r="A2909" s="2" t="s">
        <v>297</v>
      </c>
      <c r="B2909" s="3">
        <v>45383</v>
      </c>
      <c r="C2909" s="2">
        <v>11</v>
      </c>
      <c r="D2909" s="2">
        <v>14893</v>
      </c>
      <c r="E2909" s="17">
        <v>32761.01</v>
      </c>
      <c r="F2909" s="11">
        <v>6.61</v>
      </c>
      <c r="G2909" s="9">
        <v>2258.1999999999998</v>
      </c>
      <c r="H2909" s="10">
        <v>0.45500000000000002</v>
      </c>
      <c r="I2909" s="11">
        <v>6.6</v>
      </c>
    </row>
    <row r="2910" spans="1:9" x14ac:dyDescent="0.35">
      <c r="A2910" s="2" t="s">
        <v>297</v>
      </c>
      <c r="B2910" s="3">
        <v>45413</v>
      </c>
      <c r="C2910" s="2">
        <v>20</v>
      </c>
      <c r="D2910" s="2">
        <v>21033</v>
      </c>
      <c r="E2910" s="17">
        <v>47407.5</v>
      </c>
      <c r="F2910" s="11">
        <v>6.6</v>
      </c>
      <c r="G2910" s="9">
        <v>3162.4</v>
      </c>
      <c r="H2910" s="10">
        <v>0.45</v>
      </c>
      <c r="I2910" s="11">
        <v>6.7</v>
      </c>
    </row>
    <row r="2911" spans="1:9" x14ac:dyDescent="0.35">
      <c r="A2911" s="2" t="s">
        <v>297</v>
      </c>
      <c r="B2911" s="3">
        <v>45444</v>
      </c>
      <c r="C2911" s="2">
        <v>24</v>
      </c>
      <c r="D2911" s="2">
        <v>34892</v>
      </c>
      <c r="E2911" s="17">
        <v>73392.210000000006</v>
      </c>
      <c r="F2911" s="11">
        <v>6.64</v>
      </c>
      <c r="G2911" s="9">
        <v>5341.8</v>
      </c>
      <c r="H2911" s="10">
        <v>0.625</v>
      </c>
      <c r="I2911" s="11">
        <v>7.2</v>
      </c>
    </row>
    <row r="2912" spans="1:9" x14ac:dyDescent="0.35">
      <c r="A2912" s="2" t="s">
        <v>297</v>
      </c>
      <c r="B2912" s="3">
        <v>45474</v>
      </c>
      <c r="C2912" s="2">
        <v>21</v>
      </c>
      <c r="D2912" s="2">
        <v>22667</v>
      </c>
      <c r="E2912" s="17">
        <v>47371.61</v>
      </c>
      <c r="F2912" s="11">
        <v>6.63</v>
      </c>
      <c r="G2912" s="9">
        <v>3501.6</v>
      </c>
      <c r="H2912" s="10">
        <v>0.38100000000000001</v>
      </c>
      <c r="I2912" s="11">
        <v>7</v>
      </c>
    </row>
    <row r="2913" spans="1:9" x14ac:dyDescent="0.35">
      <c r="A2913" s="2" t="s">
        <v>297</v>
      </c>
      <c r="B2913" s="3">
        <v>45505</v>
      </c>
      <c r="C2913" s="2">
        <v>23</v>
      </c>
      <c r="D2913" s="2">
        <v>37293</v>
      </c>
      <c r="E2913" s="17">
        <v>89044.41</v>
      </c>
      <c r="F2913" s="11">
        <v>6.5</v>
      </c>
      <c r="G2913" s="9">
        <v>5801.4</v>
      </c>
      <c r="H2913" s="10">
        <v>0.435</v>
      </c>
      <c r="I2913" s="11">
        <v>6.7</v>
      </c>
    </row>
    <row r="2914" spans="1:9" x14ac:dyDescent="0.35">
      <c r="A2914" s="2" t="s">
        <v>297</v>
      </c>
      <c r="B2914" s="3">
        <v>45536</v>
      </c>
      <c r="C2914" s="2">
        <v>20</v>
      </c>
      <c r="D2914" s="2">
        <v>31747</v>
      </c>
      <c r="E2914" s="17">
        <v>72752.63</v>
      </c>
      <c r="F2914" s="11">
        <v>6.29</v>
      </c>
      <c r="G2914" s="9">
        <v>5085.2</v>
      </c>
      <c r="H2914" s="10">
        <v>0.45</v>
      </c>
      <c r="I2914" s="11">
        <v>6.8</v>
      </c>
    </row>
    <row r="2915" spans="1:9" x14ac:dyDescent="0.35">
      <c r="A2915" s="2" t="s">
        <v>297</v>
      </c>
      <c r="B2915" s="3">
        <v>45566</v>
      </c>
      <c r="C2915" s="2">
        <v>24</v>
      </c>
      <c r="D2915" s="2">
        <v>31358</v>
      </c>
      <c r="E2915" s="17">
        <v>65931.41</v>
      </c>
      <c r="F2915" s="11">
        <v>6.76</v>
      </c>
      <c r="G2915" s="9">
        <v>4629.3999999999996</v>
      </c>
      <c r="H2915" s="10">
        <v>0.45800000000000002</v>
      </c>
      <c r="I2915" s="11">
        <v>7.6</v>
      </c>
    </row>
    <row r="2916" spans="1:9" x14ac:dyDescent="0.35">
      <c r="A2916" s="2" t="s">
        <v>297</v>
      </c>
      <c r="B2916" s="3">
        <v>45597</v>
      </c>
      <c r="C2916" s="2">
        <v>24</v>
      </c>
      <c r="D2916" s="2">
        <v>26529</v>
      </c>
      <c r="E2916" s="17">
        <v>53164.35</v>
      </c>
      <c r="F2916" s="11">
        <v>6.37</v>
      </c>
      <c r="G2916" s="9">
        <v>4171.7</v>
      </c>
      <c r="H2916" s="10">
        <v>0.41699999999999998</v>
      </c>
      <c r="I2916" s="11">
        <v>7.3</v>
      </c>
    </row>
    <row r="2917" spans="1:9" x14ac:dyDescent="0.35">
      <c r="A2917" s="2" t="s">
        <v>297</v>
      </c>
      <c r="B2917" s="3">
        <v>45627</v>
      </c>
      <c r="C2917" s="2">
        <v>23</v>
      </c>
      <c r="D2917" s="2">
        <v>30339</v>
      </c>
      <c r="E2917" s="17">
        <v>65978.78</v>
      </c>
      <c r="F2917" s="11">
        <v>6.51</v>
      </c>
      <c r="G2917" s="9">
        <v>4685.6000000000004</v>
      </c>
      <c r="H2917" s="10">
        <v>0.26100000000000001</v>
      </c>
      <c r="I2917" s="11">
        <v>6.7</v>
      </c>
    </row>
    <row r="2918" spans="1:9" x14ac:dyDescent="0.35">
      <c r="A2918" s="2" t="s">
        <v>299</v>
      </c>
      <c r="B2918" s="3">
        <v>44562</v>
      </c>
      <c r="C2918" s="2">
        <v>12</v>
      </c>
      <c r="D2918" s="2">
        <v>18766</v>
      </c>
      <c r="E2918" s="17">
        <v>34915.31</v>
      </c>
      <c r="F2918" s="11">
        <v>6.57</v>
      </c>
      <c r="G2918" s="9">
        <v>2916.7</v>
      </c>
      <c r="H2918" s="10">
        <v>0.33300000000000002</v>
      </c>
      <c r="I2918" s="11">
        <v>6.5</v>
      </c>
    </row>
    <row r="2919" spans="1:9" x14ac:dyDescent="0.35">
      <c r="A2919" s="2" t="s">
        <v>299</v>
      </c>
      <c r="B2919" s="3">
        <v>44593</v>
      </c>
      <c r="C2919" s="2">
        <v>19</v>
      </c>
      <c r="D2919" s="2">
        <v>25364</v>
      </c>
      <c r="E2919" s="17">
        <v>58138.18</v>
      </c>
      <c r="F2919" s="11">
        <v>6.4</v>
      </c>
      <c r="G2919" s="9">
        <v>3906.9</v>
      </c>
      <c r="H2919" s="10">
        <v>0.47399999999999998</v>
      </c>
      <c r="I2919" s="11">
        <v>7.3</v>
      </c>
    </row>
    <row r="2920" spans="1:9" x14ac:dyDescent="0.35">
      <c r="A2920" s="2" t="s">
        <v>299</v>
      </c>
      <c r="B2920" s="3">
        <v>44621</v>
      </c>
      <c r="C2920" s="2">
        <v>11</v>
      </c>
      <c r="D2920" s="2">
        <v>11758</v>
      </c>
      <c r="E2920" s="17">
        <v>25875.5</v>
      </c>
      <c r="F2920" s="11">
        <v>6.52</v>
      </c>
      <c r="G2920" s="9">
        <v>1836</v>
      </c>
      <c r="H2920" s="10">
        <v>0.72699999999999998</v>
      </c>
      <c r="I2920" s="11">
        <v>6.9</v>
      </c>
    </row>
    <row r="2921" spans="1:9" x14ac:dyDescent="0.35">
      <c r="A2921" s="2" t="s">
        <v>299</v>
      </c>
      <c r="B2921" s="3">
        <v>44652</v>
      </c>
      <c r="C2921" s="2">
        <v>17</v>
      </c>
      <c r="D2921" s="2">
        <v>20392</v>
      </c>
      <c r="E2921" s="17">
        <v>43290.04</v>
      </c>
      <c r="F2921" s="11">
        <v>6.51</v>
      </c>
      <c r="G2921" s="9">
        <v>3051.9</v>
      </c>
      <c r="H2921" s="10">
        <v>0.47099999999999997</v>
      </c>
      <c r="I2921" s="11">
        <v>6.9</v>
      </c>
    </row>
    <row r="2922" spans="1:9" x14ac:dyDescent="0.35">
      <c r="A2922" s="2" t="s">
        <v>299</v>
      </c>
      <c r="B2922" s="3">
        <v>44682</v>
      </c>
      <c r="C2922" s="2">
        <v>18</v>
      </c>
      <c r="D2922" s="2">
        <v>28438</v>
      </c>
      <c r="E2922" s="17">
        <v>56108.52</v>
      </c>
      <c r="F2922" s="11">
        <v>6.38</v>
      </c>
      <c r="G2922" s="9">
        <v>4467.8999999999996</v>
      </c>
      <c r="H2922" s="10">
        <v>0.55600000000000005</v>
      </c>
      <c r="I2922" s="11">
        <v>7.2</v>
      </c>
    </row>
    <row r="2923" spans="1:9" x14ac:dyDescent="0.35">
      <c r="A2923" s="2" t="s">
        <v>299</v>
      </c>
      <c r="B2923" s="3">
        <v>44713</v>
      </c>
      <c r="C2923" s="2">
        <v>17</v>
      </c>
      <c r="D2923" s="2">
        <v>24577</v>
      </c>
      <c r="E2923" s="17">
        <v>50904.1</v>
      </c>
      <c r="F2923" s="11">
        <v>6.52</v>
      </c>
      <c r="G2923" s="9">
        <v>3777.8</v>
      </c>
      <c r="H2923" s="10">
        <v>0.52900000000000003</v>
      </c>
      <c r="I2923" s="11">
        <v>7.2</v>
      </c>
    </row>
    <row r="2924" spans="1:9" x14ac:dyDescent="0.35">
      <c r="A2924" s="2" t="s">
        <v>299</v>
      </c>
      <c r="B2924" s="3">
        <v>44743</v>
      </c>
      <c r="C2924" s="2">
        <v>18</v>
      </c>
      <c r="D2924" s="2">
        <v>17553</v>
      </c>
      <c r="E2924" s="17">
        <v>38040.01</v>
      </c>
      <c r="F2924" s="11">
        <v>6.5</v>
      </c>
      <c r="G2924" s="9">
        <v>2707.1</v>
      </c>
      <c r="H2924" s="10">
        <v>0.61099999999999999</v>
      </c>
      <c r="I2924" s="11">
        <v>6.8</v>
      </c>
    </row>
    <row r="2925" spans="1:9" x14ac:dyDescent="0.35">
      <c r="A2925" s="2" t="s">
        <v>299</v>
      </c>
      <c r="B2925" s="3">
        <v>44774</v>
      </c>
      <c r="C2925" s="2">
        <v>24</v>
      </c>
      <c r="D2925" s="2">
        <v>36076</v>
      </c>
      <c r="E2925" s="17">
        <v>76971.25</v>
      </c>
      <c r="F2925" s="11">
        <v>6.5</v>
      </c>
      <c r="G2925" s="9">
        <v>5584.8</v>
      </c>
      <c r="H2925" s="10">
        <v>0.45800000000000002</v>
      </c>
      <c r="I2925" s="11">
        <v>6.9</v>
      </c>
    </row>
    <row r="2926" spans="1:9" x14ac:dyDescent="0.35">
      <c r="A2926" s="2" t="s">
        <v>299</v>
      </c>
      <c r="B2926" s="3">
        <v>44805</v>
      </c>
      <c r="C2926" s="2">
        <v>19</v>
      </c>
      <c r="D2926" s="2">
        <v>23802</v>
      </c>
      <c r="E2926" s="17">
        <v>52280.87</v>
      </c>
      <c r="F2926" s="11">
        <v>6.61</v>
      </c>
      <c r="G2926" s="9">
        <v>3628.8</v>
      </c>
      <c r="H2926" s="10">
        <v>0.63200000000000001</v>
      </c>
      <c r="I2926" s="11">
        <v>6.4</v>
      </c>
    </row>
    <row r="2927" spans="1:9" x14ac:dyDescent="0.35">
      <c r="A2927" s="2" t="s">
        <v>299</v>
      </c>
      <c r="B2927" s="3">
        <v>44835</v>
      </c>
      <c r="C2927" s="2">
        <v>20</v>
      </c>
      <c r="D2927" s="2">
        <v>28455</v>
      </c>
      <c r="E2927" s="17">
        <v>62100.76</v>
      </c>
      <c r="F2927" s="11">
        <v>6.56</v>
      </c>
      <c r="G2927" s="9">
        <v>4332.6000000000004</v>
      </c>
      <c r="H2927" s="10">
        <v>0.5</v>
      </c>
      <c r="I2927" s="11">
        <v>7</v>
      </c>
    </row>
    <row r="2928" spans="1:9" x14ac:dyDescent="0.35">
      <c r="A2928" s="2" t="s">
        <v>299</v>
      </c>
      <c r="B2928" s="3">
        <v>44866</v>
      </c>
      <c r="C2928" s="2">
        <v>19</v>
      </c>
      <c r="D2928" s="2">
        <v>24712</v>
      </c>
      <c r="E2928" s="17">
        <v>55150.91</v>
      </c>
      <c r="F2928" s="11">
        <v>6.52</v>
      </c>
      <c r="G2928" s="9">
        <v>3778.5</v>
      </c>
      <c r="H2928" s="10">
        <v>0.42099999999999999</v>
      </c>
      <c r="I2928" s="11">
        <v>7.4</v>
      </c>
    </row>
    <row r="2929" spans="1:9" x14ac:dyDescent="0.35">
      <c r="A2929" s="2" t="s">
        <v>299</v>
      </c>
      <c r="B2929" s="3">
        <v>44896</v>
      </c>
      <c r="C2929" s="2">
        <v>14</v>
      </c>
      <c r="D2929" s="2">
        <v>19953</v>
      </c>
      <c r="E2929" s="17">
        <v>46327.75</v>
      </c>
      <c r="F2929" s="11">
        <v>6.44</v>
      </c>
      <c r="G2929" s="9">
        <v>3106.2</v>
      </c>
      <c r="H2929" s="10">
        <v>0.42899999999999999</v>
      </c>
      <c r="I2929" s="11">
        <v>6.8</v>
      </c>
    </row>
    <row r="2930" spans="1:9" x14ac:dyDescent="0.35">
      <c r="A2930" s="2" t="s">
        <v>299</v>
      </c>
      <c r="B2930" s="3">
        <v>44927</v>
      </c>
      <c r="C2930" s="2">
        <v>23</v>
      </c>
      <c r="D2930" s="2">
        <v>34877</v>
      </c>
      <c r="E2930" s="17">
        <v>73193.7</v>
      </c>
      <c r="F2930" s="11">
        <v>6.39</v>
      </c>
      <c r="G2930" s="9">
        <v>5517.3</v>
      </c>
      <c r="H2930" s="10">
        <v>0.435</v>
      </c>
      <c r="I2930" s="11">
        <v>7</v>
      </c>
    </row>
    <row r="2931" spans="1:9" x14ac:dyDescent="0.35">
      <c r="A2931" s="2" t="s">
        <v>299</v>
      </c>
      <c r="B2931" s="3">
        <v>44958</v>
      </c>
      <c r="C2931" s="2">
        <v>20</v>
      </c>
      <c r="D2931" s="2">
        <v>26234</v>
      </c>
      <c r="E2931" s="17">
        <v>53916.97</v>
      </c>
      <c r="F2931" s="11">
        <v>6.31</v>
      </c>
      <c r="G2931" s="9">
        <v>4201.3</v>
      </c>
      <c r="H2931" s="10">
        <v>0.4</v>
      </c>
      <c r="I2931" s="11">
        <v>7</v>
      </c>
    </row>
    <row r="2932" spans="1:9" x14ac:dyDescent="0.35">
      <c r="A2932" s="2" t="s">
        <v>299</v>
      </c>
      <c r="B2932" s="3">
        <v>44986</v>
      </c>
      <c r="C2932" s="2">
        <v>12</v>
      </c>
      <c r="D2932" s="2">
        <v>12233</v>
      </c>
      <c r="E2932" s="17">
        <v>28390.29</v>
      </c>
      <c r="F2932" s="11">
        <v>6.56</v>
      </c>
      <c r="G2932" s="9">
        <v>1941.5</v>
      </c>
      <c r="H2932" s="10">
        <v>0.41699999999999998</v>
      </c>
      <c r="I2932" s="11">
        <v>6.9</v>
      </c>
    </row>
    <row r="2933" spans="1:9" x14ac:dyDescent="0.35">
      <c r="A2933" s="2" t="s">
        <v>299</v>
      </c>
      <c r="B2933" s="3">
        <v>45017</v>
      </c>
      <c r="C2933" s="2">
        <v>15</v>
      </c>
      <c r="D2933" s="2">
        <v>18502</v>
      </c>
      <c r="E2933" s="17">
        <v>38368.519999999997</v>
      </c>
      <c r="F2933" s="11">
        <v>6.76</v>
      </c>
      <c r="G2933" s="9">
        <v>2771</v>
      </c>
      <c r="H2933" s="10">
        <v>0.33300000000000002</v>
      </c>
      <c r="I2933" s="11">
        <v>7.9</v>
      </c>
    </row>
    <row r="2934" spans="1:9" x14ac:dyDescent="0.35">
      <c r="A2934" s="2" t="s">
        <v>299</v>
      </c>
      <c r="B2934" s="3">
        <v>45047</v>
      </c>
      <c r="C2934" s="2">
        <v>31</v>
      </c>
      <c r="D2934" s="2">
        <v>50376</v>
      </c>
      <c r="E2934" s="17">
        <v>115155.49</v>
      </c>
      <c r="F2934" s="11">
        <v>6.26</v>
      </c>
      <c r="G2934" s="9">
        <v>8078.6</v>
      </c>
      <c r="H2934" s="10">
        <v>0.58099999999999996</v>
      </c>
      <c r="I2934" s="11">
        <v>6.4</v>
      </c>
    </row>
    <row r="2935" spans="1:9" x14ac:dyDescent="0.35">
      <c r="A2935" s="2" t="s">
        <v>299</v>
      </c>
      <c r="B2935" s="3">
        <v>45078</v>
      </c>
      <c r="C2935" s="2">
        <v>18</v>
      </c>
      <c r="D2935" s="2">
        <v>24693</v>
      </c>
      <c r="E2935" s="17">
        <v>50703.99</v>
      </c>
      <c r="F2935" s="11">
        <v>6.4</v>
      </c>
      <c r="G2935" s="9">
        <v>3846</v>
      </c>
      <c r="H2935" s="10">
        <v>0.5</v>
      </c>
      <c r="I2935" s="11">
        <v>6.8</v>
      </c>
    </row>
    <row r="2936" spans="1:9" x14ac:dyDescent="0.35">
      <c r="A2936" s="2" t="s">
        <v>299</v>
      </c>
      <c r="B2936" s="3">
        <v>45108</v>
      </c>
      <c r="C2936" s="2">
        <v>28</v>
      </c>
      <c r="D2936" s="2">
        <v>32801</v>
      </c>
      <c r="E2936" s="17">
        <v>69137.87</v>
      </c>
      <c r="F2936" s="11">
        <v>6.57</v>
      </c>
      <c r="G2936" s="9">
        <v>5038.5</v>
      </c>
      <c r="H2936" s="10">
        <v>0.46400000000000002</v>
      </c>
      <c r="I2936" s="11">
        <v>8.3000000000000007</v>
      </c>
    </row>
    <row r="2937" spans="1:9" x14ac:dyDescent="0.35">
      <c r="A2937" s="2" t="s">
        <v>299</v>
      </c>
      <c r="B2937" s="3">
        <v>45139</v>
      </c>
      <c r="C2937" s="2">
        <v>32</v>
      </c>
      <c r="D2937" s="2">
        <v>43186</v>
      </c>
      <c r="E2937" s="17">
        <v>93161.78</v>
      </c>
      <c r="F2937" s="11">
        <v>6.44</v>
      </c>
      <c r="G2937" s="9">
        <v>6813.5</v>
      </c>
      <c r="H2937" s="10">
        <v>0.5</v>
      </c>
      <c r="I2937" s="11">
        <v>7.6</v>
      </c>
    </row>
    <row r="2938" spans="1:9" x14ac:dyDescent="0.35">
      <c r="A2938" s="2" t="s">
        <v>299</v>
      </c>
      <c r="B2938" s="3">
        <v>45170</v>
      </c>
      <c r="C2938" s="2">
        <v>18</v>
      </c>
      <c r="D2938" s="2">
        <v>22591</v>
      </c>
      <c r="E2938" s="17">
        <v>49726.57</v>
      </c>
      <c r="F2938" s="11">
        <v>6.56</v>
      </c>
      <c r="G2938" s="9">
        <v>3401.3</v>
      </c>
      <c r="H2938" s="10">
        <v>0.72199999999999998</v>
      </c>
      <c r="I2938" s="11">
        <v>6.2</v>
      </c>
    </row>
    <row r="2939" spans="1:9" x14ac:dyDescent="0.35">
      <c r="A2939" s="2" t="s">
        <v>299</v>
      </c>
      <c r="B2939" s="3">
        <v>45200</v>
      </c>
      <c r="C2939" s="2">
        <v>21</v>
      </c>
      <c r="D2939" s="2">
        <v>31480</v>
      </c>
      <c r="E2939" s="17">
        <v>72573.440000000002</v>
      </c>
      <c r="F2939" s="11">
        <v>6.54</v>
      </c>
      <c r="G2939" s="9">
        <v>4760.2</v>
      </c>
      <c r="H2939" s="10">
        <v>0.47599999999999998</v>
      </c>
      <c r="I2939" s="11">
        <v>6.6</v>
      </c>
    </row>
    <row r="2940" spans="1:9" x14ac:dyDescent="0.35">
      <c r="A2940" s="2" t="s">
        <v>299</v>
      </c>
      <c r="B2940" s="3">
        <v>45231</v>
      </c>
      <c r="C2940" s="2">
        <v>14</v>
      </c>
      <c r="D2940" s="2">
        <v>20358</v>
      </c>
      <c r="E2940" s="17">
        <v>41253.64</v>
      </c>
      <c r="F2940" s="11">
        <v>6.49</v>
      </c>
      <c r="G2940" s="9">
        <v>3196.1</v>
      </c>
      <c r="H2940" s="10">
        <v>0.42899999999999999</v>
      </c>
      <c r="I2940" s="11">
        <v>7.2</v>
      </c>
    </row>
    <row r="2941" spans="1:9" x14ac:dyDescent="0.35">
      <c r="A2941" s="2" t="s">
        <v>299</v>
      </c>
      <c r="B2941" s="3">
        <v>45261</v>
      </c>
      <c r="C2941" s="2">
        <v>18</v>
      </c>
      <c r="D2941" s="2">
        <v>25413</v>
      </c>
      <c r="E2941" s="17">
        <v>53565.57</v>
      </c>
      <c r="F2941" s="11">
        <v>6.6</v>
      </c>
      <c r="G2941" s="9">
        <v>3895.5</v>
      </c>
      <c r="H2941" s="10">
        <v>0.55600000000000005</v>
      </c>
      <c r="I2941" s="11">
        <v>5.7</v>
      </c>
    </row>
    <row r="2942" spans="1:9" x14ac:dyDescent="0.35">
      <c r="A2942" s="2" t="s">
        <v>299</v>
      </c>
      <c r="B2942" s="3">
        <v>45292</v>
      </c>
      <c r="C2942" s="2">
        <v>22</v>
      </c>
      <c r="D2942" s="2">
        <v>29374</v>
      </c>
      <c r="E2942" s="17">
        <v>60731.99</v>
      </c>
      <c r="F2942" s="11">
        <v>6.63</v>
      </c>
      <c r="G2942" s="9">
        <v>4423.1000000000004</v>
      </c>
      <c r="H2942" s="10">
        <v>0.5</v>
      </c>
      <c r="I2942" s="11">
        <v>7</v>
      </c>
    </row>
    <row r="2943" spans="1:9" x14ac:dyDescent="0.35">
      <c r="A2943" s="2" t="s">
        <v>299</v>
      </c>
      <c r="B2943" s="3">
        <v>45323</v>
      </c>
      <c r="C2943" s="2">
        <v>19</v>
      </c>
      <c r="D2943" s="2">
        <v>31994</v>
      </c>
      <c r="E2943" s="17">
        <v>64109.95</v>
      </c>
      <c r="F2943" s="11">
        <v>6.41</v>
      </c>
      <c r="G2943" s="9">
        <v>4983.8</v>
      </c>
      <c r="H2943" s="10">
        <v>0.316</v>
      </c>
      <c r="I2943" s="11">
        <v>6.8</v>
      </c>
    </row>
    <row r="2944" spans="1:9" x14ac:dyDescent="0.35">
      <c r="A2944" s="2" t="s">
        <v>299</v>
      </c>
      <c r="B2944" s="3">
        <v>45352</v>
      </c>
      <c r="C2944" s="2">
        <v>26</v>
      </c>
      <c r="D2944" s="2">
        <v>40622</v>
      </c>
      <c r="E2944" s="17">
        <v>88655.7</v>
      </c>
      <c r="F2944" s="11">
        <v>6.62</v>
      </c>
      <c r="G2944" s="9">
        <v>6231.8</v>
      </c>
      <c r="H2944" s="10">
        <v>0.42299999999999999</v>
      </c>
      <c r="I2944" s="11">
        <v>6.4</v>
      </c>
    </row>
    <row r="2945" spans="1:9" x14ac:dyDescent="0.35">
      <c r="A2945" s="2" t="s">
        <v>299</v>
      </c>
      <c r="B2945" s="3">
        <v>45383</v>
      </c>
      <c r="C2945" s="2">
        <v>22</v>
      </c>
      <c r="D2945" s="2">
        <v>25193</v>
      </c>
      <c r="E2945" s="17">
        <v>55990.02</v>
      </c>
      <c r="F2945" s="11">
        <v>6.49</v>
      </c>
      <c r="G2945" s="9">
        <v>3875.5</v>
      </c>
      <c r="H2945" s="10">
        <v>0.318</v>
      </c>
      <c r="I2945" s="11">
        <v>6.5</v>
      </c>
    </row>
    <row r="2946" spans="1:9" x14ac:dyDescent="0.35">
      <c r="A2946" s="2" t="s">
        <v>299</v>
      </c>
      <c r="B2946" s="3">
        <v>45413</v>
      </c>
      <c r="C2946" s="2">
        <v>19</v>
      </c>
      <c r="D2946" s="2">
        <v>29984</v>
      </c>
      <c r="E2946" s="17">
        <v>64042.44</v>
      </c>
      <c r="F2946" s="11">
        <v>6.61</v>
      </c>
      <c r="G2946" s="9">
        <v>4590.5</v>
      </c>
      <c r="H2946" s="10">
        <v>0.63200000000000001</v>
      </c>
      <c r="I2946" s="11">
        <v>7.8</v>
      </c>
    </row>
    <row r="2947" spans="1:9" x14ac:dyDescent="0.35">
      <c r="A2947" s="2" t="s">
        <v>299</v>
      </c>
      <c r="B2947" s="3">
        <v>45444</v>
      </c>
      <c r="C2947" s="2">
        <v>23</v>
      </c>
      <c r="D2947" s="2">
        <v>38885</v>
      </c>
      <c r="E2947" s="17">
        <v>88029.33</v>
      </c>
      <c r="F2947" s="11">
        <v>6.38</v>
      </c>
      <c r="G2947" s="9">
        <v>6162.5</v>
      </c>
      <c r="H2947" s="10">
        <v>0.435</v>
      </c>
      <c r="I2947" s="11">
        <v>7.4</v>
      </c>
    </row>
    <row r="2948" spans="1:9" x14ac:dyDescent="0.35">
      <c r="A2948" s="2" t="s">
        <v>299</v>
      </c>
      <c r="B2948" s="3">
        <v>45474</v>
      </c>
      <c r="C2948" s="2">
        <v>21</v>
      </c>
      <c r="D2948" s="2">
        <v>28196</v>
      </c>
      <c r="E2948" s="17">
        <v>61926.22</v>
      </c>
      <c r="F2948" s="11">
        <v>6.67</v>
      </c>
      <c r="G2948" s="9">
        <v>4231.8999999999996</v>
      </c>
      <c r="H2948" s="10">
        <v>0.66700000000000004</v>
      </c>
      <c r="I2948" s="11">
        <v>7.3</v>
      </c>
    </row>
    <row r="2949" spans="1:9" x14ac:dyDescent="0.35">
      <c r="A2949" s="2" t="s">
        <v>299</v>
      </c>
      <c r="B2949" s="3">
        <v>45505</v>
      </c>
      <c r="C2949" s="2">
        <v>18</v>
      </c>
      <c r="D2949" s="2">
        <v>31056</v>
      </c>
      <c r="E2949" s="17">
        <v>66978.44</v>
      </c>
      <c r="F2949" s="11">
        <v>6.43</v>
      </c>
      <c r="G2949" s="9">
        <v>4951.1000000000004</v>
      </c>
      <c r="H2949" s="10">
        <v>0.33300000000000002</v>
      </c>
      <c r="I2949" s="11">
        <v>6.9</v>
      </c>
    </row>
    <row r="2950" spans="1:9" x14ac:dyDescent="0.35">
      <c r="A2950" s="2" t="s">
        <v>299</v>
      </c>
      <c r="B2950" s="3">
        <v>45536</v>
      </c>
      <c r="C2950" s="2">
        <v>17</v>
      </c>
      <c r="D2950" s="2">
        <v>27054</v>
      </c>
      <c r="E2950" s="17">
        <v>57864.71</v>
      </c>
      <c r="F2950" s="11">
        <v>6.38</v>
      </c>
      <c r="G2950" s="9">
        <v>4279.7</v>
      </c>
      <c r="H2950" s="10">
        <v>0.52900000000000003</v>
      </c>
      <c r="I2950" s="11">
        <v>6.9</v>
      </c>
    </row>
    <row r="2951" spans="1:9" x14ac:dyDescent="0.35">
      <c r="A2951" s="2" t="s">
        <v>299</v>
      </c>
      <c r="B2951" s="3">
        <v>45566</v>
      </c>
      <c r="C2951" s="2">
        <v>16</v>
      </c>
      <c r="D2951" s="2">
        <v>22872</v>
      </c>
      <c r="E2951" s="17">
        <v>48877.95</v>
      </c>
      <c r="F2951" s="11">
        <v>6.48</v>
      </c>
      <c r="G2951" s="9">
        <v>3594.8</v>
      </c>
      <c r="H2951" s="10">
        <v>0.312</v>
      </c>
      <c r="I2951" s="11">
        <v>7.3</v>
      </c>
    </row>
    <row r="2952" spans="1:9" x14ac:dyDescent="0.35">
      <c r="A2952" s="2" t="s">
        <v>299</v>
      </c>
      <c r="B2952" s="3">
        <v>45597</v>
      </c>
      <c r="C2952" s="2">
        <v>16</v>
      </c>
      <c r="D2952" s="2">
        <v>25316</v>
      </c>
      <c r="E2952" s="17">
        <v>54001.99</v>
      </c>
      <c r="F2952" s="11">
        <v>6.39</v>
      </c>
      <c r="G2952" s="9">
        <v>4011</v>
      </c>
      <c r="H2952" s="10">
        <v>0.438</v>
      </c>
      <c r="I2952" s="11">
        <v>7.7</v>
      </c>
    </row>
    <row r="2953" spans="1:9" x14ac:dyDescent="0.35">
      <c r="A2953" s="2" t="s">
        <v>299</v>
      </c>
      <c r="B2953" s="3">
        <v>45627</v>
      </c>
      <c r="C2953" s="2">
        <v>19</v>
      </c>
      <c r="D2953" s="2">
        <v>23177</v>
      </c>
      <c r="E2953" s="17">
        <v>45241.120000000003</v>
      </c>
      <c r="F2953" s="11">
        <v>6.35</v>
      </c>
      <c r="G2953" s="9">
        <v>3773.8</v>
      </c>
      <c r="H2953" s="10">
        <v>0.52600000000000002</v>
      </c>
      <c r="I2953" s="11">
        <v>7</v>
      </c>
    </row>
    <row r="2954" spans="1:9" x14ac:dyDescent="0.35">
      <c r="A2954" s="2" t="s">
        <v>301</v>
      </c>
      <c r="B2954" s="3">
        <v>44562</v>
      </c>
      <c r="C2954" s="2">
        <v>15</v>
      </c>
      <c r="D2954" s="2">
        <v>22765</v>
      </c>
      <c r="E2954" s="17">
        <v>50655.5</v>
      </c>
      <c r="F2954" s="11">
        <v>6.66</v>
      </c>
      <c r="G2954" s="9">
        <v>3475</v>
      </c>
      <c r="H2954" s="10">
        <v>0.4</v>
      </c>
      <c r="I2954" s="11">
        <v>7.2</v>
      </c>
    </row>
    <row r="2955" spans="1:9" x14ac:dyDescent="0.35">
      <c r="A2955" s="2" t="s">
        <v>301</v>
      </c>
      <c r="B2955" s="3">
        <v>44593</v>
      </c>
      <c r="C2955" s="2">
        <v>17</v>
      </c>
      <c r="D2955" s="2">
        <v>27048</v>
      </c>
      <c r="E2955" s="17">
        <v>58657.06</v>
      </c>
      <c r="F2955" s="11">
        <v>6.6</v>
      </c>
      <c r="G2955" s="9">
        <v>4170.8999999999996</v>
      </c>
      <c r="H2955" s="10">
        <v>0.35299999999999998</v>
      </c>
      <c r="I2955" s="11">
        <v>8.1</v>
      </c>
    </row>
    <row r="2956" spans="1:9" x14ac:dyDescent="0.35">
      <c r="A2956" s="2" t="s">
        <v>301</v>
      </c>
      <c r="B2956" s="3">
        <v>44621</v>
      </c>
      <c r="C2956" s="2">
        <v>24</v>
      </c>
      <c r="D2956" s="2">
        <v>34275</v>
      </c>
      <c r="E2956" s="17">
        <v>74826.880000000005</v>
      </c>
      <c r="F2956" s="11">
        <v>6.58</v>
      </c>
      <c r="G2956" s="9">
        <v>5214.1000000000004</v>
      </c>
      <c r="H2956" s="10">
        <v>0.41699999999999998</v>
      </c>
      <c r="I2956" s="11">
        <v>7.2</v>
      </c>
    </row>
    <row r="2957" spans="1:9" x14ac:dyDescent="0.35">
      <c r="A2957" s="2" t="s">
        <v>301</v>
      </c>
      <c r="B2957" s="3">
        <v>44652</v>
      </c>
      <c r="C2957" s="2">
        <v>16</v>
      </c>
      <c r="D2957" s="2">
        <v>23617</v>
      </c>
      <c r="E2957" s="17">
        <v>48499.83</v>
      </c>
      <c r="F2957" s="11">
        <v>6.5</v>
      </c>
      <c r="G2957" s="9">
        <v>3668.1</v>
      </c>
      <c r="H2957" s="10">
        <v>0.438</v>
      </c>
      <c r="I2957" s="11">
        <v>6.4</v>
      </c>
    </row>
    <row r="2958" spans="1:9" x14ac:dyDescent="0.35">
      <c r="A2958" s="2" t="s">
        <v>301</v>
      </c>
      <c r="B2958" s="3">
        <v>44682</v>
      </c>
      <c r="C2958" s="2">
        <v>25</v>
      </c>
      <c r="D2958" s="2">
        <v>37833</v>
      </c>
      <c r="E2958" s="17">
        <v>84855.25</v>
      </c>
      <c r="F2958" s="11">
        <v>6.54</v>
      </c>
      <c r="G2958" s="9">
        <v>5822.3</v>
      </c>
      <c r="H2958" s="10">
        <v>0.4</v>
      </c>
      <c r="I2958" s="11">
        <v>6.5</v>
      </c>
    </row>
    <row r="2959" spans="1:9" x14ac:dyDescent="0.35">
      <c r="A2959" s="2" t="s">
        <v>301</v>
      </c>
      <c r="B2959" s="3">
        <v>44713</v>
      </c>
      <c r="C2959" s="2">
        <v>22</v>
      </c>
      <c r="D2959" s="2">
        <v>38510</v>
      </c>
      <c r="E2959" s="17">
        <v>87955.43</v>
      </c>
      <c r="F2959" s="11">
        <v>6.45</v>
      </c>
      <c r="G2959" s="9">
        <v>6034.5</v>
      </c>
      <c r="H2959" s="10">
        <v>0.36399999999999999</v>
      </c>
      <c r="I2959" s="11">
        <v>6.6</v>
      </c>
    </row>
    <row r="2960" spans="1:9" x14ac:dyDescent="0.35">
      <c r="A2960" s="2" t="s">
        <v>301</v>
      </c>
      <c r="B2960" s="3">
        <v>44743</v>
      </c>
      <c r="C2960" s="2">
        <v>21</v>
      </c>
      <c r="D2960" s="2">
        <v>30202</v>
      </c>
      <c r="E2960" s="17">
        <v>66772.28</v>
      </c>
      <c r="F2960" s="11">
        <v>6.65</v>
      </c>
      <c r="G2960" s="9">
        <v>4523</v>
      </c>
      <c r="H2960" s="10">
        <v>0.33300000000000002</v>
      </c>
      <c r="I2960" s="11">
        <v>5.9</v>
      </c>
    </row>
    <row r="2961" spans="1:9" x14ac:dyDescent="0.35">
      <c r="A2961" s="2" t="s">
        <v>301</v>
      </c>
      <c r="B2961" s="3">
        <v>44774</v>
      </c>
      <c r="C2961" s="2">
        <v>14</v>
      </c>
      <c r="D2961" s="2">
        <v>19036</v>
      </c>
      <c r="E2961" s="17">
        <v>41786.82</v>
      </c>
      <c r="F2961" s="11">
        <v>6.77</v>
      </c>
      <c r="G2961" s="9">
        <v>2868.5</v>
      </c>
      <c r="H2961" s="10">
        <v>0.5</v>
      </c>
      <c r="I2961" s="11">
        <v>7.2</v>
      </c>
    </row>
    <row r="2962" spans="1:9" x14ac:dyDescent="0.35">
      <c r="A2962" s="2" t="s">
        <v>301</v>
      </c>
      <c r="B2962" s="3">
        <v>44805</v>
      </c>
      <c r="C2962" s="2">
        <v>12</v>
      </c>
      <c r="D2962" s="2">
        <v>15746</v>
      </c>
      <c r="E2962" s="17">
        <v>35416.639999999999</v>
      </c>
      <c r="F2962" s="11">
        <v>6.45</v>
      </c>
      <c r="G2962" s="9">
        <v>2421.1999999999998</v>
      </c>
      <c r="H2962" s="10">
        <v>0.66700000000000004</v>
      </c>
      <c r="I2962" s="11">
        <v>6.5</v>
      </c>
    </row>
    <row r="2963" spans="1:9" x14ac:dyDescent="0.35">
      <c r="A2963" s="2" t="s">
        <v>301</v>
      </c>
      <c r="B2963" s="3">
        <v>44835</v>
      </c>
      <c r="C2963" s="2">
        <v>18</v>
      </c>
      <c r="D2963" s="2">
        <v>22755</v>
      </c>
      <c r="E2963" s="17">
        <v>49620.99</v>
      </c>
      <c r="F2963" s="11">
        <v>6.38</v>
      </c>
      <c r="G2963" s="9">
        <v>3572.8</v>
      </c>
      <c r="H2963" s="10">
        <v>0.55600000000000005</v>
      </c>
      <c r="I2963" s="11">
        <v>7.4</v>
      </c>
    </row>
    <row r="2964" spans="1:9" x14ac:dyDescent="0.35">
      <c r="A2964" s="2" t="s">
        <v>301</v>
      </c>
      <c r="B2964" s="3">
        <v>44866</v>
      </c>
      <c r="C2964" s="2">
        <v>16</v>
      </c>
      <c r="D2964" s="2">
        <v>21524</v>
      </c>
      <c r="E2964" s="17">
        <v>48417.06</v>
      </c>
      <c r="F2964" s="11">
        <v>6.06</v>
      </c>
      <c r="G2964" s="9">
        <v>3584.1</v>
      </c>
      <c r="H2964" s="10">
        <v>0.375</v>
      </c>
      <c r="I2964" s="11">
        <v>8.1999999999999993</v>
      </c>
    </row>
    <row r="2965" spans="1:9" x14ac:dyDescent="0.35">
      <c r="A2965" s="2" t="s">
        <v>301</v>
      </c>
      <c r="B2965" s="3">
        <v>44896</v>
      </c>
      <c r="C2965" s="2">
        <v>16</v>
      </c>
      <c r="D2965" s="2">
        <v>24178</v>
      </c>
      <c r="E2965" s="17">
        <v>58519.45</v>
      </c>
      <c r="F2965" s="11">
        <v>6.42</v>
      </c>
      <c r="G2965" s="9">
        <v>3771.3</v>
      </c>
      <c r="H2965" s="10">
        <v>0.375</v>
      </c>
      <c r="I2965" s="11">
        <v>7</v>
      </c>
    </row>
    <row r="2966" spans="1:9" x14ac:dyDescent="0.35">
      <c r="A2966" s="2" t="s">
        <v>301</v>
      </c>
      <c r="B2966" s="3">
        <v>44927</v>
      </c>
      <c r="C2966" s="2">
        <v>19</v>
      </c>
      <c r="D2966" s="2">
        <v>33187</v>
      </c>
      <c r="E2966" s="17">
        <v>72708.350000000006</v>
      </c>
      <c r="F2966" s="11">
        <v>6.47</v>
      </c>
      <c r="G2966" s="9">
        <v>5152.1000000000004</v>
      </c>
      <c r="H2966" s="10">
        <v>0.52600000000000002</v>
      </c>
      <c r="I2966" s="11">
        <v>5.8</v>
      </c>
    </row>
    <row r="2967" spans="1:9" x14ac:dyDescent="0.35">
      <c r="A2967" s="2" t="s">
        <v>301</v>
      </c>
      <c r="B2967" s="3">
        <v>44958</v>
      </c>
      <c r="C2967" s="2">
        <v>18</v>
      </c>
      <c r="D2967" s="2">
        <v>26680</v>
      </c>
      <c r="E2967" s="17">
        <v>58099.71</v>
      </c>
      <c r="F2967" s="11">
        <v>6.41</v>
      </c>
      <c r="G2967" s="9">
        <v>4090.8</v>
      </c>
      <c r="H2967" s="10">
        <v>0.16700000000000001</v>
      </c>
      <c r="I2967" s="11">
        <v>6.4</v>
      </c>
    </row>
    <row r="2968" spans="1:9" x14ac:dyDescent="0.35">
      <c r="A2968" s="2" t="s">
        <v>301</v>
      </c>
      <c r="B2968" s="3">
        <v>44986</v>
      </c>
      <c r="C2968" s="2">
        <v>21</v>
      </c>
      <c r="D2968" s="2">
        <v>24660</v>
      </c>
      <c r="E2968" s="17">
        <v>51779.4</v>
      </c>
      <c r="F2968" s="11">
        <v>6.57</v>
      </c>
      <c r="G2968" s="9">
        <v>3748.5</v>
      </c>
      <c r="H2968" s="10">
        <v>0.42899999999999999</v>
      </c>
      <c r="I2968" s="11">
        <v>8.1999999999999993</v>
      </c>
    </row>
    <row r="2969" spans="1:9" x14ac:dyDescent="0.35">
      <c r="A2969" s="2" t="s">
        <v>301</v>
      </c>
      <c r="B2969" s="3">
        <v>45017</v>
      </c>
      <c r="C2969" s="2">
        <v>14</v>
      </c>
      <c r="D2969" s="2">
        <v>25140</v>
      </c>
      <c r="E2969" s="17">
        <v>56575.14</v>
      </c>
      <c r="F2969" s="11">
        <v>6.27</v>
      </c>
      <c r="G2969" s="9">
        <v>4056.8</v>
      </c>
      <c r="H2969" s="10">
        <v>0.5</v>
      </c>
      <c r="I2969" s="11">
        <v>6.8</v>
      </c>
    </row>
    <row r="2970" spans="1:9" x14ac:dyDescent="0.35">
      <c r="A2970" s="2" t="s">
        <v>301</v>
      </c>
      <c r="B2970" s="3">
        <v>45047</v>
      </c>
      <c r="C2970" s="2">
        <v>19</v>
      </c>
      <c r="D2970" s="2">
        <v>25381</v>
      </c>
      <c r="E2970" s="17">
        <v>53384.2</v>
      </c>
      <c r="F2970" s="11">
        <v>6.64</v>
      </c>
      <c r="G2970" s="9">
        <v>3857.5</v>
      </c>
      <c r="H2970" s="10">
        <v>0.42099999999999999</v>
      </c>
      <c r="I2970" s="11">
        <v>6.3</v>
      </c>
    </row>
    <row r="2971" spans="1:9" x14ac:dyDescent="0.35">
      <c r="A2971" s="2" t="s">
        <v>301</v>
      </c>
      <c r="B2971" s="3">
        <v>45078</v>
      </c>
      <c r="C2971" s="2">
        <v>16</v>
      </c>
      <c r="D2971" s="2">
        <v>23973</v>
      </c>
      <c r="E2971" s="17">
        <v>50166.85</v>
      </c>
      <c r="F2971" s="11">
        <v>6.55</v>
      </c>
      <c r="G2971" s="9">
        <v>3625.7</v>
      </c>
      <c r="H2971" s="10">
        <v>0.438</v>
      </c>
      <c r="I2971" s="11">
        <v>6.6</v>
      </c>
    </row>
    <row r="2972" spans="1:9" x14ac:dyDescent="0.35">
      <c r="A2972" s="2" t="s">
        <v>301</v>
      </c>
      <c r="B2972" s="3">
        <v>45108</v>
      </c>
      <c r="C2972" s="2">
        <v>20</v>
      </c>
      <c r="D2972" s="2">
        <v>28338</v>
      </c>
      <c r="E2972" s="17">
        <v>59057.61</v>
      </c>
      <c r="F2972" s="11">
        <v>6.28</v>
      </c>
      <c r="G2972" s="9">
        <v>4550.2</v>
      </c>
      <c r="H2972" s="10">
        <v>0.35</v>
      </c>
      <c r="I2972" s="11">
        <v>7.7</v>
      </c>
    </row>
    <row r="2973" spans="1:9" x14ac:dyDescent="0.35">
      <c r="A2973" s="2" t="s">
        <v>301</v>
      </c>
      <c r="B2973" s="3">
        <v>45139</v>
      </c>
      <c r="C2973" s="2">
        <v>18</v>
      </c>
      <c r="D2973" s="2">
        <v>25573</v>
      </c>
      <c r="E2973" s="17">
        <v>57642.559999999998</v>
      </c>
      <c r="F2973" s="11">
        <v>6.7</v>
      </c>
      <c r="G2973" s="9">
        <v>3919.4</v>
      </c>
      <c r="H2973" s="10">
        <v>0.38900000000000001</v>
      </c>
      <c r="I2973" s="11">
        <v>7.3</v>
      </c>
    </row>
    <row r="2974" spans="1:9" x14ac:dyDescent="0.35">
      <c r="A2974" s="2" t="s">
        <v>301</v>
      </c>
      <c r="B2974" s="3">
        <v>45170</v>
      </c>
      <c r="C2974" s="2">
        <v>25</v>
      </c>
      <c r="D2974" s="2">
        <v>38360</v>
      </c>
      <c r="E2974" s="17">
        <v>78764.320000000007</v>
      </c>
      <c r="F2974" s="11">
        <v>6.51</v>
      </c>
      <c r="G2974" s="9">
        <v>5962.5</v>
      </c>
      <c r="H2974" s="10">
        <v>0.44</v>
      </c>
      <c r="I2974" s="11">
        <v>7.2</v>
      </c>
    </row>
    <row r="2975" spans="1:9" x14ac:dyDescent="0.35">
      <c r="A2975" s="2" t="s">
        <v>301</v>
      </c>
      <c r="B2975" s="3">
        <v>45200</v>
      </c>
      <c r="C2975" s="2">
        <v>21</v>
      </c>
      <c r="D2975" s="2">
        <v>28219</v>
      </c>
      <c r="E2975" s="17">
        <v>65831.41</v>
      </c>
      <c r="F2975" s="11">
        <v>6.35</v>
      </c>
      <c r="G2975" s="9">
        <v>4523.3999999999996</v>
      </c>
      <c r="H2975" s="10">
        <v>0.38100000000000001</v>
      </c>
      <c r="I2975" s="11">
        <v>7.9</v>
      </c>
    </row>
    <row r="2976" spans="1:9" x14ac:dyDescent="0.35">
      <c r="A2976" s="2" t="s">
        <v>301</v>
      </c>
      <c r="B2976" s="3">
        <v>45231</v>
      </c>
      <c r="C2976" s="2">
        <v>22</v>
      </c>
      <c r="D2976" s="2">
        <v>24902</v>
      </c>
      <c r="E2976" s="17">
        <v>58443.74</v>
      </c>
      <c r="F2976" s="11">
        <v>6.49</v>
      </c>
      <c r="G2976" s="9">
        <v>3885.7</v>
      </c>
      <c r="H2976" s="10">
        <v>0.54500000000000004</v>
      </c>
      <c r="I2976" s="11">
        <v>6</v>
      </c>
    </row>
    <row r="2977" spans="1:9" x14ac:dyDescent="0.35">
      <c r="A2977" s="2" t="s">
        <v>301</v>
      </c>
      <c r="B2977" s="3">
        <v>45261</v>
      </c>
      <c r="C2977" s="2">
        <v>27</v>
      </c>
      <c r="D2977" s="2">
        <v>44006</v>
      </c>
      <c r="E2977" s="17">
        <v>94457.47</v>
      </c>
      <c r="F2977" s="11">
        <v>6.49</v>
      </c>
      <c r="G2977" s="9">
        <v>6801.1</v>
      </c>
      <c r="H2977" s="10">
        <v>0.222</v>
      </c>
      <c r="I2977" s="11">
        <v>6.4</v>
      </c>
    </row>
    <row r="2978" spans="1:9" x14ac:dyDescent="0.35">
      <c r="A2978" s="2" t="s">
        <v>301</v>
      </c>
      <c r="B2978" s="3">
        <v>45292</v>
      </c>
      <c r="C2978" s="2">
        <v>11</v>
      </c>
      <c r="D2978" s="2">
        <v>15169</v>
      </c>
      <c r="E2978" s="17">
        <v>37740.300000000003</v>
      </c>
      <c r="F2978" s="11">
        <v>6.46</v>
      </c>
      <c r="G2978" s="9">
        <v>2321.9</v>
      </c>
      <c r="H2978" s="10">
        <v>0.45500000000000002</v>
      </c>
      <c r="I2978" s="11">
        <v>7.2</v>
      </c>
    </row>
    <row r="2979" spans="1:9" x14ac:dyDescent="0.35">
      <c r="A2979" s="2" t="s">
        <v>301</v>
      </c>
      <c r="B2979" s="3">
        <v>45323</v>
      </c>
      <c r="C2979" s="2">
        <v>14</v>
      </c>
      <c r="D2979" s="2">
        <v>19693</v>
      </c>
      <c r="E2979" s="17">
        <v>44084.25</v>
      </c>
      <c r="F2979" s="11">
        <v>6.57</v>
      </c>
      <c r="G2979" s="9">
        <v>3085.3</v>
      </c>
      <c r="H2979" s="10">
        <v>0.5</v>
      </c>
      <c r="I2979" s="11">
        <v>8.3000000000000007</v>
      </c>
    </row>
    <row r="2980" spans="1:9" x14ac:dyDescent="0.35">
      <c r="A2980" s="2" t="s">
        <v>301</v>
      </c>
      <c r="B2980" s="3">
        <v>45352</v>
      </c>
      <c r="C2980" s="2">
        <v>22</v>
      </c>
      <c r="D2980" s="2">
        <v>30547</v>
      </c>
      <c r="E2980" s="17">
        <v>72919.759999999995</v>
      </c>
      <c r="F2980" s="11">
        <v>6.54</v>
      </c>
      <c r="G2980" s="9">
        <v>4704.8</v>
      </c>
      <c r="H2980" s="10">
        <v>0.36399999999999999</v>
      </c>
      <c r="I2980" s="11">
        <v>6.2</v>
      </c>
    </row>
    <row r="2981" spans="1:9" x14ac:dyDescent="0.35">
      <c r="A2981" s="2" t="s">
        <v>301</v>
      </c>
      <c r="B2981" s="3">
        <v>45383</v>
      </c>
      <c r="C2981" s="2">
        <v>21</v>
      </c>
      <c r="D2981" s="2">
        <v>27600</v>
      </c>
      <c r="E2981" s="17">
        <v>60235.57</v>
      </c>
      <c r="F2981" s="11">
        <v>6.62</v>
      </c>
      <c r="G2981" s="9">
        <v>4246.3999999999996</v>
      </c>
      <c r="H2981" s="10">
        <v>0.52400000000000002</v>
      </c>
      <c r="I2981" s="11">
        <v>7.6</v>
      </c>
    </row>
    <row r="2982" spans="1:9" x14ac:dyDescent="0.35">
      <c r="A2982" s="2" t="s">
        <v>301</v>
      </c>
      <c r="B2982" s="3">
        <v>45413</v>
      </c>
      <c r="C2982" s="2">
        <v>21</v>
      </c>
      <c r="D2982" s="2">
        <v>32136</v>
      </c>
      <c r="E2982" s="17">
        <v>69637.36</v>
      </c>
      <c r="F2982" s="11">
        <v>6.38</v>
      </c>
      <c r="G2982" s="9">
        <v>5079.6000000000004</v>
      </c>
      <c r="H2982" s="10">
        <v>0.33300000000000002</v>
      </c>
      <c r="I2982" s="11">
        <v>6.9</v>
      </c>
    </row>
    <row r="2983" spans="1:9" x14ac:dyDescent="0.35">
      <c r="A2983" s="2" t="s">
        <v>301</v>
      </c>
      <c r="B2983" s="3">
        <v>45444</v>
      </c>
      <c r="C2983" s="2">
        <v>17</v>
      </c>
      <c r="D2983" s="2">
        <v>23089</v>
      </c>
      <c r="E2983" s="17">
        <v>45989.88</v>
      </c>
      <c r="F2983" s="11">
        <v>6.47</v>
      </c>
      <c r="G2983" s="9">
        <v>3619.6</v>
      </c>
      <c r="H2983" s="10">
        <v>0.64700000000000002</v>
      </c>
      <c r="I2983" s="11">
        <v>7.3</v>
      </c>
    </row>
    <row r="2984" spans="1:9" x14ac:dyDescent="0.35">
      <c r="A2984" s="2" t="s">
        <v>301</v>
      </c>
      <c r="B2984" s="3">
        <v>45474</v>
      </c>
      <c r="C2984" s="2">
        <v>18</v>
      </c>
      <c r="D2984" s="2">
        <v>19959</v>
      </c>
      <c r="E2984" s="17">
        <v>44245.11</v>
      </c>
      <c r="F2984" s="11">
        <v>6.5</v>
      </c>
      <c r="G2984" s="9">
        <v>3026.2</v>
      </c>
      <c r="H2984" s="10">
        <v>0.44400000000000001</v>
      </c>
      <c r="I2984" s="11">
        <v>6.8</v>
      </c>
    </row>
    <row r="2985" spans="1:9" x14ac:dyDescent="0.35">
      <c r="A2985" s="2" t="s">
        <v>301</v>
      </c>
      <c r="B2985" s="3">
        <v>45505</v>
      </c>
      <c r="C2985" s="2">
        <v>12</v>
      </c>
      <c r="D2985" s="2">
        <v>19630</v>
      </c>
      <c r="E2985" s="17">
        <v>45056.73</v>
      </c>
      <c r="F2985" s="11">
        <v>6.84</v>
      </c>
      <c r="G2985" s="9">
        <v>2840.7</v>
      </c>
      <c r="H2985" s="10">
        <v>0.5</v>
      </c>
      <c r="I2985" s="11">
        <v>6.8</v>
      </c>
    </row>
    <row r="2986" spans="1:9" x14ac:dyDescent="0.35">
      <c r="A2986" s="2" t="s">
        <v>301</v>
      </c>
      <c r="B2986" s="3">
        <v>45536</v>
      </c>
      <c r="C2986" s="2">
        <v>17</v>
      </c>
      <c r="D2986" s="2">
        <v>18546</v>
      </c>
      <c r="E2986" s="17">
        <v>38057.050000000003</v>
      </c>
      <c r="F2986" s="11">
        <v>6.58</v>
      </c>
      <c r="G2986" s="9">
        <v>2846.8</v>
      </c>
      <c r="H2986" s="10">
        <v>0.58799999999999997</v>
      </c>
      <c r="I2986" s="11">
        <v>5.5</v>
      </c>
    </row>
    <row r="2987" spans="1:9" x14ac:dyDescent="0.35">
      <c r="A2987" s="2" t="s">
        <v>301</v>
      </c>
      <c r="B2987" s="3">
        <v>45566</v>
      </c>
      <c r="C2987" s="2">
        <v>29</v>
      </c>
      <c r="D2987" s="2">
        <v>41213</v>
      </c>
      <c r="E2987" s="17">
        <v>91468.79</v>
      </c>
      <c r="F2987" s="11">
        <v>6.57</v>
      </c>
      <c r="G2987" s="9">
        <v>6361.3</v>
      </c>
      <c r="H2987" s="10">
        <v>0.44800000000000001</v>
      </c>
      <c r="I2987" s="11">
        <v>7.5</v>
      </c>
    </row>
    <row r="2988" spans="1:9" x14ac:dyDescent="0.35">
      <c r="A2988" s="2" t="s">
        <v>301</v>
      </c>
      <c r="B2988" s="3">
        <v>45597</v>
      </c>
      <c r="C2988" s="2">
        <v>14</v>
      </c>
      <c r="D2988" s="2">
        <v>21315</v>
      </c>
      <c r="E2988" s="17">
        <v>48636.98</v>
      </c>
      <c r="F2988" s="11">
        <v>6.58</v>
      </c>
      <c r="G2988" s="9">
        <v>3320.8</v>
      </c>
      <c r="H2988" s="10">
        <v>0.42899999999999999</v>
      </c>
      <c r="I2988" s="11">
        <v>7.3</v>
      </c>
    </row>
    <row r="2989" spans="1:9" x14ac:dyDescent="0.35">
      <c r="A2989" s="2" t="s">
        <v>301</v>
      </c>
      <c r="B2989" s="3">
        <v>45627</v>
      </c>
      <c r="C2989" s="2">
        <v>12</v>
      </c>
      <c r="D2989" s="2">
        <v>18002</v>
      </c>
      <c r="E2989" s="17">
        <v>40734.53</v>
      </c>
      <c r="F2989" s="11">
        <v>6.68</v>
      </c>
      <c r="G2989" s="9">
        <v>2736.7</v>
      </c>
      <c r="H2989" s="10">
        <v>0.16700000000000001</v>
      </c>
      <c r="I2989" s="11">
        <v>7.9</v>
      </c>
    </row>
    <row r="2990" spans="1:9" x14ac:dyDescent="0.35">
      <c r="A2990" s="2" t="s">
        <v>303</v>
      </c>
      <c r="B2990" s="3">
        <v>44562</v>
      </c>
      <c r="C2990" s="2">
        <v>23</v>
      </c>
      <c r="D2990" s="2">
        <v>33275</v>
      </c>
      <c r="E2990" s="17">
        <v>70037.42</v>
      </c>
      <c r="F2990" s="11">
        <v>6.46</v>
      </c>
      <c r="G2990" s="9">
        <v>5150.3</v>
      </c>
      <c r="H2990" s="10">
        <v>0.26100000000000001</v>
      </c>
      <c r="I2990" s="11">
        <v>6.5</v>
      </c>
    </row>
    <row r="2991" spans="1:9" x14ac:dyDescent="0.35">
      <c r="A2991" s="2" t="s">
        <v>303</v>
      </c>
      <c r="B2991" s="3">
        <v>44593</v>
      </c>
      <c r="C2991" s="2">
        <v>20</v>
      </c>
      <c r="D2991" s="2">
        <v>29548</v>
      </c>
      <c r="E2991" s="17">
        <v>61537.81</v>
      </c>
      <c r="F2991" s="11">
        <v>6.31</v>
      </c>
      <c r="G2991" s="9">
        <v>4705.8999999999996</v>
      </c>
      <c r="H2991" s="10">
        <v>0.2</v>
      </c>
      <c r="I2991" s="11">
        <v>7.8</v>
      </c>
    </row>
    <row r="2992" spans="1:9" x14ac:dyDescent="0.35">
      <c r="A2992" s="2" t="s">
        <v>303</v>
      </c>
      <c r="B2992" s="3">
        <v>44621</v>
      </c>
      <c r="C2992" s="2">
        <v>8</v>
      </c>
      <c r="D2992" s="2">
        <v>12745</v>
      </c>
      <c r="E2992" s="17">
        <v>28800.54</v>
      </c>
      <c r="F2992" s="11">
        <v>6.47</v>
      </c>
      <c r="G2992" s="9">
        <v>1958.2</v>
      </c>
      <c r="H2992" s="10">
        <v>0.625</v>
      </c>
      <c r="I2992" s="11">
        <v>8.4</v>
      </c>
    </row>
    <row r="2993" spans="1:9" x14ac:dyDescent="0.35">
      <c r="A2993" s="2" t="s">
        <v>303</v>
      </c>
      <c r="B2993" s="3">
        <v>44652</v>
      </c>
      <c r="C2993" s="2">
        <v>16</v>
      </c>
      <c r="D2993" s="2">
        <v>24147</v>
      </c>
      <c r="E2993" s="17">
        <v>51075.53</v>
      </c>
      <c r="F2993" s="11">
        <v>6.37</v>
      </c>
      <c r="G2993" s="9">
        <v>3759.1</v>
      </c>
      <c r="H2993" s="10">
        <v>0.375</v>
      </c>
      <c r="I2993" s="11">
        <v>7</v>
      </c>
    </row>
    <row r="2994" spans="1:9" x14ac:dyDescent="0.35">
      <c r="A2994" s="2" t="s">
        <v>303</v>
      </c>
      <c r="B2994" s="3">
        <v>44682</v>
      </c>
      <c r="C2994" s="2">
        <v>16</v>
      </c>
      <c r="D2994" s="2">
        <v>22542</v>
      </c>
      <c r="E2994" s="17">
        <v>49973.66</v>
      </c>
      <c r="F2994" s="11">
        <v>6.52</v>
      </c>
      <c r="G2994" s="9">
        <v>3560.9</v>
      </c>
      <c r="H2994" s="10">
        <v>0.312</v>
      </c>
      <c r="I2994" s="11">
        <v>6</v>
      </c>
    </row>
    <row r="2995" spans="1:9" x14ac:dyDescent="0.35">
      <c r="A2995" s="2" t="s">
        <v>303</v>
      </c>
      <c r="B2995" s="3">
        <v>44713</v>
      </c>
      <c r="C2995" s="2">
        <v>14</v>
      </c>
      <c r="D2995" s="2">
        <v>20377</v>
      </c>
      <c r="E2995" s="17">
        <v>44863.3</v>
      </c>
      <c r="F2995" s="11">
        <v>6.6</v>
      </c>
      <c r="G2995" s="9">
        <v>3093.2</v>
      </c>
      <c r="H2995" s="10">
        <v>0.57099999999999995</v>
      </c>
      <c r="I2995" s="11">
        <v>6.6</v>
      </c>
    </row>
    <row r="2996" spans="1:9" x14ac:dyDescent="0.35">
      <c r="A2996" s="2" t="s">
        <v>303</v>
      </c>
      <c r="B2996" s="3">
        <v>44743</v>
      </c>
      <c r="C2996" s="2">
        <v>20</v>
      </c>
      <c r="D2996" s="2">
        <v>31290</v>
      </c>
      <c r="E2996" s="17">
        <v>66705.5</v>
      </c>
      <c r="F2996" s="11">
        <v>6.64</v>
      </c>
      <c r="G2996" s="9">
        <v>4730.1000000000004</v>
      </c>
      <c r="H2996" s="10">
        <v>0.5</v>
      </c>
      <c r="I2996" s="11">
        <v>6.7</v>
      </c>
    </row>
    <row r="2997" spans="1:9" x14ac:dyDescent="0.35">
      <c r="A2997" s="2" t="s">
        <v>303</v>
      </c>
      <c r="B2997" s="3">
        <v>44774</v>
      </c>
      <c r="C2997" s="2">
        <v>21</v>
      </c>
      <c r="D2997" s="2">
        <v>35432</v>
      </c>
      <c r="E2997" s="17">
        <v>75113.66</v>
      </c>
      <c r="F2997" s="11">
        <v>6.54</v>
      </c>
      <c r="G2997" s="9">
        <v>5387.9</v>
      </c>
      <c r="H2997" s="10">
        <v>0.61899999999999999</v>
      </c>
      <c r="I2997" s="11">
        <v>6.9</v>
      </c>
    </row>
    <row r="2998" spans="1:9" x14ac:dyDescent="0.35">
      <c r="A2998" s="2" t="s">
        <v>303</v>
      </c>
      <c r="B2998" s="3">
        <v>44805</v>
      </c>
      <c r="C2998" s="2">
        <v>21</v>
      </c>
      <c r="D2998" s="2">
        <v>44045</v>
      </c>
      <c r="E2998" s="17">
        <v>89509.51</v>
      </c>
      <c r="F2998" s="11">
        <v>6.63</v>
      </c>
      <c r="G2998" s="9">
        <v>6632.8</v>
      </c>
      <c r="H2998" s="10">
        <v>0.23799999999999999</v>
      </c>
      <c r="I2998" s="11">
        <v>6.6</v>
      </c>
    </row>
    <row r="2999" spans="1:9" x14ac:dyDescent="0.35">
      <c r="A2999" s="2" t="s">
        <v>303</v>
      </c>
      <c r="B2999" s="3">
        <v>44835</v>
      </c>
      <c r="C2999" s="2">
        <v>16</v>
      </c>
      <c r="D2999" s="2">
        <v>28093</v>
      </c>
      <c r="E2999" s="17">
        <v>60890.45</v>
      </c>
      <c r="F2999" s="11">
        <v>6.42</v>
      </c>
      <c r="G2999" s="9">
        <v>4453.8</v>
      </c>
      <c r="H2999" s="10">
        <v>0.56200000000000006</v>
      </c>
      <c r="I2999" s="11">
        <v>7</v>
      </c>
    </row>
    <row r="3000" spans="1:9" x14ac:dyDescent="0.35">
      <c r="A3000" s="2" t="s">
        <v>303</v>
      </c>
      <c r="B3000" s="3">
        <v>44866</v>
      </c>
      <c r="C3000" s="2">
        <v>17</v>
      </c>
      <c r="D3000" s="2">
        <v>24560</v>
      </c>
      <c r="E3000" s="17">
        <v>50903.519999999997</v>
      </c>
      <c r="F3000" s="11">
        <v>6.58</v>
      </c>
      <c r="G3000" s="9">
        <v>3755.3</v>
      </c>
      <c r="H3000" s="10">
        <v>0.70599999999999996</v>
      </c>
      <c r="I3000" s="11">
        <v>5.7</v>
      </c>
    </row>
    <row r="3001" spans="1:9" x14ac:dyDescent="0.35">
      <c r="A3001" s="2" t="s">
        <v>303</v>
      </c>
      <c r="B3001" s="3">
        <v>44896</v>
      </c>
      <c r="C3001" s="2">
        <v>12</v>
      </c>
      <c r="D3001" s="2">
        <v>18738</v>
      </c>
      <c r="E3001" s="17">
        <v>39165.71</v>
      </c>
      <c r="F3001" s="11">
        <v>6.53</v>
      </c>
      <c r="G3001" s="9">
        <v>2919</v>
      </c>
      <c r="H3001" s="10">
        <v>0.66700000000000004</v>
      </c>
      <c r="I3001" s="11">
        <v>7</v>
      </c>
    </row>
    <row r="3002" spans="1:9" x14ac:dyDescent="0.35">
      <c r="A3002" s="2" t="s">
        <v>303</v>
      </c>
      <c r="B3002" s="3">
        <v>44927</v>
      </c>
      <c r="C3002" s="2">
        <v>20</v>
      </c>
      <c r="D3002" s="2">
        <v>29261</v>
      </c>
      <c r="E3002" s="17">
        <v>59821.95</v>
      </c>
      <c r="F3002" s="11">
        <v>6.68</v>
      </c>
      <c r="G3002" s="9">
        <v>4442.2</v>
      </c>
      <c r="H3002" s="10">
        <v>0.3</v>
      </c>
      <c r="I3002" s="11">
        <v>7.2</v>
      </c>
    </row>
    <row r="3003" spans="1:9" x14ac:dyDescent="0.35">
      <c r="A3003" s="2" t="s">
        <v>303</v>
      </c>
      <c r="B3003" s="3">
        <v>44958</v>
      </c>
      <c r="C3003" s="2">
        <v>16</v>
      </c>
      <c r="D3003" s="2">
        <v>18056</v>
      </c>
      <c r="E3003" s="17">
        <v>41889.519999999997</v>
      </c>
      <c r="F3003" s="11">
        <v>6.52</v>
      </c>
      <c r="G3003" s="9">
        <v>2788.1</v>
      </c>
      <c r="H3003" s="10">
        <v>0.438</v>
      </c>
      <c r="I3003" s="11">
        <v>6.3</v>
      </c>
    </row>
    <row r="3004" spans="1:9" x14ac:dyDescent="0.35">
      <c r="A3004" s="2" t="s">
        <v>303</v>
      </c>
      <c r="B3004" s="3">
        <v>44986</v>
      </c>
      <c r="C3004" s="2">
        <v>12</v>
      </c>
      <c r="D3004" s="2">
        <v>12100</v>
      </c>
      <c r="E3004" s="17">
        <v>26559.4</v>
      </c>
      <c r="F3004" s="11">
        <v>6.21</v>
      </c>
      <c r="G3004" s="9">
        <v>1962.5</v>
      </c>
      <c r="H3004" s="10">
        <v>0.5</v>
      </c>
      <c r="I3004" s="11">
        <v>6.4</v>
      </c>
    </row>
    <row r="3005" spans="1:9" x14ac:dyDescent="0.35">
      <c r="A3005" s="2" t="s">
        <v>303</v>
      </c>
      <c r="B3005" s="3">
        <v>45017</v>
      </c>
      <c r="C3005" s="2">
        <v>21</v>
      </c>
      <c r="D3005" s="2">
        <v>32125</v>
      </c>
      <c r="E3005" s="17">
        <v>64452.77</v>
      </c>
      <c r="F3005" s="11">
        <v>6.61</v>
      </c>
      <c r="G3005" s="9">
        <v>4903.8</v>
      </c>
      <c r="H3005" s="10">
        <v>0.33300000000000002</v>
      </c>
      <c r="I3005" s="11">
        <v>7.7</v>
      </c>
    </row>
    <row r="3006" spans="1:9" x14ac:dyDescent="0.35">
      <c r="A3006" s="2" t="s">
        <v>303</v>
      </c>
      <c r="B3006" s="3">
        <v>45047</v>
      </c>
      <c r="C3006" s="2">
        <v>17</v>
      </c>
      <c r="D3006" s="2">
        <v>26343</v>
      </c>
      <c r="E3006" s="17">
        <v>60138.28</v>
      </c>
      <c r="F3006" s="11">
        <v>6.11</v>
      </c>
      <c r="G3006" s="9">
        <v>4340.7</v>
      </c>
      <c r="H3006" s="10">
        <v>0.35299999999999998</v>
      </c>
      <c r="I3006" s="11">
        <v>6</v>
      </c>
    </row>
    <row r="3007" spans="1:9" x14ac:dyDescent="0.35">
      <c r="A3007" s="2" t="s">
        <v>303</v>
      </c>
      <c r="B3007" s="3">
        <v>45078</v>
      </c>
      <c r="C3007" s="2">
        <v>23</v>
      </c>
      <c r="D3007" s="2">
        <v>35944</v>
      </c>
      <c r="E3007" s="17">
        <v>72659.759999999995</v>
      </c>
      <c r="F3007" s="11">
        <v>6.56</v>
      </c>
      <c r="G3007" s="9">
        <v>5504.3</v>
      </c>
      <c r="H3007" s="10">
        <v>0.47799999999999998</v>
      </c>
      <c r="I3007" s="11">
        <v>6.7</v>
      </c>
    </row>
    <row r="3008" spans="1:9" x14ac:dyDescent="0.35">
      <c r="A3008" s="2" t="s">
        <v>303</v>
      </c>
      <c r="B3008" s="3">
        <v>45108</v>
      </c>
      <c r="C3008" s="2">
        <v>19</v>
      </c>
      <c r="D3008" s="2">
        <v>27696</v>
      </c>
      <c r="E3008" s="17">
        <v>56020.72</v>
      </c>
      <c r="F3008" s="11">
        <v>6.35</v>
      </c>
      <c r="G3008" s="9">
        <v>4221.7</v>
      </c>
      <c r="H3008" s="10">
        <v>0.57899999999999996</v>
      </c>
      <c r="I3008" s="11">
        <v>6.9</v>
      </c>
    </row>
    <row r="3009" spans="1:9" x14ac:dyDescent="0.35">
      <c r="A3009" s="2" t="s">
        <v>303</v>
      </c>
      <c r="B3009" s="3">
        <v>45139</v>
      </c>
      <c r="C3009" s="2">
        <v>13</v>
      </c>
      <c r="D3009" s="2">
        <v>19685</v>
      </c>
      <c r="E3009" s="17">
        <v>41731.93</v>
      </c>
      <c r="F3009" s="11">
        <v>7.07</v>
      </c>
      <c r="G3009" s="9">
        <v>2801.9</v>
      </c>
      <c r="H3009" s="10">
        <v>0.23100000000000001</v>
      </c>
      <c r="I3009" s="11">
        <v>6.9</v>
      </c>
    </row>
    <row r="3010" spans="1:9" x14ac:dyDescent="0.35">
      <c r="A3010" s="2" t="s">
        <v>303</v>
      </c>
      <c r="B3010" s="3">
        <v>45170</v>
      </c>
      <c r="C3010" s="2">
        <v>17</v>
      </c>
      <c r="D3010" s="2">
        <v>28884</v>
      </c>
      <c r="E3010" s="17">
        <v>63416.4</v>
      </c>
      <c r="F3010" s="11">
        <v>6.47</v>
      </c>
      <c r="G3010" s="9">
        <v>4515.2</v>
      </c>
      <c r="H3010" s="10">
        <v>0.47099999999999997</v>
      </c>
      <c r="I3010" s="11">
        <v>7</v>
      </c>
    </row>
    <row r="3011" spans="1:9" x14ac:dyDescent="0.35">
      <c r="A3011" s="2" t="s">
        <v>303</v>
      </c>
      <c r="B3011" s="3">
        <v>45200</v>
      </c>
      <c r="C3011" s="2">
        <v>13</v>
      </c>
      <c r="D3011" s="2">
        <v>21254</v>
      </c>
      <c r="E3011" s="17">
        <v>41917.33</v>
      </c>
      <c r="F3011" s="11">
        <v>6.23</v>
      </c>
      <c r="G3011" s="9">
        <v>3427.8</v>
      </c>
      <c r="H3011" s="10">
        <v>0.308</v>
      </c>
      <c r="I3011" s="11">
        <v>6.1</v>
      </c>
    </row>
    <row r="3012" spans="1:9" x14ac:dyDescent="0.35">
      <c r="A3012" s="2" t="s">
        <v>303</v>
      </c>
      <c r="B3012" s="3">
        <v>45231</v>
      </c>
      <c r="C3012" s="2">
        <v>15</v>
      </c>
      <c r="D3012" s="2">
        <v>25477</v>
      </c>
      <c r="E3012" s="17">
        <v>58249.61</v>
      </c>
      <c r="F3012" s="11">
        <v>6.7</v>
      </c>
      <c r="G3012" s="9">
        <v>3851.8</v>
      </c>
      <c r="H3012" s="10">
        <v>0.33300000000000002</v>
      </c>
      <c r="I3012" s="11">
        <v>5.4</v>
      </c>
    </row>
    <row r="3013" spans="1:9" x14ac:dyDescent="0.35">
      <c r="A3013" s="2" t="s">
        <v>303</v>
      </c>
      <c r="B3013" s="3">
        <v>45261</v>
      </c>
      <c r="C3013" s="2">
        <v>14</v>
      </c>
      <c r="D3013" s="2">
        <v>22818</v>
      </c>
      <c r="E3013" s="17">
        <v>47325.21</v>
      </c>
      <c r="F3013" s="11">
        <v>6.46</v>
      </c>
      <c r="G3013" s="9">
        <v>3582.2</v>
      </c>
      <c r="H3013" s="10">
        <v>0.35699999999999998</v>
      </c>
      <c r="I3013" s="11">
        <v>7.2</v>
      </c>
    </row>
    <row r="3014" spans="1:9" x14ac:dyDescent="0.35">
      <c r="A3014" s="2" t="s">
        <v>303</v>
      </c>
      <c r="B3014" s="3">
        <v>45292</v>
      </c>
      <c r="C3014" s="2">
        <v>21</v>
      </c>
      <c r="D3014" s="2">
        <v>33044</v>
      </c>
      <c r="E3014" s="17">
        <v>71749.539999999994</v>
      </c>
      <c r="F3014" s="11">
        <v>6.29</v>
      </c>
      <c r="G3014" s="9">
        <v>5261.6</v>
      </c>
      <c r="H3014" s="10">
        <v>0.47599999999999998</v>
      </c>
      <c r="I3014" s="11">
        <v>7.6</v>
      </c>
    </row>
    <row r="3015" spans="1:9" x14ac:dyDescent="0.35">
      <c r="A3015" s="2" t="s">
        <v>303</v>
      </c>
      <c r="B3015" s="3">
        <v>45323</v>
      </c>
      <c r="C3015" s="2">
        <v>26</v>
      </c>
      <c r="D3015" s="2">
        <v>37635</v>
      </c>
      <c r="E3015" s="17">
        <v>85700.87</v>
      </c>
      <c r="F3015" s="11">
        <v>6.54</v>
      </c>
      <c r="G3015" s="9">
        <v>5843.7</v>
      </c>
      <c r="H3015" s="10">
        <v>0.61499999999999999</v>
      </c>
      <c r="I3015" s="11">
        <v>7.1</v>
      </c>
    </row>
    <row r="3016" spans="1:9" x14ac:dyDescent="0.35">
      <c r="A3016" s="2" t="s">
        <v>303</v>
      </c>
      <c r="B3016" s="3">
        <v>45352</v>
      </c>
      <c r="C3016" s="2">
        <v>23</v>
      </c>
      <c r="D3016" s="2">
        <v>29435</v>
      </c>
      <c r="E3016" s="17">
        <v>64091.26</v>
      </c>
      <c r="F3016" s="11">
        <v>6.38</v>
      </c>
      <c r="G3016" s="9">
        <v>4776.3999999999996</v>
      </c>
      <c r="H3016" s="10">
        <v>0.65200000000000002</v>
      </c>
      <c r="I3016" s="11">
        <v>6.5</v>
      </c>
    </row>
    <row r="3017" spans="1:9" x14ac:dyDescent="0.35">
      <c r="A3017" s="2" t="s">
        <v>303</v>
      </c>
      <c r="B3017" s="3">
        <v>45383</v>
      </c>
      <c r="C3017" s="2">
        <v>17</v>
      </c>
      <c r="D3017" s="2">
        <v>21204</v>
      </c>
      <c r="E3017" s="17">
        <v>46429.87</v>
      </c>
      <c r="F3017" s="11">
        <v>6.49</v>
      </c>
      <c r="G3017" s="9">
        <v>3298.7</v>
      </c>
      <c r="H3017" s="10">
        <v>0.58799999999999997</v>
      </c>
      <c r="I3017" s="11">
        <v>6.3</v>
      </c>
    </row>
    <row r="3018" spans="1:9" x14ac:dyDescent="0.35">
      <c r="A3018" s="2" t="s">
        <v>303</v>
      </c>
      <c r="B3018" s="3">
        <v>45413</v>
      </c>
      <c r="C3018" s="2">
        <v>18</v>
      </c>
      <c r="D3018" s="2">
        <v>23777</v>
      </c>
      <c r="E3018" s="17">
        <v>53185.53</v>
      </c>
      <c r="F3018" s="11">
        <v>6.67</v>
      </c>
      <c r="G3018" s="9">
        <v>3577.3</v>
      </c>
      <c r="H3018" s="10">
        <v>0.61099999999999999</v>
      </c>
      <c r="I3018" s="11">
        <v>7.3</v>
      </c>
    </row>
    <row r="3019" spans="1:9" x14ac:dyDescent="0.35">
      <c r="A3019" s="2" t="s">
        <v>303</v>
      </c>
      <c r="B3019" s="3">
        <v>45444</v>
      </c>
      <c r="C3019" s="2">
        <v>20</v>
      </c>
      <c r="D3019" s="2">
        <v>31351</v>
      </c>
      <c r="E3019" s="17">
        <v>67704.98</v>
      </c>
      <c r="F3019" s="11">
        <v>6.69</v>
      </c>
      <c r="G3019" s="9">
        <v>4682.2</v>
      </c>
      <c r="H3019" s="10">
        <v>0.4</v>
      </c>
      <c r="I3019" s="11">
        <v>6</v>
      </c>
    </row>
    <row r="3020" spans="1:9" x14ac:dyDescent="0.35">
      <c r="A3020" s="2" t="s">
        <v>303</v>
      </c>
      <c r="B3020" s="3">
        <v>45474</v>
      </c>
      <c r="C3020" s="2">
        <v>18</v>
      </c>
      <c r="D3020" s="2">
        <v>20255</v>
      </c>
      <c r="E3020" s="17">
        <v>40557.32</v>
      </c>
      <c r="F3020" s="11">
        <v>6.56</v>
      </c>
      <c r="G3020" s="9">
        <v>3130</v>
      </c>
      <c r="H3020" s="10">
        <v>0.44400000000000001</v>
      </c>
      <c r="I3020" s="11">
        <v>8.1</v>
      </c>
    </row>
    <row r="3021" spans="1:9" x14ac:dyDescent="0.35">
      <c r="A3021" s="2" t="s">
        <v>303</v>
      </c>
      <c r="B3021" s="3">
        <v>45505</v>
      </c>
      <c r="C3021" s="2">
        <v>13</v>
      </c>
      <c r="D3021" s="2">
        <v>21480</v>
      </c>
      <c r="E3021" s="17">
        <v>40768.31</v>
      </c>
      <c r="F3021" s="11">
        <v>6.75</v>
      </c>
      <c r="G3021" s="9">
        <v>3169.4</v>
      </c>
      <c r="H3021" s="10">
        <v>0.46200000000000002</v>
      </c>
      <c r="I3021" s="11">
        <v>9.1999999999999993</v>
      </c>
    </row>
    <row r="3022" spans="1:9" x14ac:dyDescent="0.35">
      <c r="A3022" s="2" t="s">
        <v>303</v>
      </c>
      <c r="B3022" s="3">
        <v>45536</v>
      </c>
      <c r="C3022" s="2">
        <v>19</v>
      </c>
      <c r="D3022" s="2">
        <v>28705</v>
      </c>
      <c r="E3022" s="17">
        <v>63827.85</v>
      </c>
      <c r="F3022" s="11">
        <v>6.56</v>
      </c>
      <c r="G3022" s="9">
        <v>4412.5</v>
      </c>
      <c r="H3022" s="10">
        <v>0.42099999999999999</v>
      </c>
      <c r="I3022" s="11">
        <v>7.3</v>
      </c>
    </row>
    <row r="3023" spans="1:9" x14ac:dyDescent="0.35">
      <c r="A3023" s="2" t="s">
        <v>303</v>
      </c>
      <c r="B3023" s="3">
        <v>45566</v>
      </c>
      <c r="C3023" s="2">
        <v>21</v>
      </c>
      <c r="D3023" s="2">
        <v>30120</v>
      </c>
      <c r="E3023" s="17">
        <v>62579.49</v>
      </c>
      <c r="F3023" s="11">
        <v>6.79</v>
      </c>
      <c r="G3023" s="9">
        <v>4522.6000000000004</v>
      </c>
      <c r="H3023" s="10">
        <v>0.42899999999999999</v>
      </c>
      <c r="I3023" s="11">
        <v>6.7</v>
      </c>
    </row>
    <row r="3024" spans="1:9" x14ac:dyDescent="0.35">
      <c r="A3024" s="2" t="s">
        <v>303</v>
      </c>
      <c r="B3024" s="3">
        <v>45597</v>
      </c>
      <c r="C3024" s="2">
        <v>16</v>
      </c>
      <c r="D3024" s="2">
        <v>27400</v>
      </c>
      <c r="E3024" s="17">
        <v>54264.17</v>
      </c>
      <c r="F3024" s="11">
        <v>6.56</v>
      </c>
      <c r="G3024" s="9">
        <v>4289.8999999999996</v>
      </c>
      <c r="H3024" s="10">
        <v>0.56200000000000006</v>
      </c>
      <c r="I3024" s="11">
        <v>6.8</v>
      </c>
    </row>
    <row r="3025" spans="1:9" x14ac:dyDescent="0.35">
      <c r="A3025" s="2" t="s">
        <v>303</v>
      </c>
      <c r="B3025" s="3">
        <v>45627</v>
      </c>
      <c r="C3025" s="2">
        <v>18</v>
      </c>
      <c r="D3025" s="2">
        <v>18519</v>
      </c>
      <c r="E3025" s="17">
        <v>36528.230000000003</v>
      </c>
      <c r="F3025" s="11">
        <v>6.6</v>
      </c>
      <c r="G3025" s="9">
        <v>2740.5</v>
      </c>
      <c r="H3025" s="10">
        <v>0.38900000000000001</v>
      </c>
      <c r="I3025" s="11">
        <v>6.9</v>
      </c>
    </row>
    <row r="3026" spans="1:9" x14ac:dyDescent="0.35">
      <c r="A3026" s="2" t="s">
        <v>305</v>
      </c>
      <c r="B3026" s="3">
        <v>44562</v>
      </c>
      <c r="C3026" s="2">
        <v>18</v>
      </c>
      <c r="D3026" s="2">
        <v>23949</v>
      </c>
      <c r="E3026" s="17">
        <v>51683.85</v>
      </c>
      <c r="F3026" s="11">
        <v>6.42</v>
      </c>
      <c r="G3026" s="9">
        <v>3788.1</v>
      </c>
      <c r="H3026" s="10">
        <v>0.222</v>
      </c>
      <c r="I3026" s="11">
        <v>6.8</v>
      </c>
    </row>
    <row r="3027" spans="1:9" x14ac:dyDescent="0.35">
      <c r="A3027" s="2" t="s">
        <v>305</v>
      </c>
      <c r="B3027" s="3">
        <v>44593</v>
      </c>
      <c r="C3027" s="2">
        <v>14</v>
      </c>
      <c r="D3027" s="2">
        <v>24949</v>
      </c>
      <c r="E3027" s="17">
        <v>60090.67</v>
      </c>
      <c r="F3027" s="11">
        <v>6.86</v>
      </c>
      <c r="G3027" s="9">
        <v>3667.5</v>
      </c>
      <c r="H3027" s="10">
        <v>0.78600000000000003</v>
      </c>
      <c r="I3027" s="11">
        <v>6.5</v>
      </c>
    </row>
    <row r="3028" spans="1:9" x14ac:dyDescent="0.35">
      <c r="A3028" s="2" t="s">
        <v>305</v>
      </c>
      <c r="B3028" s="3">
        <v>44621</v>
      </c>
      <c r="C3028" s="2">
        <v>13</v>
      </c>
      <c r="D3028" s="2">
        <v>15650</v>
      </c>
      <c r="E3028" s="17">
        <v>34367.839999999997</v>
      </c>
      <c r="F3028" s="11">
        <v>6.65</v>
      </c>
      <c r="G3028" s="9">
        <v>2418.5</v>
      </c>
      <c r="H3028" s="10">
        <v>0.76900000000000002</v>
      </c>
      <c r="I3028" s="11">
        <v>6.2</v>
      </c>
    </row>
    <row r="3029" spans="1:9" x14ac:dyDescent="0.35">
      <c r="A3029" s="2" t="s">
        <v>305</v>
      </c>
      <c r="B3029" s="3">
        <v>44652</v>
      </c>
      <c r="C3029" s="2">
        <v>22</v>
      </c>
      <c r="D3029" s="2">
        <v>31665</v>
      </c>
      <c r="E3029" s="17">
        <v>71302.53</v>
      </c>
      <c r="F3029" s="11">
        <v>6.66</v>
      </c>
      <c r="G3029" s="9">
        <v>4765.3999999999996</v>
      </c>
      <c r="H3029" s="10">
        <v>0.45500000000000002</v>
      </c>
      <c r="I3029" s="11">
        <v>6.1</v>
      </c>
    </row>
    <row r="3030" spans="1:9" x14ac:dyDescent="0.35">
      <c r="A3030" s="2" t="s">
        <v>305</v>
      </c>
      <c r="B3030" s="3">
        <v>44682</v>
      </c>
      <c r="C3030" s="2">
        <v>21</v>
      </c>
      <c r="D3030" s="2">
        <v>28023</v>
      </c>
      <c r="E3030" s="17">
        <v>64336.84</v>
      </c>
      <c r="F3030" s="11">
        <v>6.62</v>
      </c>
      <c r="G3030" s="9">
        <v>4356.8999999999996</v>
      </c>
      <c r="H3030" s="10">
        <v>0.71399999999999997</v>
      </c>
      <c r="I3030" s="11">
        <v>7.5</v>
      </c>
    </row>
    <row r="3031" spans="1:9" x14ac:dyDescent="0.35">
      <c r="A3031" s="2" t="s">
        <v>305</v>
      </c>
      <c r="B3031" s="3">
        <v>44713</v>
      </c>
      <c r="C3031" s="2">
        <v>11</v>
      </c>
      <c r="D3031" s="2">
        <v>13418</v>
      </c>
      <c r="E3031" s="17">
        <v>28760.86</v>
      </c>
      <c r="F3031" s="11">
        <v>6.89</v>
      </c>
      <c r="G3031" s="9">
        <v>1977.2</v>
      </c>
      <c r="H3031" s="10">
        <v>0.45500000000000002</v>
      </c>
      <c r="I3031" s="11">
        <v>7.7</v>
      </c>
    </row>
    <row r="3032" spans="1:9" x14ac:dyDescent="0.35">
      <c r="A3032" s="2" t="s">
        <v>305</v>
      </c>
      <c r="B3032" s="3">
        <v>44743</v>
      </c>
      <c r="C3032" s="2">
        <v>15</v>
      </c>
      <c r="D3032" s="2">
        <v>22419</v>
      </c>
      <c r="E3032" s="17">
        <v>43956.92</v>
      </c>
      <c r="F3032" s="11">
        <v>6.74</v>
      </c>
      <c r="G3032" s="9">
        <v>3409</v>
      </c>
      <c r="H3032" s="10">
        <v>0.13300000000000001</v>
      </c>
      <c r="I3032" s="11">
        <v>7.8</v>
      </c>
    </row>
    <row r="3033" spans="1:9" x14ac:dyDescent="0.35">
      <c r="A3033" s="2" t="s">
        <v>305</v>
      </c>
      <c r="B3033" s="3">
        <v>44774</v>
      </c>
      <c r="C3033" s="2">
        <v>18</v>
      </c>
      <c r="D3033" s="2">
        <v>27437</v>
      </c>
      <c r="E3033" s="17">
        <v>61340.35</v>
      </c>
      <c r="F3033" s="11">
        <v>6.39</v>
      </c>
      <c r="G3033" s="9">
        <v>4283.8999999999996</v>
      </c>
      <c r="H3033" s="10">
        <v>0.44400000000000001</v>
      </c>
      <c r="I3033" s="11">
        <v>7</v>
      </c>
    </row>
    <row r="3034" spans="1:9" x14ac:dyDescent="0.35">
      <c r="A3034" s="2" t="s">
        <v>305</v>
      </c>
      <c r="B3034" s="3">
        <v>44805</v>
      </c>
      <c r="C3034" s="2">
        <v>17</v>
      </c>
      <c r="D3034" s="2">
        <v>17619</v>
      </c>
      <c r="E3034" s="17">
        <v>36382.480000000003</v>
      </c>
      <c r="F3034" s="11">
        <v>6.52</v>
      </c>
      <c r="G3034" s="9">
        <v>2815</v>
      </c>
      <c r="H3034" s="10">
        <v>0.41199999999999998</v>
      </c>
      <c r="I3034" s="11">
        <v>6.9</v>
      </c>
    </row>
    <row r="3035" spans="1:9" x14ac:dyDescent="0.35">
      <c r="A3035" s="2" t="s">
        <v>305</v>
      </c>
      <c r="B3035" s="3">
        <v>44835</v>
      </c>
      <c r="C3035" s="2">
        <v>19</v>
      </c>
      <c r="D3035" s="2">
        <v>32924</v>
      </c>
      <c r="E3035" s="17">
        <v>67239.28</v>
      </c>
      <c r="F3035" s="11">
        <v>6.55</v>
      </c>
      <c r="G3035" s="9">
        <v>5058.3</v>
      </c>
      <c r="H3035" s="10">
        <v>0.47399999999999998</v>
      </c>
      <c r="I3035" s="11">
        <v>6</v>
      </c>
    </row>
    <row r="3036" spans="1:9" x14ac:dyDescent="0.35">
      <c r="A3036" s="2" t="s">
        <v>305</v>
      </c>
      <c r="B3036" s="3">
        <v>44866</v>
      </c>
      <c r="C3036" s="2">
        <v>14</v>
      </c>
      <c r="D3036" s="2">
        <v>12402</v>
      </c>
      <c r="E3036" s="17">
        <v>25201.200000000001</v>
      </c>
      <c r="F3036" s="11">
        <v>6.63</v>
      </c>
      <c r="G3036" s="9">
        <v>1890</v>
      </c>
      <c r="H3036" s="10">
        <v>0.5</v>
      </c>
      <c r="I3036" s="11">
        <v>7.4</v>
      </c>
    </row>
    <row r="3037" spans="1:9" x14ac:dyDescent="0.35">
      <c r="A3037" s="2" t="s">
        <v>305</v>
      </c>
      <c r="B3037" s="3">
        <v>44896</v>
      </c>
      <c r="C3037" s="2">
        <v>17</v>
      </c>
      <c r="D3037" s="2">
        <v>29634</v>
      </c>
      <c r="E3037" s="17">
        <v>66812.66</v>
      </c>
      <c r="F3037" s="11">
        <v>6.66</v>
      </c>
      <c r="G3037" s="9">
        <v>4509</v>
      </c>
      <c r="H3037" s="10">
        <v>0.52900000000000003</v>
      </c>
      <c r="I3037" s="11">
        <v>7.8</v>
      </c>
    </row>
    <row r="3038" spans="1:9" x14ac:dyDescent="0.35">
      <c r="A3038" s="2" t="s">
        <v>305</v>
      </c>
      <c r="B3038" s="3">
        <v>44927</v>
      </c>
      <c r="C3038" s="2">
        <v>21</v>
      </c>
      <c r="D3038" s="2">
        <v>30838</v>
      </c>
      <c r="E3038" s="17">
        <v>59845.81</v>
      </c>
      <c r="F3038" s="11">
        <v>6.49</v>
      </c>
      <c r="G3038" s="9">
        <v>4831.5</v>
      </c>
      <c r="H3038" s="10">
        <v>0.38100000000000001</v>
      </c>
      <c r="I3038" s="11">
        <v>5.9</v>
      </c>
    </row>
    <row r="3039" spans="1:9" x14ac:dyDescent="0.35">
      <c r="A3039" s="2" t="s">
        <v>305</v>
      </c>
      <c r="B3039" s="3">
        <v>44958</v>
      </c>
      <c r="C3039" s="2">
        <v>17</v>
      </c>
      <c r="D3039" s="2">
        <v>23043</v>
      </c>
      <c r="E3039" s="17">
        <v>50380.639999999999</v>
      </c>
      <c r="F3039" s="11">
        <v>6.47</v>
      </c>
      <c r="G3039" s="9">
        <v>3631</v>
      </c>
      <c r="H3039" s="10">
        <v>0.29399999999999998</v>
      </c>
      <c r="I3039" s="11">
        <v>7.2</v>
      </c>
    </row>
    <row r="3040" spans="1:9" x14ac:dyDescent="0.35">
      <c r="A3040" s="2" t="s">
        <v>305</v>
      </c>
      <c r="B3040" s="3">
        <v>44986</v>
      </c>
      <c r="C3040" s="2">
        <v>17</v>
      </c>
      <c r="D3040" s="2">
        <v>29376</v>
      </c>
      <c r="E3040" s="17">
        <v>62173.58</v>
      </c>
      <c r="F3040" s="11">
        <v>6.89</v>
      </c>
      <c r="G3040" s="9">
        <v>4335.2</v>
      </c>
      <c r="H3040" s="10">
        <v>0.29399999999999998</v>
      </c>
      <c r="I3040" s="11">
        <v>6.7</v>
      </c>
    </row>
    <row r="3041" spans="1:9" x14ac:dyDescent="0.35">
      <c r="A3041" s="2" t="s">
        <v>305</v>
      </c>
      <c r="B3041" s="3">
        <v>45017</v>
      </c>
      <c r="C3041" s="2">
        <v>23</v>
      </c>
      <c r="D3041" s="2">
        <v>29871</v>
      </c>
      <c r="E3041" s="17">
        <v>62037.55</v>
      </c>
      <c r="F3041" s="11">
        <v>6.34</v>
      </c>
      <c r="G3041" s="9">
        <v>4713.2</v>
      </c>
      <c r="H3041" s="10">
        <v>0.26100000000000001</v>
      </c>
      <c r="I3041" s="11">
        <v>7.2</v>
      </c>
    </row>
    <row r="3042" spans="1:9" x14ac:dyDescent="0.35">
      <c r="A3042" s="2" t="s">
        <v>305</v>
      </c>
      <c r="B3042" s="3">
        <v>45047</v>
      </c>
      <c r="C3042" s="2">
        <v>18</v>
      </c>
      <c r="D3042" s="2">
        <v>23428</v>
      </c>
      <c r="E3042" s="17">
        <v>48384.72</v>
      </c>
      <c r="F3042" s="11">
        <v>6.65</v>
      </c>
      <c r="G3042" s="9">
        <v>3489.9</v>
      </c>
      <c r="H3042" s="10">
        <v>0.55600000000000005</v>
      </c>
      <c r="I3042" s="11">
        <v>7.5</v>
      </c>
    </row>
    <row r="3043" spans="1:9" x14ac:dyDescent="0.35">
      <c r="A3043" s="2" t="s">
        <v>305</v>
      </c>
      <c r="B3043" s="3">
        <v>45078</v>
      </c>
      <c r="C3043" s="2">
        <v>14</v>
      </c>
      <c r="D3043" s="2">
        <v>24099</v>
      </c>
      <c r="E3043" s="17">
        <v>50743.48</v>
      </c>
      <c r="F3043" s="11">
        <v>6.5</v>
      </c>
      <c r="G3043" s="9">
        <v>3697.8</v>
      </c>
      <c r="H3043" s="10">
        <v>0.35699999999999998</v>
      </c>
      <c r="I3043" s="11">
        <v>8.1</v>
      </c>
    </row>
    <row r="3044" spans="1:9" x14ac:dyDescent="0.35">
      <c r="A3044" s="2" t="s">
        <v>305</v>
      </c>
      <c r="B3044" s="3">
        <v>45108</v>
      </c>
      <c r="C3044" s="2">
        <v>16</v>
      </c>
      <c r="D3044" s="2">
        <v>24594</v>
      </c>
      <c r="E3044" s="17">
        <v>50802.5</v>
      </c>
      <c r="F3044" s="11">
        <v>6.39</v>
      </c>
      <c r="G3044" s="9">
        <v>3836.5</v>
      </c>
      <c r="H3044" s="10">
        <v>0.68799999999999994</v>
      </c>
      <c r="I3044" s="11">
        <v>5.8</v>
      </c>
    </row>
    <row r="3045" spans="1:9" x14ac:dyDescent="0.35">
      <c r="A3045" s="2" t="s">
        <v>305</v>
      </c>
      <c r="B3045" s="3">
        <v>45139</v>
      </c>
      <c r="C3045" s="2">
        <v>19</v>
      </c>
      <c r="D3045" s="2">
        <v>30262</v>
      </c>
      <c r="E3045" s="17">
        <v>61137.2</v>
      </c>
      <c r="F3045" s="11">
        <v>6.57</v>
      </c>
      <c r="G3045" s="9">
        <v>4561.2</v>
      </c>
      <c r="H3045" s="10">
        <v>0.42099999999999999</v>
      </c>
      <c r="I3045" s="11">
        <v>7.2</v>
      </c>
    </row>
    <row r="3046" spans="1:9" x14ac:dyDescent="0.35">
      <c r="A3046" s="2" t="s">
        <v>305</v>
      </c>
      <c r="B3046" s="3">
        <v>45170</v>
      </c>
      <c r="C3046" s="2">
        <v>16</v>
      </c>
      <c r="D3046" s="2">
        <v>19090</v>
      </c>
      <c r="E3046" s="17">
        <v>37863.550000000003</v>
      </c>
      <c r="F3046" s="11">
        <v>6.74</v>
      </c>
      <c r="G3046" s="9">
        <v>2812.5</v>
      </c>
      <c r="H3046" s="10">
        <v>0.68799999999999994</v>
      </c>
      <c r="I3046" s="11">
        <v>7.8</v>
      </c>
    </row>
    <row r="3047" spans="1:9" x14ac:dyDescent="0.35">
      <c r="A3047" s="2" t="s">
        <v>305</v>
      </c>
      <c r="B3047" s="3">
        <v>45200</v>
      </c>
      <c r="C3047" s="2">
        <v>22</v>
      </c>
      <c r="D3047" s="2">
        <v>35380</v>
      </c>
      <c r="E3047" s="17">
        <v>77128.09</v>
      </c>
      <c r="F3047" s="11">
        <v>6.42</v>
      </c>
      <c r="G3047" s="9">
        <v>5531.7</v>
      </c>
      <c r="H3047" s="10">
        <v>0.318</v>
      </c>
      <c r="I3047" s="11">
        <v>7.9</v>
      </c>
    </row>
    <row r="3048" spans="1:9" x14ac:dyDescent="0.35">
      <c r="A3048" s="2" t="s">
        <v>305</v>
      </c>
      <c r="B3048" s="3">
        <v>45231</v>
      </c>
      <c r="C3048" s="2">
        <v>29</v>
      </c>
      <c r="D3048" s="2">
        <v>42711</v>
      </c>
      <c r="E3048" s="17">
        <v>90355.38</v>
      </c>
      <c r="F3048" s="11">
        <v>6.52</v>
      </c>
      <c r="G3048" s="9">
        <v>6629.4</v>
      </c>
      <c r="H3048" s="10">
        <v>0.41399999999999998</v>
      </c>
      <c r="I3048" s="11">
        <v>7.1</v>
      </c>
    </row>
    <row r="3049" spans="1:9" x14ac:dyDescent="0.35">
      <c r="A3049" s="2" t="s">
        <v>305</v>
      </c>
      <c r="B3049" s="3">
        <v>45261</v>
      </c>
      <c r="C3049" s="2">
        <v>14</v>
      </c>
      <c r="D3049" s="2">
        <v>18715</v>
      </c>
      <c r="E3049" s="17">
        <v>39806.9</v>
      </c>
      <c r="F3049" s="11">
        <v>6.52</v>
      </c>
      <c r="G3049" s="9">
        <v>2928.4</v>
      </c>
      <c r="H3049" s="10">
        <v>0.64300000000000002</v>
      </c>
      <c r="I3049" s="11">
        <v>5.5</v>
      </c>
    </row>
    <row r="3050" spans="1:9" x14ac:dyDescent="0.35">
      <c r="A3050" s="2" t="s">
        <v>305</v>
      </c>
      <c r="B3050" s="3">
        <v>45292</v>
      </c>
      <c r="C3050" s="2">
        <v>15</v>
      </c>
      <c r="D3050" s="2">
        <v>23534</v>
      </c>
      <c r="E3050" s="17">
        <v>52721.32</v>
      </c>
      <c r="F3050" s="11">
        <v>6.6</v>
      </c>
      <c r="G3050" s="9">
        <v>3605.4</v>
      </c>
      <c r="H3050" s="10">
        <v>0.53300000000000003</v>
      </c>
      <c r="I3050" s="11">
        <v>7.2</v>
      </c>
    </row>
    <row r="3051" spans="1:9" x14ac:dyDescent="0.35">
      <c r="A3051" s="2" t="s">
        <v>305</v>
      </c>
      <c r="B3051" s="3">
        <v>45323</v>
      </c>
      <c r="C3051" s="2">
        <v>14</v>
      </c>
      <c r="D3051" s="2">
        <v>23066</v>
      </c>
      <c r="E3051" s="17">
        <v>51670.76</v>
      </c>
      <c r="F3051" s="11">
        <v>6.43</v>
      </c>
      <c r="G3051" s="9">
        <v>3620.1</v>
      </c>
      <c r="H3051" s="10">
        <v>0.57099999999999995</v>
      </c>
      <c r="I3051" s="11">
        <v>7.2</v>
      </c>
    </row>
    <row r="3052" spans="1:9" x14ac:dyDescent="0.35">
      <c r="A3052" s="2" t="s">
        <v>305</v>
      </c>
      <c r="B3052" s="3">
        <v>45352</v>
      </c>
      <c r="C3052" s="2">
        <v>19</v>
      </c>
      <c r="D3052" s="2">
        <v>28655</v>
      </c>
      <c r="E3052" s="17">
        <v>62140.160000000003</v>
      </c>
      <c r="F3052" s="11">
        <v>6.52</v>
      </c>
      <c r="G3052" s="9">
        <v>4480</v>
      </c>
      <c r="H3052" s="10">
        <v>0.52600000000000002</v>
      </c>
      <c r="I3052" s="11">
        <v>6.4</v>
      </c>
    </row>
    <row r="3053" spans="1:9" x14ac:dyDescent="0.35">
      <c r="A3053" s="2" t="s">
        <v>305</v>
      </c>
      <c r="B3053" s="3">
        <v>45383</v>
      </c>
      <c r="C3053" s="2">
        <v>20</v>
      </c>
      <c r="D3053" s="2">
        <v>26222</v>
      </c>
      <c r="E3053" s="17">
        <v>62430.82</v>
      </c>
      <c r="F3053" s="11">
        <v>6.44</v>
      </c>
      <c r="G3053" s="9">
        <v>4089.3</v>
      </c>
      <c r="H3053" s="10">
        <v>0.35</v>
      </c>
      <c r="I3053" s="11">
        <v>7.4</v>
      </c>
    </row>
    <row r="3054" spans="1:9" x14ac:dyDescent="0.35">
      <c r="A3054" s="2" t="s">
        <v>305</v>
      </c>
      <c r="B3054" s="3">
        <v>45413</v>
      </c>
      <c r="C3054" s="2">
        <v>28</v>
      </c>
      <c r="D3054" s="2">
        <v>40312</v>
      </c>
      <c r="E3054" s="17">
        <v>83782.960000000006</v>
      </c>
      <c r="F3054" s="11">
        <v>6.52</v>
      </c>
      <c r="G3054" s="9">
        <v>6364.3</v>
      </c>
      <c r="H3054" s="10">
        <v>0.57099999999999995</v>
      </c>
      <c r="I3054" s="11">
        <v>7.5</v>
      </c>
    </row>
    <row r="3055" spans="1:9" x14ac:dyDescent="0.35">
      <c r="A3055" s="2" t="s">
        <v>305</v>
      </c>
      <c r="B3055" s="3">
        <v>45444</v>
      </c>
      <c r="C3055" s="2">
        <v>16</v>
      </c>
      <c r="D3055" s="2">
        <v>26215</v>
      </c>
      <c r="E3055" s="17">
        <v>52362.46</v>
      </c>
      <c r="F3055" s="11">
        <v>6.32</v>
      </c>
      <c r="G3055" s="9">
        <v>4144.2</v>
      </c>
      <c r="H3055" s="10">
        <v>0.25</v>
      </c>
      <c r="I3055" s="11">
        <v>8.8000000000000007</v>
      </c>
    </row>
    <row r="3056" spans="1:9" x14ac:dyDescent="0.35">
      <c r="A3056" s="2" t="s">
        <v>305</v>
      </c>
      <c r="B3056" s="3">
        <v>45474</v>
      </c>
      <c r="C3056" s="2">
        <v>23</v>
      </c>
      <c r="D3056" s="2">
        <v>29777</v>
      </c>
      <c r="E3056" s="17">
        <v>61753.69</v>
      </c>
      <c r="F3056" s="11">
        <v>6.57</v>
      </c>
      <c r="G3056" s="9">
        <v>4560.1000000000004</v>
      </c>
      <c r="H3056" s="10">
        <v>0.34799999999999998</v>
      </c>
      <c r="I3056" s="11">
        <v>6.4</v>
      </c>
    </row>
    <row r="3057" spans="1:9" x14ac:dyDescent="0.35">
      <c r="A3057" s="2" t="s">
        <v>305</v>
      </c>
      <c r="B3057" s="3">
        <v>45505</v>
      </c>
      <c r="C3057" s="2">
        <v>18</v>
      </c>
      <c r="D3057" s="2">
        <v>26572</v>
      </c>
      <c r="E3057" s="17">
        <v>55674.67</v>
      </c>
      <c r="F3057" s="11">
        <v>6.47</v>
      </c>
      <c r="G3057" s="9">
        <v>4119.2</v>
      </c>
      <c r="H3057" s="10">
        <v>0.16700000000000001</v>
      </c>
      <c r="I3057" s="11">
        <v>7.8</v>
      </c>
    </row>
    <row r="3058" spans="1:9" x14ac:dyDescent="0.35">
      <c r="A3058" s="2" t="s">
        <v>305</v>
      </c>
      <c r="B3058" s="3">
        <v>45536</v>
      </c>
      <c r="C3058" s="2">
        <v>26</v>
      </c>
      <c r="D3058" s="2">
        <v>39487</v>
      </c>
      <c r="E3058" s="17">
        <v>80681.919999999998</v>
      </c>
      <c r="F3058" s="11">
        <v>6.5</v>
      </c>
      <c r="G3058" s="9">
        <v>6010.8</v>
      </c>
      <c r="H3058" s="10">
        <v>0.61499999999999999</v>
      </c>
      <c r="I3058" s="11">
        <v>5.7</v>
      </c>
    </row>
    <row r="3059" spans="1:9" x14ac:dyDescent="0.35">
      <c r="A3059" s="2" t="s">
        <v>305</v>
      </c>
      <c r="B3059" s="3">
        <v>45566</v>
      </c>
      <c r="C3059" s="2">
        <v>24</v>
      </c>
      <c r="D3059" s="2">
        <v>33664</v>
      </c>
      <c r="E3059" s="17">
        <v>71581.53</v>
      </c>
      <c r="F3059" s="11">
        <v>6.39</v>
      </c>
      <c r="G3059" s="9">
        <v>5437.7</v>
      </c>
      <c r="H3059" s="10">
        <v>0.5</v>
      </c>
      <c r="I3059" s="11">
        <v>7.5</v>
      </c>
    </row>
    <row r="3060" spans="1:9" x14ac:dyDescent="0.35">
      <c r="A3060" s="2" t="s">
        <v>305</v>
      </c>
      <c r="B3060" s="3">
        <v>45597</v>
      </c>
      <c r="C3060" s="2">
        <v>25</v>
      </c>
      <c r="D3060" s="2">
        <v>37667</v>
      </c>
      <c r="E3060" s="17">
        <v>75969.820000000007</v>
      </c>
      <c r="F3060" s="11">
        <v>6.69</v>
      </c>
      <c r="G3060" s="9">
        <v>5674.7</v>
      </c>
      <c r="H3060" s="10">
        <v>0.4</v>
      </c>
      <c r="I3060" s="11">
        <v>8.1</v>
      </c>
    </row>
    <row r="3061" spans="1:9" x14ac:dyDescent="0.35">
      <c r="A3061" s="2" t="s">
        <v>305</v>
      </c>
      <c r="B3061" s="3">
        <v>45627</v>
      </c>
      <c r="C3061" s="2">
        <v>14</v>
      </c>
      <c r="D3061" s="2">
        <v>19382</v>
      </c>
      <c r="E3061" s="17">
        <v>43000.03</v>
      </c>
      <c r="F3061" s="11">
        <v>6.7</v>
      </c>
      <c r="G3061" s="9">
        <v>2940.5</v>
      </c>
      <c r="H3061" s="10">
        <v>0.5</v>
      </c>
      <c r="I3061" s="11">
        <v>7.2</v>
      </c>
    </row>
    <row r="3062" spans="1:9" x14ac:dyDescent="0.35">
      <c r="A3062" s="2" t="s">
        <v>307</v>
      </c>
      <c r="B3062" s="3">
        <v>44562</v>
      </c>
      <c r="C3062" s="2">
        <v>19</v>
      </c>
      <c r="D3062" s="2">
        <v>26575</v>
      </c>
      <c r="E3062" s="17">
        <v>55502.75</v>
      </c>
      <c r="F3062" s="11">
        <v>6.79</v>
      </c>
      <c r="G3062" s="9">
        <v>4046</v>
      </c>
      <c r="H3062" s="10">
        <v>0.42099999999999999</v>
      </c>
      <c r="I3062" s="11">
        <v>8</v>
      </c>
    </row>
    <row r="3063" spans="1:9" x14ac:dyDescent="0.35">
      <c r="A3063" s="2" t="s">
        <v>307</v>
      </c>
      <c r="B3063" s="3">
        <v>44593</v>
      </c>
      <c r="C3063" s="2">
        <v>15</v>
      </c>
      <c r="D3063" s="2">
        <v>23893</v>
      </c>
      <c r="E3063" s="17">
        <v>53338.3</v>
      </c>
      <c r="F3063" s="11">
        <v>6.73</v>
      </c>
      <c r="G3063" s="9">
        <v>3588.5</v>
      </c>
      <c r="H3063" s="10">
        <v>0.53300000000000003</v>
      </c>
      <c r="I3063" s="11">
        <v>7.5</v>
      </c>
    </row>
    <row r="3064" spans="1:9" x14ac:dyDescent="0.35">
      <c r="A3064" s="2" t="s">
        <v>307</v>
      </c>
      <c r="B3064" s="3">
        <v>44621</v>
      </c>
      <c r="C3064" s="2">
        <v>15</v>
      </c>
      <c r="D3064" s="2">
        <v>16388</v>
      </c>
      <c r="E3064" s="17">
        <v>36880.379999999997</v>
      </c>
      <c r="F3064" s="11">
        <v>6.44</v>
      </c>
      <c r="G3064" s="9">
        <v>2596.3000000000002</v>
      </c>
      <c r="H3064" s="10">
        <v>0.53300000000000003</v>
      </c>
      <c r="I3064" s="11">
        <v>7.2</v>
      </c>
    </row>
    <row r="3065" spans="1:9" x14ac:dyDescent="0.35">
      <c r="A3065" s="2" t="s">
        <v>307</v>
      </c>
      <c r="B3065" s="3">
        <v>44652</v>
      </c>
      <c r="C3065" s="2">
        <v>13</v>
      </c>
      <c r="D3065" s="2">
        <v>22906</v>
      </c>
      <c r="E3065" s="17">
        <v>50052.11</v>
      </c>
      <c r="F3065" s="11">
        <v>6.42</v>
      </c>
      <c r="G3065" s="9">
        <v>3624.5</v>
      </c>
      <c r="H3065" s="10">
        <v>0.46200000000000002</v>
      </c>
      <c r="I3065" s="11">
        <v>6.6</v>
      </c>
    </row>
    <row r="3066" spans="1:9" x14ac:dyDescent="0.35">
      <c r="A3066" s="2" t="s">
        <v>307</v>
      </c>
      <c r="B3066" s="3">
        <v>44682</v>
      </c>
      <c r="C3066" s="2">
        <v>26</v>
      </c>
      <c r="D3066" s="2">
        <v>40173</v>
      </c>
      <c r="E3066" s="17">
        <v>85974.15</v>
      </c>
      <c r="F3066" s="11">
        <v>6.58</v>
      </c>
      <c r="G3066" s="9">
        <v>6111.6</v>
      </c>
      <c r="H3066" s="10">
        <v>0.46200000000000002</v>
      </c>
      <c r="I3066" s="11">
        <v>6.7</v>
      </c>
    </row>
    <row r="3067" spans="1:9" x14ac:dyDescent="0.35">
      <c r="A3067" s="2" t="s">
        <v>307</v>
      </c>
      <c r="B3067" s="3">
        <v>44713</v>
      </c>
      <c r="C3067" s="2">
        <v>19</v>
      </c>
      <c r="D3067" s="2">
        <v>28666</v>
      </c>
      <c r="E3067" s="17">
        <v>62363.42</v>
      </c>
      <c r="F3067" s="11">
        <v>6.29</v>
      </c>
      <c r="G3067" s="9">
        <v>4699</v>
      </c>
      <c r="H3067" s="10">
        <v>0.47399999999999998</v>
      </c>
      <c r="I3067" s="11">
        <v>6.6</v>
      </c>
    </row>
    <row r="3068" spans="1:9" x14ac:dyDescent="0.35">
      <c r="A3068" s="2" t="s">
        <v>307</v>
      </c>
      <c r="B3068" s="3">
        <v>44743</v>
      </c>
      <c r="C3068" s="2">
        <v>20</v>
      </c>
      <c r="D3068" s="2">
        <v>25621</v>
      </c>
      <c r="E3068" s="17">
        <v>57302.17</v>
      </c>
      <c r="F3068" s="11">
        <v>6.59</v>
      </c>
      <c r="G3068" s="9">
        <v>3886.5</v>
      </c>
      <c r="H3068" s="10">
        <v>0.45</v>
      </c>
      <c r="I3068" s="11">
        <v>7</v>
      </c>
    </row>
    <row r="3069" spans="1:9" x14ac:dyDescent="0.35">
      <c r="A3069" s="2" t="s">
        <v>307</v>
      </c>
      <c r="B3069" s="3">
        <v>44774</v>
      </c>
      <c r="C3069" s="2">
        <v>9</v>
      </c>
      <c r="D3069" s="2">
        <v>15304</v>
      </c>
      <c r="E3069" s="17">
        <v>37081.589999999997</v>
      </c>
      <c r="F3069" s="11">
        <v>6.27</v>
      </c>
      <c r="G3069" s="9">
        <v>2430.9</v>
      </c>
      <c r="H3069" s="10">
        <v>0.33300000000000002</v>
      </c>
      <c r="I3069" s="11">
        <v>7.3</v>
      </c>
    </row>
    <row r="3070" spans="1:9" x14ac:dyDescent="0.35">
      <c r="A3070" s="2" t="s">
        <v>307</v>
      </c>
      <c r="B3070" s="3">
        <v>44805</v>
      </c>
      <c r="C3070" s="2">
        <v>14</v>
      </c>
      <c r="D3070" s="2">
        <v>23423</v>
      </c>
      <c r="E3070" s="17">
        <v>48873.41</v>
      </c>
      <c r="F3070" s="11">
        <v>6.37</v>
      </c>
      <c r="G3070" s="9">
        <v>3773.6</v>
      </c>
      <c r="H3070" s="10">
        <v>0.71399999999999997</v>
      </c>
      <c r="I3070" s="11">
        <v>9.5</v>
      </c>
    </row>
    <row r="3071" spans="1:9" x14ac:dyDescent="0.35">
      <c r="A3071" s="2" t="s">
        <v>307</v>
      </c>
      <c r="B3071" s="3">
        <v>44835</v>
      </c>
      <c r="C3071" s="2">
        <v>24</v>
      </c>
      <c r="D3071" s="2">
        <v>43927</v>
      </c>
      <c r="E3071" s="17">
        <v>91022.01</v>
      </c>
      <c r="F3071" s="11">
        <v>6.51</v>
      </c>
      <c r="G3071" s="9">
        <v>6817.1</v>
      </c>
      <c r="H3071" s="10">
        <v>0.45800000000000002</v>
      </c>
      <c r="I3071" s="11">
        <v>6.4</v>
      </c>
    </row>
    <row r="3072" spans="1:9" x14ac:dyDescent="0.35">
      <c r="A3072" s="2" t="s">
        <v>307</v>
      </c>
      <c r="B3072" s="3">
        <v>44866</v>
      </c>
      <c r="C3072" s="2">
        <v>10</v>
      </c>
      <c r="D3072" s="2">
        <v>20118</v>
      </c>
      <c r="E3072" s="17">
        <v>41657.71</v>
      </c>
      <c r="F3072" s="11">
        <v>6.44</v>
      </c>
      <c r="G3072" s="9">
        <v>3172.9</v>
      </c>
      <c r="H3072" s="10">
        <v>0.5</v>
      </c>
      <c r="I3072" s="11">
        <v>5.2</v>
      </c>
    </row>
    <row r="3073" spans="1:9" x14ac:dyDescent="0.35">
      <c r="A3073" s="2" t="s">
        <v>307</v>
      </c>
      <c r="B3073" s="3">
        <v>44896</v>
      </c>
      <c r="C3073" s="2">
        <v>20</v>
      </c>
      <c r="D3073" s="2">
        <v>30759</v>
      </c>
      <c r="E3073" s="17">
        <v>58635.76</v>
      </c>
      <c r="F3073" s="11">
        <v>6.55</v>
      </c>
      <c r="G3073" s="9">
        <v>4744.2</v>
      </c>
      <c r="H3073" s="10">
        <v>0.55000000000000004</v>
      </c>
      <c r="I3073" s="11">
        <v>5.8</v>
      </c>
    </row>
    <row r="3074" spans="1:9" x14ac:dyDescent="0.35">
      <c r="A3074" s="2" t="s">
        <v>307</v>
      </c>
      <c r="B3074" s="3">
        <v>44927</v>
      </c>
      <c r="C3074" s="2">
        <v>22</v>
      </c>
      <c r="D3074" s="2">
        <v>23498</v>
      </c>
      <c r="E3074" s="17">
        <v>54289.73</v>
      </c>
      <c r="F3074" s="11">
        <v>6.25</v>
      </c>
      <c r="G3074" s="9">
        <v>3819</v>
      </c>
      <c r="H3074" s="10">
        <v>0.45500000000000002</v>
      </c>
      <c r="I3074" s="11">
        <v>6.6</v>
      </c>
    </row>
    <row r="3075" spans="1:9" x14ac:dyDescent="0.35">
      <c r="A3075" s="2" t="s">
        <v>307</v>
      </c>
      <c r="B3075" s="3">
        <v>44958</v>
      </c>
      <c r="C3075" s="2">
        <v>20</v>
      </c>
      <c r="D3075" s="2">
        <v>31811</v>
      </c>
      <c r="E3075" s="17">
        <v>66864.960000000006</v>
      </c>
      <c r="F3075" s="11">
        <v>6.59</v>
      </c>
      <c r="G3075" s="9">
        <v>4835.1000000000004</v>
      </c>
      <c r="H3075" s="10">
        <v>0.4</v>
      </c>
      <c r="I3075" s="11">
        <v>6.7</v>
      </c>
    </row>
    <row r="3076" spans="1:9" x14ac:dyDescent="0.35">
      <c r="A3076" s="2" t="s">
        <v>307</v>
      </c>
      <c r="B3076" s="3">
        <v>44986</v>
      </c>
      <c r="C3076" s="2">
        <v>20</v>
      </c>
      <c r="D3076" s="2">
        <v>30995</v>
      </c>
      <c r="E3076" s="17">
        <v>64377.91</v>
      </c>
      <c r="F3076" s="11">
        <v>6.46</v>
      </c>
      <c r="G3076" s="9">
        <v>4759</v>
      </c>
      <c r="H3076" s="10">
        <v>0.45</v>
      </c>
      <c r="I3076" s="11">
        <v>7.3</v>
      </c>
    </row>
    <row r="3077" spans="1:9" x14ac:dyDescent="0.35">
      <c r="A3077" s="2" t="s">
        <v>307</v>
      </c>
      <c r="B3077" s="3">
        <v>45017</v>
      </c>
      <c r="C3077" s="2">
        <v>12</v>
      </c>
      <c r="D3077" s="2">
        <v>19978</v>
      </c>
      <c r="E3077" s="17">
        <v>46216.88</v>
      </c>
      <c r="F3077" s="11">
        <v>6.2</v>
      </c>
      <c r="G3077" s="9">
        <v>3246.8</v>
      </c>
      <c r="H3077" s="10">
        <v>0.5</v>
      </c>
      <c r="I3077" s="11">
        <v>4.7</v>
      </c>
    </row>
    <row r="3078" spans="1:9" x14ac:dyDescent="0.35">
      <c r="A3078" s="2" t="s">
        <v>307</v>
      </c>
      <c r="B3078" s="3">
        <v>45047</v>
      </c>
      <c r="C3078" s="2">
        <v>10</v>
      </c>
      <c r="D3078" s="2">
        <v>12990</v>
      </c>
      <c r="E3078" s="17">
        <v>29045.84</v>
      </c>
      <c r="F3078" s="11">
        <v>6.16</v>
      </c>
      <c r="G3078" s="9">
        <v>2085.6999999999998</v>
      </c>
      <c r="H3078" s="10">
        <v>0.6</v>
      </c>
      <c r="I3078" s="11">
        <v>6.1</v>
      </c>
    </row>
    <row r="3079" spans="1:9" x14ac:dyDescent="0.35">
      <c r="A3079" s="2" t="s">
        <v>307</v>
      </c>
      <c r="B3079" s="3">
        <v>45078</v>
      </c>
      <c r="C3079" s="2">
        <v>21</v>
      </c>
      <c r="D3079" s="2">
        <v>33219</v>
      </c>
      <c r="E3079" s="17">
        <v>75125.399999999994</v>
      </c>
      <c r="F3079" s="11">
        <v>6.45</v>
      </c>
      <c r="G3079" s="9">
        <v>5172.8</v>
      </c>
      <c r="H3079" s="10">
        <v>0.47599999999999998</v>
      </c>
      <c r="I3079" s="11">
        <v>6.9</v>
      </c>
    </row>
    <row r="3080" spans="1:9" x14ac:dyDescent="0.35">
      <c r="A3080" s="2" t="s">
        <v>307</v>
      </c>
      <c r="B3080" s="3">
        <v>45108</v>
      </c>
      <c r="C3080" s="2">
        <v>20</v>
      </c>
      <c r="D3080" s="2">
        <v>26309</v>
      </c>
      <c r="E3080" s="17">
        <v>54383.97</v>
      </c>
      <c r="F3080" s="11">
        <v>6.48</v>
      </c>
      <c r="G3080" s="9">
        <v>4081.1</v>
      </c>
      <c r="H3080" s="10">
        <v>0.6</v>
      </c>
      <c r="I3080" s="11">
        <v>6.2</v>
      </c>
    </row>
    <row r="3081" spans="1:9" x14ac:dyDescent="0.35">
      <c r="A3081" s="2" t="s">
        <v>307</v>
      </c>
      <c r="B3081" s="3">
        <v>45139</v>
      </c>
      <c r="C3081" s="2">
        <v>20</v>
      </c>
      <c r="D3081" s="2">
        <v>30853</v>
      </c>
      <c r="E3081" s="17">
        <v>67309.94</v>
      </c>
      <c r="F3081" s="11">
        <v>6.7</v>
      </c>
      <c r="G3081" s="9">
        <v>4696.2</v>
      </c>
      <c r="H3081" s="10">
        <v>0.35</v>
      </c>
      <c r="I3081" s="11">
        <v>7.2</v>
      </c>
    </row>
    <row r="3082" spans="1:9" x14ac:dyDescent="0.35">
      <c r="A3082" s="2" t="s">
        <v>307</v>
      </c>
      <c r="B3082" s="3">
        <v>45170</v>
      </c>
      <c r="C3082" s="2">
        <v>18</v>
      </c>
      <c r="D3082" s="2">
        <v>32402</v>
      </c>
      <c r="E3082" s="17">
        <v>66300.27</v>
      </c>
      <c r="F3082" s="11">
        <v>6.5</v>
      </c>
      <c r="G3082" s="9">
        <v>5041.8</v>
      </c>
      <c r="H3082" s="10">
        <v>0.5</v>
      </c>
      <c r="I3082" s="11">
        <v>6.9</v>
      </c>
    </row>
    <row r="3083" spans="1:9" x14ac:dyDescent="0.35">
      <c r="A3083" s="2" t="s">
        <v>307</v>
      </c>
      <c r="B3083" s="3">
        <v>45200</v>
      </c>
      <c r="C3083" s="2">
        <v>21</v>
      </c>
      <c r="D3083" s="2">
        <v>28123</v>
      </c>
      <c r="E3083" s="17">
        <v>56897.61</v>
      </c>
      <c r="F3083" s="11">
        <v>6.51</v>
      </c>
      <c r="G3083" s="9">
        <v>4389.8999999999996</v>
      </c>
      <c r="H3083" s="10">
        <v>0.52400000000000002</v>
      </c>
      <c r="I3083" s="11">
        <v>6.1</v>
      </c>
    </row>
    <row r="3084" spans="1:9" x14ac:dyDescent="0.35">
      <c r="A3084" s="2" t="s">
        <v>307</v>
      </c>
      <c r="B3084" s="3">
        <v>45231</v>
      </c>
      <c r="C3084" s="2">
        <v>14</v>
      </c>
      <c r="D3084" s="2">
        <v>21846</v>
      </c>
      <c r="E3084" s="17">
        <v>43867.21</v>
      </c>
      <c r="F3084" s="11">
        <v>6.55</v>
      </c>
      <c r="G3084" s="9">
        <v>3476</v>
      </c>
      <c r="H3084" s="10">
        <v>0.5</v>
      </c>
      <c r="I3084" s="11">
        <v>7.7</v>
      </c>
    </row>
    <row r="3085" spans="1:9" x14ac:dyDescent="0.35">
      <c r="A3085" s="2" t="s">
        <v>307</v>
      </c>
      <c r="B3085" s="3">
        <v>45261</v>
      </c>
      <c r="C3085" s="2">
        <v>18</v>
      </c>
      <c r="D3085" s="2">
        <v>24304</v>
      </c>
      <c r="E3085" s="17">
        <v>52700.639999999999</v>
      </c>
      <c r="F3085" s="11">
        <v>6.33</v>
      </c>
      <c r="G3085" s="9">
        <v>3867.2</v>
      </c>
      <c r="H3085" s="10">
        <v>0.27800000000000002</v>
      </c>
      <c r="I3085" s="11">
        <v>7.2</v>
      </c>
    </row>
    <row r="3086" spans="1:9" x14ac:dyDescent="0.35">
      <c r="A3086" s="2" t="s">
        <v>307</v>
      </c>
      <c r="B3086" s="3">
        <v>45292</v>
      </c>
      <c r="C3086" s="2">
        <v>18</v>
      </c>
      <c r="D3086" s="2">
        <v>27549</v>
      </c>
      <c r="E3086" s="17">
        <v>58207.68</v>
      </c>
      <c r="F3086" s="11">
        <v>6.5</v>
      </c>
      <c r="G3086" s="9">
        <v>4245.8</v>
      </c>
      <c r="H3086" s="10">
        <v>0.44400000000000001</v>
      </c>
      <c r="I3086" s="11">
        <v>7</v>
      </c>
    </row>
    <row r="3087" spans="1:9" x14ac:dyDescent="0.35">
      <c r="A3087" s="2" t="s">
        <v>307</v>
      </c>
      <c r="B3087" s="3">
        <v>45323</v>
      </c>
      <c r="C3087" s="2">
        <v>14</v>
      </c>
      <c r="D3087" s="2">
        <v>20975</v>
      </c>
      <c r="E3087" s="17">
        <v>48022.63</v>
      </c>
      <c r="F3087" s="11">
        <v>6.66</v>
      </c>
      <c r="G3087" s="9">
        <v>3215.2</v>
      </c>
      <c r="H3087" s="10">
        <v>0.57099999999999995</v>
      </c>
      <c r="I3087" s="11">
        <v>7.7</v>
      </c>
    </row>
    <row r="3088" spans="1:9" x14ac:dyDescent="0.35">
      <c r="A3088" s="2" t="s">
        <v>307</v>
      </c>
      <c r="B3088" s="3">
        <v>45352</v>
      </c>
      <c r="C3088" s="2">
        <v>22</v>
      </c>
      <c r="D3088" s="2">
        <v>32785</v>
      </c>
      <c r="E3088" s="17">
        <v>71536.539999999994</v>
      </c>
      <c r="F3088" s="11">
        <v>6.66</v>
      </c>
      <c r="G3088" s="9">
        <v>5010.1000000000004</v>
      </c>
      <c r="H3088" s="10">
        <v>0.45500000000000002</v>
      </c>
      <c r="I3088" s="11">
        <v>6.9</v>
      </c>
    </row>
    <row r="3089" spans="1:9" x14ac:dyDescent="0.35">
      <c r="A3089" s="2" t="s">
        <v>307</v>
      </c>
      <c r="B3089" s="3">
        <v>45383</v>
      </c>
      <c r="C3089" s="2">
        <v>21</v>
      </c>
      <c r="D3089" s="2">
        <v>21393</v>
      </c>
      <c r="E3089" s="17">
        <v>47495.58</v>
      </c>
      <c r="F3089" s="11">
        <v>6.44</v>
      </c>
      <c r="G3089" s="9">
        <v>3339.7</v>
      </c>
      <c r="H3089" s="10">
        <v>0.38100000000000001</v>
      </c>
      <c r="I3089" s="11">
        <v>7.6</v>
      </c>
    </row>
    <row r="3090" spans="1:9" x14ac:dyDescent="0.35">
      <c r="A3090" s="2" t="s">
        <v>307</v>
      </c>
      <c r="B3090" s="3">
        <v>45413</v>
      </c>
      <c r="C3090" s="2">
        <v>22</v>
      </c>
      <c r="D3090" s="2">
        <v>34479</v>
      </c>
      <c r="E3090" s="17">
        <v>74758.2</v>
      </c>
      <c r="F3090" s="11">
        <v>6.42</v>
      </c>
      <c r="G3090" s="9">
        <v>5353.6</v>
      </c>
      <c r="H3090" s="10">
        <v>0.5</v>
      </c>
      <c r="I3090" s="11">
        <v>7.7</v>
      </c>
    </row>
    <row r="3091" spans="1:9" x14ac:dyDescent="0.35">
      <c r="A3091" s="2" t="s">
        <v>307</v>
      </c>
      <c r="B3091" s="3">
        <v>45444</v>
      </c>
      <c r="C3091" s="2">
        <v>15</v>
      </c>
      <c r="D3091" s="2">
        <v>19585</v>
      </c>
      <c r="E3091" s="17">
        <v>40031.599999999999</v>
      </c>
      <c r="F3091" s="11">
        <v>6.24</v>
      </c>
      <c r="G3091" s="9">
        <v>3152.8</v>
      </c>
      <c r="H3091" s="10">
        <v>0.46700000000000003</v>
      </c>
      <c r="I3091" s="11">
        <v>6.3</v>
      </c>
    </row>
    <row r="3092" spans="1:9" x14ac:dyDescent="0.35">
      <c r="A3092" s="2" t="s">
        <v>307</v>
      </c>
      <c r="B3092" s="3">
        <v>45474</v>
      </c>
      <c r="C3092" s="2">
        <v>21</v>
      </c>
      <c r="D3092" s="2">
        <v>26393</v>
      </c>
      <c r="E3092" s="17">
        <v>60441.74</v>
      </c>
      <c r="F3092" s="11">
        <v>6.68</v>
      </c>
      <c r="G3092" s="9">
        <v>3897.3</v>
      </c>
      <c r="H3092" s="10">
        <v>0.52400000000000002</v>
      </c>
      <c r="I3092" s="11">
        <v>6.5</v>
      </c>
    </row>
    <row r="3093" spans="1:9" x14ac:dyDescent="0.35">
      <c r="A3093" s="2" t="s">
        <v>307</v>
      </c>
      <c r="B3093" s="3">
        <v>45505</v>
      </c>
      <c r="C3093" s="2">
        <v>15</v>
      </c>
      <c r="D3093" s="2">
        <v>20849</v>
      </c>
      <c r="E3093" s="17">
        <v>48720.59</v>
      </c>
      <c r="F3093" s="11">
        <v>6.57</v>
      </c>
      <c r="G3093" s="9">
        <v>3213.1</v>
      </c>
      <c r="H3093" s="10">
        <v>0.26700000000000002</v>
      </c>
      <c r="I3093" s="11">
        <v>6.3</v>
      </c>
    </row>
    <row r="3094" spans="1:9" x14ac:dyDescent="0.35">
      <c r="A3094" s="2" t="s">
        <v>307</v>
      </c>
      <c r="B3094" s="3">
        <v>45536</v>
      </c>
      <c r="C3094" s="2">
        <v>15</v>
      </c>
      <c r="D3094" s="2">
        <v>20409</v>
      </c>
      <c r="E3094" s="17">
        <v>46201.760000000002</v>
      </c>
      <c r="F3094" s="11">
        <v>6.67</v>
      </c>
      <c r="G3094" s="9">
        <v>3030.2</v>
      </c>
      <c r="H3094" s="10">
        <v>0.4</v>
      </c>
      <c r="I3094" s="11">
        <v>6.1</v>
      </c>
    </row>
    <row r="3095" spans="1:9" x14ac:dyDescent="0.35">
      <c r="A3095" s="2" t="s">
        <v>307</v>
      </c>
      <c r="B3095" s="3">
        <v>45566</v>
      </c>
      <c r="C3095" s="2">
        <v>15</v>
      </c>
      <c r="D3095" s="2">
        <v>20680</v>
      </c>
      <c r="E3095" s="17">
        <v>44820.73</v>
      </c>
      <c r="F3095" s="11">
        <v>6.5</v>
      </c>
      <c r="G3095" s="9">
        <v>3214.5</v>
      </c>
      <c r="H3095" s="10">
        <v>0.46700000000000003</v>
      </c>
      <c r="I3095" s="11">
        <v>6.5</v>
      </c>
    </row>
    <row r="3096" spans="1:9" x14ac:dyDescent="0.35">
      <c r="A3096" s="2" t="s">
        <v>307</v>
      </c>
      <c r="B3096" s="3">
        <v>45597</v>
      </c>
      <c r="C3096" s="2">
        <v>20</v>
      </c>
      <c r="D3096" s="2">
        <v>28035</v>
      </c>
      <c r="E3096" s="17">
        <v>60100.69</v>
      </c>
      <c r="F3096" s="11">
        <v>6.62</v>
      </c>
      <c r="G3096" s="9">
        <v>4273.5</v>
      </c>
      <c r="H3096" s="10">
        <v>0.7</v>
      </c>
      <c r="I3096" s="11">
        <v>7.3</v>
      </c>
    </row>
    <row r="3097" spans="1:9" x14ac:dyDescent="0.35">
      <c r="A3097" s="2" t="s">
        <v>307</v>
      </c>
      <c r="B3097" s="3">
        <v>45627</v>
      </c>
      <c r="C3097" s="2">
        <v>22</v>
      </c>
      <c r="D3097" s="2">
        <v>27456</v>
      </c>
      <c r="E3097" s="17">
        <v>57627.26</v>
      </c>
      <c r="F3097" s="11">
        <v>6.39</v>
      </c>
      <c r="G3097" s="9">
        <v>4263.2</v>
      </c>
      <c r="H3097" s="10">
        <v>0.5</v>
      </c>
      <c r="I3097" s="11">
        <v>7.8</v>
      </c>
    </row>
    <row r="3098" spans="1:9" x14ac:dyDescent="0.35">
      <c r="A3098" s="2" t="s">
        <v>309</v>
      </c>
      <c r="B3098" s="3">
        <v>44562</v>
      </c>
      <c r="C3098" s="2">
        <v>20</v>
      </c>
      <c r="D3098" s="2">
        <v>25358</v>
      </c>
      <c r="E3098" s="17">
        <v>53501.919999999998</v>
      </c>
      <c r="F3098" s="11">
        <v>6.44</v>
      </c>
      <c r="G3098" s="9">
        <v>3927.8</v>
      </c>
      <c r="H3098" s="10">
        <v>0.7</v>
      </c>
      <c r="I3098" s="11">
        <v>6.3</v>
      </c>
    </row>
    <row r="3099" spans="1:9" x14ac:dyDescent="0.35">
      <c r="A3099" s="2" t="s">
        <v>309</v>
      </c>
      <c r="B3099" s="3">
        <v>44593</v>
      </c>
      <c r="C3099" s="2">
        <v>13</v>
      </c>
      <c r="D3099" s="2">
        <v>18515</v>
      </c>
      <c r="E3099" s="17">
        <v>43538.55</v>
      </c>
      <c r="F3099" s="11">
        <v>6.66</v>
      </c>
      <c r="G3099" s="9">
        <v>2769.2</v>
      </c>
      <c r="H3099" s="10">
        <v>0.38500000000000001</v>
      </c>
      <c r="I3099" s="11">
        <v>6.1</v>
      </c>
    </row>
    <row r="3100" spans="1:9" x14ac:dyDescent="0.35">
      <c r="A3100" s="2" t="s">
        <v>309</v>
      </c>
      <c r="B3100" s="3">
        <v>44621</v>
      </c>
      <c r="C3100" s="2">
        <v>11</v>
      </c>
      <c r="D3100" s="2">
        <v>14713</v>
      </c>
      <c r="E3100" s="17">
        <v>34797.120000000003</v>
      </c>
      <c r="F3100" s="11">
        <v>6.71</v>
      </c>
      <c r="G3100" s="9">
        <v>2256.6</v>
      </c>
      <c r="H3100" s="10">
        <v>0.45500000000000002</v>
      </c>
      <c r="I3100" s="11">
        <v>6.7</v>
      </c>
    </row>
    <row r="3101" spans="1:9" x14ac:dyDescent="0.35">
      <c r="A3101" s="2" t="s">
        <v>309</v>
      </c>
      <c r="B3101" s="3">
        <v>44652</v>
      </c>
      <c r="C3101" s="2">
        <v>17</v>
      </c>
      <c r="D3101" s="2">
        <v>23490</v>
      </c>
      <c r="E3101" s="17">
        <v>49888.5</v>
      </c>
      <c r="F3101" s="11">
        <v>6.54</v>
      </c>
      <c r="G3101" s="9">
        <v>3518.6</v>
      </c>
      <c r="H3101" s="10">
        <v>0.64700000000000002</v>
      </c>
      <c r="I3101" s="11">
        <v>7</v>
      </c>
    </row>
    <row r="3102" spans="1:9" x14ac:dyDescent="0.35">
      <c r="A3102" s="2" t="s">
        <v>309</v>
      </c>
      <c r="B3102" s="3">
        <v>44682</v>
      </c>
      <c r="C3102" s="2">
        <v>26</v>
      </c>
      <c r="D3102" s="2">
        <v>34233</v>
      </c>
      <c r="E3102" s="17">
        <v>72751.429999999993</v>
      </c>
      <c r="F3102" s="11">
        <v>6.62</v>
      </c>
      <c r="G3102" s="9">
        <v>5251.7</v>
      </c>
      <c r="H3102" s="10">
        <v>0.42299999999999999</v>
      </c>
      <c r="I3102" s="11">
        <v>7.3</v>
      </c>
    </row>
    <row r="3103" spans="1:9" x14ac:dyDescent="0.35">
      <c r="A3103" s="2" t="s">
        <v>309</v>
      </c>
      <c r="B3103" s="3">
        <v>44713</v>
      </c>
      <c r="C3103" s="2">
        <v>18</v>
      </c>
      <c r="D3103" s="2">
        <v>26295</v>
      </c>
      <c r="E3103" s="17">
        <v>60826.87</v>
      </c>
      <c r="F3103" s="11">
        <v>6.78</v>
      </c>
      <c r="G3103" s="9">
        <v>3994</v>
      </c>
      <c r="H3103" s="10">
        <v>0.27800000000000002</v>
      </c>
      <c r="I3103" s="11">
        <v>7.1</v>
      </c>
    </row>
    <row r="3104" spans="1:9" x14ac:dyDescent="0.35">
      <c r="A3104" s="2" t="s">
        <v>309</v>
      </c>
      <c r="B3104" s="3">
        <v>44743</v>
      </c>
      <c r="C3104" s="2">
        <v>17</v>
      </c>
      <c r="D3104" s="2">
        <v>28222</v>
      </c>
      <c r="E3104" s="17">
        <v>61689.46</v>
      </c>
      <c r="F3104" s="11">
        <v>6.54</v>
      </c>
      <c r="G3104" s="9">
        <v>4296.8</v>
      </c>
      <c r="H3104" s="10">
        <v>0.58799999999999997</v>
      </c>
      <c r="I3104" s="11">
        <v>6.3</v>
      </c>
    </row>
    <row r="3105" spans="1:9" x14ac:dyDescent="0.35">
      <c r="A3105" s="2" t="s">
        <v>309</v>
      </c>
      <c r="B3105" s="3">
        <v>44774</v>
      </c>
      <c r="C3105" s="2">
        <v>19</v>
      </c>
      <c r="D3105" s="2">
        <v>21599</v>
      </c>
      <c r="E3105" s="17">
        <v>47749.36</v>
      </c>
      <c r="F3105" s="11">
        <v>6.33</v>
      </c>
      <c r="G3105" s="9">
        <v>3322.1</v>
      </c>
      <c r="H3105" s="10">
        <v>0.47399999999999998</v>
      </c>
      <c r="I3105" s="11">
        <v>7.9</v>
      </c>
    </row>
    <row r="3106" spans="1:9" x14ac:dyDescent="0.35">
      <c r="A3106" s="2" t="s">
        <v>309</v>
      </c>
      <c r="B3106" s="3">
        <v>44805</v>
      </c>
      <c r="C3106" s="2">
        <v>18</v>
      </c>
      <c r="D3106" s="2">
        <v>27790</v>
      </c>
      <c r="E3106" s="17">
        <v>60335.26</v>
      </c>
      <c r="F3106" s="11">
        <v>6.72</v>
      </c>
      <c r="G3106" s="9">
        <v>4142.8999999999996</v>
      </c>
      <c r="H3106" s="10">
        <v>0.16700000000000001</v>
      </c>
      <c r="I3106" s="11">
        <v>7</v>
      </c>
    </row>
    <row r="3107" spans="1:9" x14ac:dyDescent="0.35">
      <c r="A3107" s="2" t="s">
        <v>309</v>
      </c>
      <c r="B3107" s="3">
        <v>44835</v>
      </c>
      <c r="C3107" s="2">
        <v>20</v>
      </c>
      <c r="D3107" s="2">
        <v>32215</v>
      </c>
      <c r="E3107" s="17">
        <v>69557.960000000006</v>
      </c>
      <c r="F3107" s="11">
        <v>6.54</v>
      </c>
      <c r="G3107" s="9">
        <v>4904.6000000000004</v>
      </c>
      <c r="H3107" s="10">
        <v>0.35</v>
      </c>
      <c r="I3107" s="11">
        <v>7.7</v>
      </c>
    </row>
    <row r="3108" spans="1:9" x14ac:dyDescent="0.35">
      <c r="A3108" s="2" t="s">
        <v>309</v>
      </c>
      <c r="B3108" s="3">
        <v>44866</v>
      </c>
      <c r="C3108" s="2">
        <v>15</v>
      </c>
      <c r="D3108" s="2">
        <v>21829</v>
      </c>
      <c r="E3108" s="17">
        <v>46141.73</v>
      </c>
      <c r="F3108" s="11">
        <v>6.3</v>
      </c>
      <c r="G3108" s="9">
        <v>3536.6</v>
      </c>
      <c r="H3108" s="10">
        <v>0.4</v>
      </c>
      <c r="I3108" s="11">
        <v>6.3</v>
      </c>
    </row>
    <row r="3109" spans="1:9" x14ac:dyDescent="0.35">
      <c r="A3109" s="2" t="s">
        <v>309</v>
      </c>
      <c r="B3109" s="3">
        <v>44896</v>
      </c>
      <c r="C3109" s="2">
        <v>20</v>
      </c>
      <c r="D3109" s="2">
        <v>21954</v>
      </c>
      <c r="E3109" s="17">
        <v>51222.98</v>
      </c>
      <c r="F3109" s="11">
        <v>6.74</v>
      </c>
      <c r="G3109" s="9">
        <v>3285.5</v>
      </c>
      <c r="H3109" s="10">
        <v>0.6</v>
      </c>
      <c r="I3109" s="11">
        <v>6</v>
      </c>
    </row>
    <row r="3110" spans="1:9" x14ac:dyDescent="0.35">
      <c r="A3110" s="2" t="s">
        <v>309</v>
      </c>
      <c r="B3110" s="3">
        <v>44927</v>
      </c>
      <c r="C3110" s="2">
        <v>21</v>
      </c>
      <c r="D3110" s="2">
        <v>30996</v>
      </c>
      <c r="E3110" s="17">
        <v>68414.31</v>
      </c>
      <c r="F3110" s="11">
        <v>6.65</v>
      </c>
      <c r="G3110" s="9">
        <v>4693.8</v>
      </c>
      <c r="H3110" s="10">
        <v>0.23799999999999999</v>
      </c>
      <c r="I3110" s="11">
        <v>6.4</v>
      </c>
    </row>
    <row r="3111" spans="1:9" x14ac:dyDescent="0.35">
      <c r="A3111" s="2" t="s">
        <v>309</v>
      </c>
      <c r="B3111" s="3">
        <v>44958</v>
      </c>
      <c r="C3111" s="2">
        <v>16</v>
      </c>
      <c r="D3111" s="2">
        <v>23458</v>
      </c>
      <c r="E3111" s="17">
        <v>50669.03</v>
      </c>
      <c r="F3111" s="11">
        <v>6.69</v>
      </c>
      <c r="G3111" s="9">
        <v>3518.8</v>
      </c>
      <c r="H3111" s="10">
        <v>0.25</v>
      </c>
      <c r="I3111" s="11">
        <v>6.9</v>
      </c>
    </row>
    <row r="3112" spans="1:9" x14ac:dyDescent="0.35">
      <c r="A3112" s="2" t="s">
        <v>309</v>
      </c>
      <c r="B3112" s="3">
        <v>44986</v>
      </c>
      <c r="C3112" s="2">
        <v>26</v>
      </c>
      <c r="D3112" s="2">
        <v>29734</v>
      </c>
      <c r="E3112" s="17">
        <v>66638.039999999994</v>
      </c>
      <c r="F3112" s="11">
        <v>6.76</v>
      </c>
      <c r="G3112" s="9">
        <v>4365.2</v>
      </c>
      <c r="H3112" s="10">
        <v>0.57699999999999996</v>
      </c>
      <c r="I3112" s="11">
        <v>7.7</v>
      </c>
    </row>
    <row r="3113" spans="1:9" x14ac:dyDescent="0.35">
      <c r="A3113" s="2" t="s">
        <v>309</v>
      </c>
      <c r="B3113" s="3">
        <v>45017</v>
      </c>
      <c r="C3113" s="2">
        <v>18</v>
      </c>
      <c r="D3113" s="2">
        <v>28657</v>
      </c>
      <c r="E3113" s="17">
        <v>63972.05</v>
      </c>
      <c r="F3113" s="11">
        <v>6.49</v>
      </c>
      <c r="G3113" s="9">
        <v>4457.7</v>
      </c>
      <c r="H3113" s="10">
        <v>0.55600000000000005</v>
      </c>
      <c r="I3113" s="11">
        <v>6.9</v>
      </c>
    </row>
    <row r="3114" spans="1:9" x14ac:dyDescent="0.35">
      <c r="A3114" s="2" t="s">
        <v>309</v>
      </c>
      <c r="B3114" s="3">
        <v>45047</v>
      </c>
      <c r="C3114" s="2">
        <v>17</v>
      </c>
      <c r="D3114" s="2">
        <v>19776</v>
      </c>
      <c r="E3114" s="17">
        <v>40992.660000000003</v>
      </c>
      <c r="F3114" s="11">
        <v>6.1</v>
      </c>
      <c r="G3114" s="9">
        <v>3275.9</v>
      </c>
      <c r="H3114" s="10">
        <v>0.41199999999999998</v>
      </c>
      <c r="I3114" s="11">
        <v>7.2</v>
      </c>
    </row>
    <row r="3115" spans="1:9" x14ac:dyDescent="0.35">
      <c r="A3115" s="2" t="s">
        <v>309</v>
      </c>
      <c r="B3115" s="3">
        <v>45078</v>
      </c>
      <c r="C3115" s="2">
        <v>26</v>
      </c>
      <c r="D3115" s="2">
        <v>36958</v>
      </c>
      <c r="E3115" s="17">
        <v>80617.73</v>
      </c>
      <c r="F3115" s="11">
        <v>6.34</v>
      </c>
      <c r="G3115" s="9">
        <v>5782.6</v>
      </c>
      <c r="H3115" s="10">
        <v>0.38500000000000001</v>
      </c>
      <c r="I3115" s="11">
        <v>7.8</v>
      </c>
    </row>
    <row r="3116" spans="1:9" x14ac:dyDescent="0.35">
      <c r="A3116" s="2" t="s">
        <v>309</v>
      </c>
      <c r="B3116" s="3">
        <v>45108</v>
      </c>
      <c r="C3116" s="2">
        <v>20</v>
      </c>
      <c r="D3116" s="2">
        <v>36678</v>
      </c>
      <c r="E3116" s="17">
        <v>80050.58</v>
      </c>
      <c r="F3116" s="11">
        <v>6.73</v>
      </c>
      <c r="G3116" s="9">
        <v>5435.2</v>
      </c>
      <c r="H3116" s="10">
        <v>0.35</v>
      </c>
      <c r="I3116" s="11">
        <v>7</v>
      </c>
    </row>
    <row r="3117" spans="1:9" x14ac:dyDescent="0.35">
      <c r="A3117" s="2" t="s">
        <v>309</v>
      </c>
      <c r="B3117" s="3">
        <v>45139</v>
      </c>
      <c r="C3117" s="2">
        <v>26</v>
      </c>
      <c r="D3117" s="2">
        <v>33049</v>
      </c>
      <c r="E3117" s="17">
        <v>75337.52</v>
      </c>
      <c r="F3117" s="11">
        <v>6.42</v>
      </c>
      <c r="G3117" s="9">
        <v>5230.8</v>
      </c>
      <c r="H3117" s="10">
        <v>0.57699999999999996</v>
      </c>
      <c r="I3117" s="11">
        <v>6.9</v>
      </c>
    </row>
    <row r="3118" spans="1:9" x14ac:dyDescent="0.35">
      <c r="A3118" s="2" t="s">
        <v>309</v>
      </c>
      <c r="B3118" s="3">
        <v>45170</v>
      </c>
      <c r="C3118" s="2">
        <v>13</v>
      </c>
      <c r="D3118" s="2">
        <v>15532</v>
      </c>
      <c r="E3118" s="17">
        <v>29336.13</v>
      </c>
      <c r="F3118" s="11">
        <v>6.46</v>
      </c>
      <c r="G3118" s="9">
        <v>2466.6</v>
      </c>
      <c r="H3118" s="10">
        <v>0.69199999999999995</v>
      </c>
      <c r="I3118" s="11">
        <v>6.7</v>
      </c>
    </row>
    <row r="3119" spans="1:9" x14ac:dyDescent="0.35">
      <c r="A3119" s="2" t="s">
        <v>309</v>
      </c>
      <c r="B3119" s="3">
        <v>45200</v>
      </c>
      <c r="C3119" s="2">
        <v>22</v>
      </c>
      <c r="D3119" s="2">
        <v>33874</v>
      </c>
      <c r="E3119" s="17">
        <v>68165.08</v>
      </c>
      <c r="F3119" s="11">
        <v>6.51</v>
      </c>
      <c r="G3119" s="9">
        <v>5323.8</v>
      </c>
      <c r="H3119" s="10">
        <v>0.5</v>
      </c>
      <c r="I3119" s="11">
        <v>7</v>
      </c>
    </row>
    <row r="3120" spans="1:9" x14ac:dyDescent="0.35">
      <c r="A3120" s="2" t="s">
        <v>309</v>
      </c>
      <c r="B3120" s="3">
        <v>45231</v>
      </c>
      <c r="C3120" s="2">
        <v>8</v>
      </c>
      <c r="D3120" s="2">
        <v>13085</v>
      </c>
      <c r="E3120" s="17">
        <v>24589.46</v>
      </c>
      <c r="F3120" s="11">
        <v>6.52</v>
      </c>
      <c r="G3120" s="9">
        <v>2036.6</v>
      </c>
      <c r="H3120" s="10">
        <v>0.75</v>
      </c>
      <c r="I3120" s="11">
        <v>7.3</v>
      </c>
    </row>
    <row r="3121" spans="1:9" x14ac:dyDescent="0.35">
      <c r="A3121" s="2" t="s">
        <v>309</v>
      </c>
      <c r="B3121" s="3">
        <v>45261</v>
      </c>
      <c r="C3121" s="2">
        <v>17</v>
      </c>
      <c r="D3121" s="2">
        <v>29841</v>
      </c>
      <c r="E3121" s="17">
        <v>68212.17</v>
      </c>
      <c r="F3121" s="11">
        <v>6.5</v>
      </c>
      <c r="G3121" s="9">
        <v>4654.5</v>
      </c>
      <c r="H3121" s="10">
        <v>0.52900000000000003</v>
      </c>
      <c r="I3121" s="11">
        <v>7.6</v>
      </c>
    </row>
    <row r="3122" spans="1:9" x14ac:dyDescent="0.35">
      <c r="A3122" s="2" t="s">
        <v>309</v>
      </c>
      <c r="B3122" s="3">
        <v>45292</v>
      </c>
      <c r="C3122" s="2">
        <v>12</v>
      </c>
      <c r="D3122" s="2">
        <v>16982</v>
      </c>
      <c r="E3122" s="17">
        <v>37918.239999999998</v>
      </c>
      <c r="F3122" s="11">
        <v>6.55</v>
      </c>
      <c r="G3122" s="9">
        <v>2616.4</v>
      </c>
      <c r="H3122" s="10">
        <v>0.58299999999999996</v>
      </c>
      <c r="I3122" s="11">
        <v>5.8</v>
      </c>
    </row>
    <row r="3123" spans="1:9" x14ac:dyDescent="0.35">
      <c r="A3123" s="2" t="s">
        <v>309</v>
      </c>
      <c r="B3123" s="3">
        <v>45323</v>
      </c>
      <c r="C3123" s="2">
        <v>14</v>
      </c>
      <c r="D3123" s="2">
        <v>17346</v>
      </c>
      <c r="E3123" s="17">
        <v>35557.19</v>
      </c>
      <c r="F3123" s="11">
        <v>6.52</v>
      </c>
      <c r="G3123" s="9">
        <v>2675.6</v>
      </c>
      <c r="H3123" s="10">
        <v>0.5</v>
      </c>
      <c r="I3123" s="11">
        <v>7.3</v>
      </c>
    </row>
    <row r="3124" spans="1:9" x14ac:dyDescent="0.35">
      <c r="A3124" s="2" t="s">
        <v>309</v>
      </c>
      <c r="B3124" s="3">
        <v>45352</v>
      </c>
      <c r="C3124" s="2">
        <v>22</v>
      </c>
      <c r="D3124" s="2">
        <v>41520</v>
      </c>
      <c r="E3124" s="17">
        <v>90166.89</v>
      </c>
      <c r="F3124" s="11">
        <v>6.41</v>
      </c>
      <c r="G3124" s="9">
        <v>6574.8</v>
      </c>
      <c r="H3124" s="10">
        <v>0.22700000000000001</v>
      </c>
      <c r="I3124" s="11">
        <v>6.1</v>
      </c>
    </row>
    <row r="3125" spans="1:9" x14ac:dyDescent="0.35">
      <c r="A3125" s="2" t="s">
        <v>309</v>
      </c>
      <c r="B3125" s="3">
        <v>45383</v>
      </c>
      <c r="C3125" s="2">
        <v>24</v>
      </c>
      <c r="D3125" s="2">
        <v>33512</v>
      </c>
      <c r="E3125" s="17">
        <v>70774.820000000007</v>
      </c>
      <c r="F3125" s="11">
        <v>6.53</v>
      </c>
      <c r="G3125" s="9">
        <v>5295.1</v>
      </c>
      <c r="H3125" s="10">
        <v>0.33300000000000002</v>
      </c>
      <c r="I3125" s="11">
        <v>6.8</v>
      </c>
    </row>
    <row r="3126" spans="1:9" x14ac:dyDescent="0.35">
      <c r="A3126" s="2" t="s">
        <v>309</v>
      </c>
      <c r="B3126" s="3">
        <v>45413</v>
      </c>
      <c r="C3126" s="2">
        <v>17</v>
      </c>
      <c r="D3126" s="2">
        <v>25787</v>
      </c>
      <c r="E3126" s="17">
        <v>52080.79</v>
      </c>
      <c r="F3126" s="11">
        <v>6.7</v>
      </c>
      <c r="G3126" s="9">
        <v>3842.2</v>
      </c>
      <c r="H3126" s="10">
        <v>0.47099999999999997</v>
      </c>
      <c r="I3126" s="11">
        <v>7.3</v>
      </c>
    </row>
    <row r="3127" spans="1:9" x14ac:dyDescent="0.35">
      <c r="A3127" s="2" t="s">
        <v>309</v>
      </c>
      <c r="B3127" s="3">
        <v>45444</v>
      </c>
      <c r="C3127" s="2">
        <v>18</v>
      </c>
      <c r="D3127" s="2">
        <v>25580</v>
      </c>
      <c r="E3127" s="17">
        <v>52222.31</v>
      </c>
      <c r="F3127" s="11">
        <v>6.59</v>
      </c>
      <c r="G3127" s="9">
        <v>3971.5</v>
      </c>
      <c r="H3127" s="10">
        <v>0.33300000000000002</v>
      </c>
      <c r="I3127" s="11">
        <v>6.5</v>
      </c>
    </row>
    <row r="3128" spans="1:9" x14ac:dyDescent="0.35">
      <c r="A3128" s="2" t="s">
        <v>309</v>
      </c>
      <c r="B3128" s="3">
        <v>45474</v>
      </c>
      <c r="C3128" s="2">
        <v>18</v>
      </c>
      <c r="D3128" s="2">
        <v>22769</v>
      </c>
      <c r="E3128" s="17">
        <v>52335.360000000001</v>
      </c>
      <c r="F3128" s="11">
        <v>6.72</v>
      </c>
      <c r="G3128" s="9">
        <v>3489.9</v>
      </c>
      <c r="H3128" s="10">
        <v>0.5</v>
      </c>
      <c r="I3128" s="11">
        <v>6.4</v>
      </c>
    </row>
    <row r="3129" spans="1:9" x14ac:dyDescent="0.35">
      <c r="A3129" s="2" t="s">
        <v>309</v>
      </c>
      <c r="B3129" s="3">
        <v>45505</v>
      </c>
      <c r="C3129" s="2">
        <v>20</v>
      </c>
      <c r="D3129" s="2">
        <v>22117</v>
      </c>
      <c r="E3129" s="17">
        <v>50306.99</v>
      </c>
      <c r="F3129" s="11">
        <v>6.47</v>
      </c>
      <c r="G3129" s="9">
        <v>3451.9</v>
      </c>
      <c r="H3129" s="10">
        <v>0.35</v>
      </c>
      <c r="I3129" s="11">
        <v>6.8</v>
      </c>
    </row>
    <row r="3130" spans="1:9" x14ac:dyDescent="0.35">
      <c r="A3130" s="2" t="s">
        <v>309</v>
      </c>
      <c r="B3130" s="3">
        <v>45536</v>
      </c>
      <c r="C3130" s="2">
        <v>23</v>
      </c>
      <c r="D3130" s="2">
        <v>40135</v>
      </c>
      <c r="E3130" s="17">
        <v>81300.06</v>
      </c>
      <c r="F3130" s="11">
        <v>6.63</v>
      </c>
      <c r="G3130" s="9">
        <v>6062.6</v>
      </c>
      <c r="H3130" s="10">
        <v>0.26100000000000001</v>
      </c>
      <c r="I3130" s="11">
        <v>7.3</v>
      </c>
    </row>
    <row r="3131" spans="1:9" x14ac:dyDescent="0.35">
      <c r="A3131" s="2" t="s">
        <v>309</v>
      </c>
      <c r="B3131" s="3">
        <v>45566</v>
      </c>
      <c r="C3131" s="2">
        <v>22</v>
      </c>
      <c r="D3131" s="2">
        <v>31296</v>
      </c>
      <c r="E3131" s="17">
        <v>64968.45</v>
      </c>
      <c r="F3131" s="11">
        <v>6.84</v>
      </c>
      <c r="G3131" s="9">
        <v>4647.8</v>
      </c>
      <c r="H3131" s="10">
        <v>0.45500000000000002</v>
      </c>
      <c r="I3131" s="11">
        <v>7.2</v>
      </c>
    </row>
    <row r="3132" spans="1:9" x14ac:dyDescent="0.35">
      <c r="A3132" s="2" t="s">
        <v>309</v>
      </c>
      <c r="B3132" s="3">
        <v>45597</v>
      </c>
      <c r="C3132" s="2">
        <v>18</v>
      </c>
      <c r="D3132" s="2">
        <v>25404</v>
      </c>
      <c r="E3132" s="17">
        <v>55314.879999999997</v>
      </c>
      <c r="F3132" s="11">
        <v>6.69</v>
      </c>
      <c r="G3132" s="9">
        <v>3788.9</v>
      </c>
      <c r="H3132" s="10">
        <v>0.5</v>
      </c>
      <c r="I3132" s="11">
        <v>6.7</v>
      </c>
    </row>
    <row r="3133" spans="1:9" x14ac:dyDescent="0.35">
      <c r="A3133" s="2" t="s">
        <v>309</v>
      </c>
      <c r="B3133" s="3">
        <v>45627</v>
      </c>
      <c r="C3133" s="2">
        <v>27</v>
      </c>
      <c r="D3133" s="2">
        <v>43472</v>
      </c>
      <c r="E3133" s="17">
        <v>94897</v>
      </c>
      <c r="F3133" s="11">
        <v>6.53</v>
      </c>
      <c r="G3133" s="9">
        <v>6684</v>
      </c>
      <c r="H3133" s="10">
        <v>0.51900000000000002</v>
      </c>
      <c r="I3133" s="11">
        <v>6.1</v>
      </c>
    </row>
    <row r="3134" spans="1:9" x14ac:dyDescent="0.35">
      <c r="A3134" s="2" t="s">
        <v>313</v>
      </c>
      <c r="B3134" s="3">
        <v>44562</v>
      </c>
      <c r="C3134" s="2">
        <v>25</v>
      </c>
      <c r="D3134" s="2">
        <v>34952</v>
      </c>
      <c r="E3134" s="17">
        <v>75610.720000000001</v>
      </c>
      <c r="F3134" s="11">
        <v>6.46</v>
      </c>
      <c r="G3134" s="9">
        <v>5481.2</v>
      </c>
      <c r="H3134" s="10">
        <v>0.64</v>
      </c>
      <c r="I3134" s="11">
        <v>7.1</v>
      </c>
    </row>
    <row r="3135" spans="1:9" x14ac:dyDescent="0.35">
      <c r="A3135" s="2" t="s">
        <v>313</v>
      </c>
      <c r="B3135" s="3">
        <v>44593</v>
      </c>
      <c r="C3135" s="2">
        <v>17</v>
      </c>
      <c r="D3135" s="2">
        <v>18744</v>
      </c>
      <c r="E3135" s="17">
        <v>39533.89</v>
      </c>
      <c r="F3135" s="11">
        <v>6.73</v>
      </c>
      <c r="G3135" s="9">
        <v>2774.2</v>
      </c>
      <c r="H3135" s="10">
        <v>0.58799999999999997</v>
      </c>
      <c r="I3135" s="11">
        <v>5.5</v>
      </c>
    </row>
    <row r="3136" spans="1:9" x14ac:dyDescent="0.35">
      <c r="A3136" s="2" t="s">
        <v>313</v>
      </c>
      <c r="B3136" s="3">
        <v>44621</v>
      </c>
      <c r="C3136" s="2">
        <v>14</v>
      </c>
      <c r="D3136" s="2">
        <v>21338</v>
      </c>
      <c r="E3136" s="17">
        <v>45432.82</v>
      </c>
      <c r="F3136" s="11">
        <v>6.59</v>
      </c>
      <c r="G3136" s="9">
        <v>3308.6</v>
      </c>
      <c r="H3136" s="10">
        <v>0.5</v>
      </c>
      <c r="I3136" s="11">
        <v>6.7</v>
      </c>
    </row>
    <row r="3137" spans="1:9" x14ac:dyDescent="0.35">
      <c r="A3137" s="2" t="s">
        <v>313</v>
      </c>
      <c r="B3137" s="3">
        <v>44652</v>
      </c>
      <c r="C3137" s="2">
        <v>24</v>
      </c>
      <c r="D3137" s="2">
        <v>38518</v>
      </c>
      <c r="E3137" s="17">
        <v>81236.789999999994</v>
      </c>
      <c r="F3137" s="11">
        <v>6.69</v>
      </c>
      <c r="G3137" s="9">
        <v>5741.4</v>
      </c>
      <c r="H3137" s="10">
        <v>0.375</v>
      </c>
      <c r="I3137" s="11">
        <v>6.5</v>
      </c>
    </row>
    <row r="3138" spans="1:9" x14ac:dyDescent="0.35">
      <c r="A3138" s="2" t="s">
        <v>313</v>
      </c>
      <c r="B3138" s="3">
        <v>44682</v>
      </c>
      <c r="C3138" s="2">
        <v>14</v>
      </c>
      <c r="D3138" s="2">
        <v>21293</v>
      </c>
      <c r="E3138" s="17">
        <v>47856.83</v>
      </c>
      <c r="F3138" s="11">
        <v>6.41</v>
      </c>
      <c r="G3138" s="9">
        <v>3372.2</v>
      </c>
      <c r="H3138" s="10">
        <v>0.5</v>
      </c>
      <c r="I3138" s="11">
        <v>6.4</v>
      </c>
    </row>
    <row r="3139" spans="1:9" x14ac:dyDescent="0.35">
      <c r="A3139" s="2" t="s">
        <v>313</v>
      </c>
      <c r="B3139" s="3">
        <v>44713</v>
      </c>
      <c r="C3139" s="2">
        <v>12</v>
      </c>
      <c r="D3139" s="2">
        <v>21409</v>
      </c>
      <c r="E3139" s="17">
        <v>47979.040000000001</v>
      </c>
      <c r="F3139" s="11">
        <v>6.72</v>
      </c>
      <c r="G3139" s="9">
        <v>3197.5</v>
      </c>
      <c r="H3139" s="10">
        <v>0.16700000000000001</v>
      </c>
      <c r="I3139" s="11">
        <v>6.3</v>
      </c>
    </row>
    <row r="3140" spans="1:9" x14ac:dyDescent="0.35">
      <c r="A3140" s="2" t="s">
        <v>313</v>
      </c>
      <c r="B3140" s="3">
        <v>44743</v>
      </c>
      <c r="C3140" s="2">
        <v>17</v>
      </c>
      <c r="D3140" s="2">
        <v>30220</v>
      </c>
      <c r="E3140" s="17">
        <v>62482.12</v>
      </c>
      <c r="F3140" s="11">
        <v>6.38</v>
      </c>
      <c r="G3140" s="9">
        <v>4773.6000000000004</v>
      </c>
      <c r="H3140" s="10">
        <v>0.35299999999999998</v>
      </c>
      <c r="I3140" s="11">
        <v>5.7</v>
      </c>
    </row>
    <row r="3141" spans="1:9" x14ac:dyDescent="0.35">
      <c r="A3141" s="2" t="s">
        <v>313</v>
      </c>
      <c r="B3141" s="3">
        <v>44774</v>
      </c>
      <c r="C3141" s="2">
        <v>21</v>
      </c>
      <c r="D3141" s="2">
        <v>29749</v>
      </c>
      <c r="E3141" s="17">
        <v>61933.58</v>
      </c>
      <c r="F3141" s="11">
        <v>6.62</v>
      </c>
      <c r="G3141" s="9">
        <v>4528.3</v>
      </c>
      <c r="H3141" s="10">
        <v>0.57099999999999995</v>
      </c>
      <c r="I3141" s="11">
        <v>6.5</v>
      </c>
    </row>
    <row r="3142" spans="1:9" x14ac:dyDescent="0.35">
      <c r="A3142" s="2" t="s">
        <v>313</v>
      </c>
      <c r="B3142" s="3">
        <v>44805</v>
      </c>
      <c r="C3142" s="2">
        <v>16</v>
      </c>
      <c r="D3142" s="2">
        <v>19453</v>
      </c>
      <c r="E3142" s="17">
        <v>46997.65</v>
      </c>
      <c r="F3142" s="11">
        <v>6.34</v>
      </c>
      <c r="G3142" s="9">
        <v>3097.7</v>
      </c>
      <c r="H3142" s="10">
        <v>0.5</v>
      </c>
      <c r="I3142" s="11">
        <v>6.8</v>
      </c>
    </row>
    <row r="3143" spans="1:9" x14ac:dyDescent="0.35">
      <c r="A3143" s="2" t="s">
        <v>313</v>
      </c>
      <c r="B3143" s="3">
        <v>44835</v>
      </c>
      <c r="C3143" s="2">
        <v>24</v>
      </c>
      <c r="D3143" s="2">
        <v>37977</v>
      </c>
      <c r="E3143" s="17">
        <v>81078.080000000002</v>
      </c>
      <c r="F3143" s="11">
        <v>6.51</v>
      </c>
      <c r="G3143" s="9">
        <v>5839.7</v>
      </c>
      <c r="H3143" s="10">
        <v>0.375</v>
      </c>
      <c r="I3143" s="11">
        <v>7.2</v>
      </c>
    </row>
    <row r="3144" spans="1:9" x14ac:dyDescent="0.35">
      <c r="A3144" s="2" t="s">
        <v>313</v>
      </c>
      <c r="B3144" s="3">
        <v>44866</v>
      </c>
      <c r="C3144" s="2">
        <v>20</v>
      </c>
      <c r="D3144" s="2">
        <v>33392</v>
      </c>
      <c r="E3144" s="17">
        <v>76065.13</v>
      </c>
      <c r="F3144" s="11">
        <v>6.36</v>
      </c>
      <c r="G3144" s="9">
        <v>5322.5</v>
      </c>
      <c r="H3144" s="10">
        <v>0.25</v>
      </c>
      <c r="I3144" s="11">
        <v>6.9</v>
      </c>
    </row>
    <row r="3145" spans="1:9" x14ac:dyDescent="0.35">
      <c r="A3145" s="2" t="s">
        <v>313</v>
      </c>
      <c r="B3145" s="3">
        <v>44896</v>
      </c>
      <c r="C3145" s="2">
        <v>15</v>
      </c>
      <c r="D3145" s="2">
        <v>20927</v>
      </c>
      <c r="E3145" s="17">
        <v>42725.36</v>
      </c>
      <c r="F3145" s="11">
        <v>6.66</v>
      </c>
      <c r="G3145" s="9">
        <v>3090.5</v>
      </c>
      <c r="H3145" s="10">
        <v>0.46700000000000003</v>
      </c>
      <c r="I3145" s="11">
        <v>6.6</v>
      </c>
    </row>
    <row r="3146" spans="1:9" x14ac:dyDescent="0.35">
      <c r="A3146" s="2" t="s">
        <v>313</v>
      </c>
      <c r="B3146" s="3">
        <v>44927</v>
      </c>
      <c r="C3146" s="2">
        <v>15</v>
      </c>
      <c r="D3146" s="2">
        <v>18154</v>
      </c>
      <c r="E3146" s="17">
        <v>39174.76</v>
      </c>
      <c r="F3146" s="11">
        <v>6.49</v>
      </c>
      <c r="G3146" s="9">
        <v>2832.9</v>
      </c>
      <c r="H3146" s="10">
        <v>0.53300000000000003</v>
      </c>
      <c r="I3146" s="11">
        <v>7.9</v>
      </c>
    </row>
    <row r="3147" spans="1:9" x14ac:dyDescent="0.35">
      <c r="A3147" s="2" t="s">
        <v>313</v>
      </c>
      <c r="B3147" s="3">
        <v>44958</v>
      </c>
      <c r="C3147" s="2">
        <v>21</v>
      </c>
      <c r="D3147" s="2">
        <v>30958</v>
      </c>
      <c r="E3147" s="17">
        <v>67639.45</v>
      </c>
      <c r="F3147" s="11">
        <v>6.57</v>
      </c>
      <c r="G3147" s="9">
        <v>4770.2</v>
      </c>
      <c r="H3147" s="10">
        <v>0.42899999999999999</v>
      </c>
      <c r="I3147" s="11">
        <v>7.5</v>
      </c>
    </row>
    <row r="3148" spans="1:9" x14ac:dyDescent="0.35">
      <c r="A3148" s="2" t="s">
        <v>313</v>
      </c>
      <c r="B3148" s="3">
        <v>44986</v>
      </c>
      <c r="C3148" s="2">
        <v>14</v>
      </c>
      <c r="D3148" s="2">
        <v>21784</v>
      </c>
      <c r="E3148" s="17">
        <v>49368.65</v>
      </c>
      <c r="F3148" s="11">
        <v>7.02</v>
      </c>
      <c r="G3148" s="9">
        <v>3079.5</v>
      </c>
      <c r="H3148" s="10">
        <v>0.71399999999999997</v>
      </c>
      <c r="I3148" s="11">
        <v>6.9</v>
      </c>
    </row>
    <row r="3149" spans="1:9" x14ac:dyDescent="0.35">
      <c r="A3149" s="2" t="s">
        <v>313</v>
      </c>
      <c r="B3149" s="3">
        <v>45017</v>
      </c>
      <c r="C3149" s="2">
        <v>25</v>
      </c>
      <c r="D3149" s="2">
        <v>27940</v>
      </c>
      <c r="E3149" s="17">
        <v>60768.07</v>
      </c>
      <c r="F3149" s="11">
        <v>6.48</v>
      </c>
      <c r="G3149" s="9">
        <v>4319.8999999999996</v>
      </c>
      <c r="H3149" s="10">
        <v>0.64</v>
      </c>
      <c r="I3149" s="11">
        <v>7.8</v>
      </c>
    </row>
    <row r="3150" spans="1:9" x14ac:dyDescent="0.35">
      <c r="A3150" s="2" t="s">
        <v>313</v>
      </c>
      <c r="B3150" s="3">
        <v>45047</v>
      </c>
      <c r="C3150" s="2">
        <v>21</v>
      </c>
      <c r="D3150" s="2">
        <v>32800</v>
      </c>
      <c r="E3150" s="17">
        <v>69838.97</v>
      </c>
      <c r="F3150" s="11">
        <v>6.58</v>
      </c>
      <c r="G3150" s="9">
        <v>5104.2</v>
      </c>
      <c r="H3150" s="10">
        <v>0.28599999999999998</v>
      </c>
      <c r="I3150" s="11">
        <v>7.4</v>
      </c>
    </row>
    <row r="3151" spans="1:9" x14ac:dyDescent="0.35">
      <c r="A3151" s="2" t="s">
        <v>313</v>
      </c>
      <c r="B3151" s="3">
        <v>45078</v>
      </c>
      <c r="C3151" s="2">
        <v>15</v>
      </c>
      <c r="D3151" s="2">
        <v>24013</v>
      </c>
      <c r="E3151" s="17">
        <v>50799.55</v>
      </c>
      <c r="F3151" s="11">
        <v>6.4</v>
      </c>
      <c r="G3151" s="9">
        <v>3678.3</v>
      </c>
      <c r="H3151" s="10">
        <v>0.4</v>
      </c>
      <c r="I3151" s="11">
        <v>5.6</v>
      </c>
    </row>
    <row r="3152" spans="1:9" x14ac:dyDescent="0.35">
      <c r="A3152" s="2" t="s">
        <v>313</v>
      </c>
      <c r="B3152" s="3">
        <v>45108</v>
      </c>
      <c r="C3152" s="2">
        <v>13</v>
      </c>
      <c r="D3152" s="2">
        <v>18984</v>
      </c>
      <c r="E3152" s="17">
        <v>44262.28</v>
      </c>
      <c r="F3152" s="11">
        <v>6.34</v>
      </c>
      <c r="G3152" s="9">
        <v>3086.1</v>
      </c>
      <c r="H3152" s="10">
        <v>0.69199999999999995</v>
      </c>
      <c r="I3152" s="11">
        <v>8.1999999999999993</v>
      </c>
    </row>
    <row r="3153" spans="1:9" x14ac:dyDescent="0.35">
      <c r="A3153" s="2" t="s">
        <v>313</v>
      </c>
      <c r="B3153" s="3">
        <v>45139</v>
      </c>
      <c r="C3153" s="2">
        <v>17</v>
      </c>
      <c r="D3153" s="2">
        <v>27153</v>
      </c>
      <c r="E3153" s="17">
        <v>59683.95</v>
      </c>
      <c r="F3153" s="11">
        <v>6.27</v>
      </c>
      <c r="G3153" s="9">
        <v>4445.7</v>
      </c>
      <c r="H3153" s="10">
        <v>0.35299999999999998</v>
      </c>
      <c r="I3153" s="11">
        <v>6.3</v>
      </c>
    </row>
    <row r="3154" spans="1:9" x14ac:dyDescent="0.35">
      <c r="A3154" s="2" t="s">
        <v>313</v>
      </c>
      <c r="B3154" s="3">
        <v>45170</v>
      </c>
      <c r="C3154" s="2">
        <v>10</v>
      </c>
      <c r="D3154" s="2">
        <v>16827</v>
      </c>
      <c r="E3154" s="17">
        <v>33837.82</v>
      </c>
      <c r="F3154" s="11">
        <v>6.57</v>
      </c>
      <c r="G3154" s="9">
        <v>2607.1</v>
      </c>
      <c r="H3154" s="10">
        <v>0.8</v>
      </c>
      <c r="I3154" s="11">
        <v>7.7</v>
      </c>
    </row>
    <row r="3155" spans="1:9" x14ac:dyDescent="0.35">
      <c r="A3155" s="2" t="s">
        <v>313</v>
      </c>
      <c r="B3155" s="3">
        <v>45200</v>
      </c>
      <c r="C3155" s="2">
        <v>21</v>
      </c>
      <c r="D3155" s="2">
        <v>29918</v>
      </c>
      <c r="E3155" s="17">
        <v>67096.77</v>
      </c>
      <c r="F3155" s="11">
        <v>6.31</v>
      </c>
      <c r="G3155" s="9">
        <v>4779.2</v>
      </c>
      <c r="H3155" s="10">
        <v>0.38100000000000001</v>
      </c>
      <c r="I3155" s="11">
        <v>7.4</v>
      </c>
    </row>
    <row r="3156" spans="1:9" x14ac:dyDescent="0.35">
      <c r="A3156" s="2" t="s">
        <v>313</v>
      </c>
      <c r="B3156" s="3">
        <v>45231</v>
      </c>
      <c r="C3156" s="2">
        <v>24</v>
      </c>
      <c r="D3156" s="2">
        <v>33460</v>
      </c>
      <c r="E3156" s="17">
        <v>66396.81</v>
      </c>
      <c r="F3156" s="11">
        <v>6.51</v>
      </c>
      <c r="G3156" s="9">
        <v>5173.1000000000004</v>
      </c>
      <c r="H3156" s="10">
        <v>0.54200000000000004</v>
      </c>
      <c r="I3156" s="11">
        <v>7.9</v>
      </c>
    </row>
    <row r="3157" spans="1:9" x14ac:dyDescent="0.35">
      <c r="A3157" s="2" t="s">
        <v>313</v>
      </c>
      <c r="B3157" s="3">
        <v>45261</v>
      </c>
      <c r="C3157" s="2">
        <v>10</v>
      </c>
      <c r="D3157" s="2">
        <v>11171</v>
      </c>
      <c r="E3157" s="17">
        <v>25076.46</v>
      </c>
      <c r="F3157" s="11">
        <v>6.62</v>
      </c>
      <c r="G3157" s="9">
        <v>1722</v>
      </c>
      <c r="H3157" s="10">
        <v>0.5</v>
      </c>
      <c r="I3157" s="11">
        <v>5.3</v>
      </c>
    </row>
    <row r="3158" spans="1:9" x14ac:dyDescent="0.35">
      <c r="A3158" s="2" t="s">
        <v>313</v>
      </c>
      <c r="B3158" s="3">
        <v>45292</v>
      </c>
      <c r="C3158" s="2">
        <v>13</v>
      </c>
      <c r="D3158" s="2">
        <v>14779</v>
      </c>
      <c r="E3158" s="17">
        <v>30197.69</v>
      </c>
      <c r="F3158" s="11">
        <v>6.52</v>
      </c>
      <c r="G3158" s="9">
        <v>2304.6999999999998</v>
      </c>
      <c r="H3158" s="10">
        <v>0.308</v>
      </c>
      <c r="I3158" s="11">
        <v>7.4</v>
      </c>
    </row>
    <row r="3159" spans="1:9" x14ac:dyDescent="0.35">
      <c r="A3159" s="2" t="s">
        <v>313</v>
      </c>
      <c r="B3159" s="3">
        <v>45323</v>
      </c>
      <c r="C3159" s="2">
        <v>24</v>
      </c>
      <c r="D3159" s="2">
        <v>29221</v>
      </c>
      <c r="E3159" s="17">
        <v>59983.41</v>
      </c>
      <c r="F3159" s="11">
        <v>6.31</v>
      </c>
      <c r="G3159" s="9">
        <v>4640</v>
      </c>
      <c r="H3159" s="10">
        <v>0.41699999999999998</v>
      </c>
      <c r="I3159" s="11">
        <v>7.4</v>
      </c>
    </row>
    <row r="3160" spans="1:9" x14ac:dyDescent="0.35">
      <c r="A3160" s="2" t="s">
        <v>313</v>
      </c>
      <c r="B3160" s="3">
        <v>45352</v>
      </c>
      <c r="C3160" s="2">
        <v>19</v>
      </c>
      <c r="D3160" s="2">
        <v>18212</v>
      </c>
      <c r="E3160" s="17">
        <v>41279.07</v>
      </c>
      <c r="F3160" s="11">
        <v>6.65</v>
      </c>
      <c r="G3160" s="9">
        <v>2722.1</v>
      </c>
      <c r="H3160" s="10">
        <v>0.316</v>
      </c>
      <c r="I3160" s="11">
        <v>7.7</v>
      </c>
    </row>
    <row r="3161" spans="1:9" x14ac:dyDescent="0.35">
      <c r="A3161" s="2" t="s">
        <v>313</v>
      </c>
      <c r="B3161" s="3">
        <v>45383</v>
      </c>
      <c r="C3161" s="2">
        <v>24</v>
      </c>
      <c r="D3161" s="2">
        <v>31904</v>
      </c>
      <c r="E3161" s="17">
        <v>66898.12</v>
      </c>
      <c r="F3161" s="11">
        <v>6.68</v>
      </c>
      <c r="G3161" s="9">
        <v>4706.3</v>
      </c>
      <c r="H3161" s="10">
        <v>0.58299999999999996</v>
      </c>
      <c r="I3161" s="11">
        <v>7.6</v>
      </c>
    </row>
    <row r="3162" spans="1:9" x14ac:dyDescent="0.35">
      <c r="A3162" s="2" t="s">
        <v>313</v>
      </c>
      <c r="B3162" s="3">
        <v>45413</v>
      </c>
      <c r="C3162" s="2">
        <v>10</v>
      </c>
      <c r="D3162" s="2">
        <v>10361</v>
      </c>
      <c r="E3162" s="17">
        <v>22230.78</v>
      </c>
      <c r="F3162" s="11">
        <v>6.78</v>
      </c>
      <c r="G3162" s="9">
        <v>1533.5</v>
      </c>
      <c r="H3162" s="10">
        <v>0.4</v>
      </c>
      <c r="I3162" s="11">
        <v>7.4</v>
      </c>
    </row>
    <row r="3163" spans="1:9" x14ac:dyDescent="0.35">
      <c r="A3163" s="2" t="s">
        <v>313</v>
      </c>
      <c r="B3163" s="3">
        <v>45444</v>
      </c>
      <c r="C3163" s="2">
        <v>20</v>
      </c>
      <c r="D3163" s="2">
        <v>30966</v>
      </c>
      <c r="E3163" s="17">
        <v>66327.19</v>
      </c>
      <c r="F3163" s="11">
        <v>6.44</v>
      </c>
      <c r="G3163" s="9">
        <v>4824.8999999999996</v>
      </c>
      <c r="H3163" s="10">
        <v>0.25</v>
      </c>
      <c r="I3163" s="11">
        <v>7.2</v>
      </c>
    </row>
    <row r="3164" spans="1:9" x14ac:dyDescent="0.35">
      <c r="A3164" s="2" t="s">
        <v>313</v>
      </c>
      <c r="B3164" s="3">
        <v>45474</v>
      </c>
      <c r="C3164" s="2">
        <v>17</v>
      </c>
      <c r="D3164" s="2">
        <v>23320</v>
      </c>
      <c r="E3164" s="17">
        <v>48387.81</v>
      </c>
      <c r="F3164" s="11">
        <v>6.59</v>
      </c>
      <c r="G3164" s="9">
        <v>3467.2</v>
      </c>
      <c r="H3164" s="10">
        <v>0.41199999999999998</v>
      </c>
      <c r="I3164" s="11">
        <v>8.6999999999999993</v>
      </c>
    </row>
    <row r="3165" spans="1:9" x14ac:dyDescent="0.35">
      <c r="A3165" s="2" t="s">
        <v>313</v>
      </c>
      <c r="B3165" s="3">
        <v>45505</v>
      </c>
      <c r="C3165" s="2">
        <v>19</v>
      </c>
      <c r="D3165" s="2">
        <v>23995</v>
      </c>
      <c r="E3165" s="17">
        <v>50719.35</v>
      </c>
      <c r="F3165" s="11">
        <v>6.6</v>
      </c>
      <c r="G3165" s="9">
        <v>3716.9</v>
      </c>
      <c r="H3165" s="10">
        <v>0.47399999999999998</v>
      </c>
      <c r="I3165" s="11">
        <v>7.1</v>
      </c>
    </row>
    <row r="3166" spans="1:9" x14ac:dyDescent="0.35">
      <c r="A3166" s="2" t="s">
        <v>313</v>
      </c>
      <c r="B3166" s="3">
        <v>45536</v>
      </c>
      <c r="C3166" s="2">
        <v>19</v>
      </c>
      <c r="D3166" s="2">
        <v>29419</v>
      </c>
      <c r="E3166" s="17">
        <v>65398.89</v>
      </c>
      <c r="F3166" s="11">
        <v>6.5</v>
      </c>
      <c r="G3166" s="9">
        <v>4486.3999999999996</v>
      </c>
      <c r="H3166" s="10">
        <v>0.316</v>
      </c>
      <c r="I3166" s="11">
        <v>5.8</v>
      </c>
    </row>
    <row r="3167" spans="1:9" x14ac:dyDescent="0.35">
      <c r="A3167" s="2" t="s">
        <v>313</v>
      </c>
      <c r="B3167" s="3">
        <v>45566</v>
      </c>
      <c r="C3167" s="2">
        <v>20</v>
      </c>
      <c r="D3167" s="2">
        <v>26280</v>
      </c>
      <c r="E3167" s="17">
        <v>54761.02</v>
      </c>
      <c r="F3167" s="11">
        <v>6.65</v>
      </c>
      <c r="G3167" s="9">
        <v>3965.2</v>
      </c>
      <c r="H3167" s="10">
        <v>0.6</v>
      </c>
      <c r="I3167" s="11">
        <v>7.6</v>
      </c>
    </row>
    <row r="3168" spans="1:9" x14ac:dyDescent="0.35">
      <c r="A3168" s="2" t="s">
        <v>313</v>
      </c>
      <c r="B3168" s="3">
        <v>45597</v>
      </c>
      <c r="C3168" s="2">
        <v>14</v>
      </c>
      <c r="D3168" s="2">
        <v>17855</v>
      </c>
      <c r="E3168" s="17">
        <v>37806.58</v>
      </c>
      <c r="F3168" s="11">
        <v>6.33</v>
      </c>
      <c r="G3168" s="9">
        <v>2886.2</v>
      </c>
      <c r="H3168" s="10">
        <v>0.5</v>
      </c>
      <c r="I3168" s="11">
        <v>6.7</v>
      </c>
    </row>
    <row r="3169" spans="1:9" x14ac:dyDescent="0.35">
      <c r="A3169" s="2" t="s">
        <v>313</v>
      </c>
      <c r="B3169" s="3">
        <v>45627</v>
      </c>
      <c r="C3169" s="2">
        <v>12</v>
      </c>
      <c r="D3169" s="2">
        <v>20247</v>
      </c>
      <c r="E3169" s="17">
        <v>45940.23</v>
      </c>
      <c r="F3169" s="11">
        <v>6.73</v>
      </c>
      <c r="G3169" s="9">
        <v>3036.8</v>
      </c>
      <c r="H3169" s="10">
        <v>0.41699999999999998</v>
      </c>
      <c r="I3169" s="11">
        <v>8</v>
      </c>
    </row>
    <row r="3170" spans="1:9" x14ac:dyDescent="0.35">
      <c r="A3170" s="2" t="s">
        <v>315</v>
      </c>
      <c r="B3170" s="3">
        <v>44562</v>
      </c>
      <c r="C3170" s="2">
        <v>18</v>
      </c>
      <c r="D3170" s="2">
        <v>26245</v>
      </c>
      <c r="E3170" s="17">
        <v>53799.85</v>
      </c>
      <c r="F3170" s="11">
        <v>6.47</v>
      </c>
      <c r="G3170" s="9">
        <v>4032.3</v>
      </c>
      <c r="H3170" s="10">
        <v>0.5</v>
      </c>
      <c r="I3170" s="11">
        <v>7.6</v>
      </c>
    </row>
    <row r="3171" spans="1:9" x14ac:dyDescent="0.35">
      <c r="A3171" s="2" t="s">
        <v>315</v>
      </c>
      <c r="B3171" s="3">
        <v>44593</v>
      </c>
      <c r="C3171" s="2">
        <v>19</v>
      </c>
      <c r="D3171" s="2">
        <v>23343</v>
      </c>
      <c r="E3171" s="17">
        <v>46779.54</v>
      </c>
      <c r="F3171" s="11">
        <v>6.37</v>
      </c>
      <c r="G3171" s="9">
        <v>3729.1</v>
      </c>
      <c r="H3171" s="10">
        <v>0.42099999999999999</v>
      </c>
      <c r="I3171" s="11">
        <v>8.1999999999999993</v>
      </c>
    </row>
    <row r="3172" spans="1:9" x14ac:dyDescent="0.35">
      <c r="A3172" s="2" t="s">
        <v>315</v>
      </c>
      <c r="B3172" s="3">
        <v>44621</v>
      </c>
      <c r="C3172" s="2">
        <v>20</v>
      </c>
      <c r="D3172" s="2">
        <v>27879</v>
      </c>
      <c r="E3172" s="17">
        <v>59378.02</v>
      </c>
      <c r="F3172" s="11">
        <v>6.52</v>
      </c>
      <c r="G3172" s="9">
        <v>4346.1000000000004</v>
      </c>
      <c r="H3172" s="10">
        <v>0.6</v>
      </c>
      <c r="I3172" s="11">
        <v>7.2</v>
      </c>
    </row>
    <row r="3173" spans="1:9" x14ac:dyDescent="0.35">
      <c r="A3173" s="2" t="s">
        <v>315</v>
      </c>
      <c r="B3173" s="3">
        <v>44652</v>
      </c>
      <c r="C3173" s="2">
        <v>20</v>
      </c>
      <c r="D3173" s="2">
        <v>26534</v>
      </c>
      <c r="E3173" s="17">
        <v>56094.82</v>
      </c>
      <c r="F3173" s="11">
        <v>6.34</v>
      </c>
      <c r="G3173" s="9">
        <v>4234.3999999999996</v>
      </c>
      <c r="H3173" s="10">
        <v>0.35</v>
      </c>
      <c r="I3173" s="11">
        <v>7.2</v>
      </c>
    </row>
    <row r="3174" spans="1:9" x14ac:dyDescent="0.35">
      <c r="A3174" s="2" t="s">
        <v>315</v>
      </c>
      <c r="B3174" s="3">
        <v>44682</v>
      </c>
      <c r="C3174" s="2">
        <v>27</v>
      </c>
      <c r="D3174" s="2">
        <v>45185</v>
      </c>
      <c r="E3174" s="17">
        <v>97981.49</v>
      </c>
      <c r="F3174" s="11">
        <v>6.43</v>
      </c>
      <c r="G3174" s="9">
        <v>7104.1</v>
      </c>
      <c r="H3174" s="10">
        <v>0.33300000000000002</v>
      </c>
      <c r="I3174" s="11">
        <v>7.9</v>
      </c>
    </row>
    <row r="3175" spans="1:9" x14ac:dyDescent="0.35">
      <c r="A3175" s="2" t="s">
        <v>315</v>
      </c>
      <c r="B3175" s="3">
        <v>44713</v>
      </c>
      <c r="C3175" s="2">
        <v>11</v>
      </c>
      <c r="D3175" s="2">
        <v>17009</v>
      </c>
      <c r="E3175" s="17">
        <v>37866.46</v>
      </c>
      <c r="F3175" s="11">
        <v>6.36</v>
      </c>
      <c r="G3175" s="9">
        <v>2684</v>
      </c>
      <c r="H3175" s="10">
        <v>0.36399999999999999</v>
      </c>
      <c r="I3175" s="11">
        <v>6.7</v>
      </c>
    </row>
    <row r="3176" spans="1:9" x14ac:dyDescent="0.35">
      <c r="A3176" s="2" t="s">
        <v>315</v>
      </c>
      <c r="B3176" s="3">
        <v>44743</v>
      </c>
      <c r="C3176" s="2">
        <v>23</v>
      </c>
      <c r="D3176" s="2">
        <v>41962</v>
      </c>
      <c r="E3176" s="17">
        <v>94466.34</v>
      </c>
      <c r="F3176" s="11">
        <v>6.89</v>
      </c>
      <c r="G3176" s="9">
        <v>6108.7</v>
      </c>
      <c r="H3176" s="10">
        <v>0.56499999999999995</v>
      </c>
      <c r="I3176" s="11">
        <v>6.9</v>
      </c>
    </row>
    <row r="3177" spans="1:9" x14ac:dyDescent="0.35">
      <c r="A3177" s="2" t="s">
        <v>315</v>
      </c>
      <c r="B3177" s="3">
        <v>44774</v>
      </c>
      <c r="C3177" s="2">
        <v>19</v>
      </c>
      <c r="D3177" s="2">
        <v>26850</v>
      </c>
      <c r="E3177" s="17">
        <v>57551.13</v>
      </c>
      <c r="F3177" s="11">
        <v>6.62</v>
      </c>
      <c r="G3177" s="9">
        <v>4061.1</v>
      </c>
      <c r="H3177" s="10">
        <v>0.42099999999999999</v>
      </c>
      <c r="I3177" s="11">
        <v>6.6</v>
      </c>
    </row>
    <row r="3178" spans="1:9" x14ac:dyDescent="0.35">
      <c r="A3178" s="2" t="s">
        <v>315</v>
      </c>
      <c r="B3178" s="3">
        <v>44805</v>
      </c>
      <c r="C3178" s="2">
        <v>21</v>
      </c>
      <c r="D3178" s="2">
        <v>28193</v>
      </c>
      <c r="E3178" s="17">
        <v>64557.7</v>
      </c>
      <c r="F3178" s="11">
        <v>6.48</v>
      </c>
      <c r="G3178" s="9">
        <v>4427.8999999999996</v>
      </c>
      <c r="H3178" s="10">
        <v>0.57099999999999995</v>
      </c>
      <c r="I3178" s="11">
        <v>7.4</v>
      </c>
    </row>
    <row r="3179" spans="1:9" x14ac:dyDescent="0.35">
      <c r="A3179" s="2" t="s">
        <v>315</v>
      </c>
      <c r="B3179" s="3">
        <v>44835</v>
      </c>
      <c r="C3179" s="2">
        <v>27</v>
      </c>
      <c r="D3179" s="2">
        <v>42640</v>
      </c>
      <c r="E3179" s="17">
        <v>90096.28</v>
      </c>
      <c r="F3179" s="11">
        <v>6.61</v>
      </c>
      <c r="G3179" s="9">
        <v>6520.3</v>
      </c>
      <c r="H3179" s="10">
        <v>0.55600000000000005</v>
      </c>
      <c r="I3179" s="11">
        <v>7.2</v>
      </c>
    </row>
    <row r="3180" spans="1:9" x14ac:dyDescent="0.35">
      <c r="A3180" s="2" t="s">
        <v>315</v>
      </c>
      <c r="B3180" s="3">
        <v>44866</v>
      </c>
      <c r="C3180" s="2">
        <v>21</v>
      </c>
      <c r="D3180" s="2">
        <v>22961</v>
      </c>
      <c r="E3180" s="17">
        <v>49596.34</v>
      </c>
      <c r="F3180" s="11">
        <v>6.35</v>
      </c>
      <c r="G3180" s="9">
        <v>3662.5</v>
      </c>
      <c r="H3180" s="10">
        <v>0.38100000000000001</v>
      </c>
      <c r="I3180" s="11">
        <v>7.8</v>
      </c>
    </row>
    <row r="3181" spans="1:9" x14ac:dyDescent="0.35">
      <c r="A3181" s="2" t="s">
        <v>315</v>
      </c>
      <c r="B3181" s="3">
        <v>44896</v>
      </c>
      <c r="C3181" s="2">
        <v>16</v>
      </c>
      <c r="D3181" s="2">
        <v>29360</v>
      </c>
      <c r="E3181" s="17">
        <v>64307.54</v>
      </c>
      <c r="F3181" s="11">
        <v>6.37</v>
      </c>
      <c r="G3181" s="9">
        <v>4621.3999999999996</v>
      </c>
      <c r="H3181" s="10">
        <v>0.438</v>
      </c>
      <c r="I3181" s="11">
        <v>6.7</v>
      </c>
    </row>
    <row r="3182" spans="1:9" x14ac:dyDescent="0.35">
      <c r="A3182" s="2" t="s">
        <v>315</v>
      </c>
      <c r="B3182" s="3">
        <v>44927</v>
      </c>
      <c r="C3182" s="2">
        <v>26</v>
      </c>
      <c r="D3182" s="2">
        <v>40988</v>
      </c>
      <c r="E3182" s="17">
        <v>81202.91</v>
      </c>
      <c r="F3182" s="11">
        <v>6.35</v>
      </c>
      <c r="G3182" s="9">
        <v>6520.5</v>
      </c>
      <c r="H3182" s="10">
        <v>0.5</v>
      </c>
      <c r="I3182" s="11">
        <v>6</v>
      </c>
    </row>
    <row r="3183" spans="1:9" x14ac:dyDescent="0.35">
      <c r="A3183" s="2" t="s">
        <v>315</v>
      </c>
      <c r="B3183" s="3">
        <v>44958</v>
      </c>
      <c r="C3183" s="2">
        <v>17</v>
      </c>
      <c r="D3183" s="2">
        <v>19523</v>
      </c>
      <c r="E3183" s="17">
        <v>42461.85</v>
      </c>
      <c r="F3183" s="11">
        <v>6.49</v>
      </c>
      <c r="G3183" s="9">
        <v>2970.6</v>
      </c>
      <c r="H3183" s="10">
        <v>0.58799999999999997</v>
      </c>
      <c r="I3183" s="11">
        <v>7.3</v>
      </c>
    </row>
    <row r="3184" spans="1:9" x14ac:dyDescent="0.35">
      <c r="A3184" s="2" t="s">
        <v>315</v>
      </c>
      <c r="B3184" s="3">
        <v>44986</v>
      </c>
      <c r="C3184" s="2">
        <v>19</v>
      </c>
      <c r="D3184" s="2">
        <v>31731</v>
      </c>
      <c r="E3184" s="17">
        <v>68048.14</v>
      </c>
      <c r="F3184" s="11">
        <v>6.73</v>
      </c>
      <c r="G3184" s="9">
        <v>4779.5</v>
      </c>
      <c r="H3184" s="10">
        <v>0.36799999999999999</v>
      </c>
      <c r="I3184" s="11">
        <v>5.7</v>
      </c>
    </row>
    <row r="3185" spans="1:9" x14ac:dyDescent="0.35">
      <c r="A3185" s="2" t="s">
        <v>315</v>
      </c>
      <c r="B3185" s="3">
        <v>45017</v>
      </c>
      <c r="C3185" s="2">
        <v>18</v>
      </c>
      <c r="D3185" s="2">
        <v>25215</v>
      </c>
      <c r="E3185" s="17">
        <v>54372.83</v>
      </c>
      <c r="F3185" s="11">
        <v>6.77</v>
      </c>
      <c r="G3185" s="9">
        <v>3751.9</v>
      </c>
      <c r="H3185" s="10">
        <v>0.5</v>
      </c>
      <c r="I3185" s="11">
        <v>6.5</v>
      </c>
    </row>
    <row r="3186" spans="1:9" x14ac:dyDescent="0.35">
      <c r="A3186" s="2" t="s">
        <v>315</v>
      </c>
      <c r="B3186" s="3">
        <v>45047</v>
      </c>
      <c r="C3186" s="2">
        <v>13</v>
      </c>
      <c r="D3186" s="2">
        <v>18451</v>
      </c>
      <c r="E3186" s="17">
        <v>40142.54</v>
      </c>
      <c r="F3186" s="11">
        <v>6.62</v>
      </c>
      <c r="G3186" s="9">
        <v>2771</v>
      </c>
      <c r="H3186" s="10">
        <v>0.53800000000000003</v>
      </c>
      <c r="I3186" s="11">
        <v>8</v>
      </c>
    </row>
    <row r="3187" spans="1:9" x14ac:dyDescent="0.35">
      <c r="A3187" s="2" t="s">
        <v>315</v>
      </c>
      <c r="B3187" s="3">
        <v>45078</v>
      </c>
      <c r="C3187" s="2">
        <v>14</v>
      </c>
      <c r="D3187" s="2">
        <v>26817</v>
      </c>
      <c r="E3187" s="17">
        <v>58568.13</v>
      </c>
      <c r="F3187" s="11">
        <v>6.63</v>
      </c>
      <c r="G3187" s="9">
        <v>4043.5</v>
      </c>
      <c r="H3187" s="10">
        <v>0.28599999999999998</v>
      </c>
      <c r="I3187" s="11">
        <v>8.1999999999999993</v>
      </c>
    </row>
    <row r="3188" spans="1:9" x14ac:dyDescent="0.35">
      <c r="A3188" s="2" t="s">
        <v>315</v>
      </c>
      <c r="B3188" s="3">
        <v>45108</v>
      </c>
      <c r="C3188" s="2">
        <v>14</v>
      </c>
      <c r="D3188" s="2">
        <v>19612</v>
      </c>
      <c r="E3188" s="17">
        <v>46267.08</v>
      </c>
      <c r="F3188" s="11">
        <v>6.54</v>
      </c>
      <c r="G3188" s="9">
        <v>3000.6</v>
      </c>
      <c r="H3188" s="10">
        <v>0.5</v>
      </c>
      <c r="I3188" s="11">
        <v>8</v>
      </c>
    </row>
    <row r="3189" spans="1:9" x14ac:dyDescent="0.35">
      <c r="A3189" s="2" t="s">
        <v>315</v>
      </c>
      <c r="B3189" s="3">
        <v>45139</v>
      </c>
      <c r="C3189" s="2">
        <v>22</v>
      </c>
      <c r="D3189" s="2">
        <v>28346</v>
      </c>
      <c r="E3189" s="17">
        <v>67900.649999999994</v>
      </c>
      <c r="F3189" s="11">
        <v>6.4</v>
      </c>
      <c r="G3189" s="9">
        <v>4403.5</v>
      </c>
      <c r="H3189" s="10">
        <v>0.45500000000000002</v>
      </c>
      <c r="I3189" s="11">
        <v>6.5</v>
      </c>
    </row>
    <row r="3190" spans="1:9" x14ac:dyDescent="0.35">
      <c r="A3190" s="2" t="s">
        <v>315</v>
      </c>
      <c r="B3190" s="3">
        <v>45170</v>
      </c>
      <c r="C3190" s="2">
        <v>29</v>
      </c>
      <c r="D3190" s="2">
        <v>42592</v>
      </c>
      <c r="E3190" s="17">
        <v>91368.6</v>
      </c>
      <c r="F3190" s="11">
        <v>6.6</v>
      </c>
      <c r="G3190" s="9">
        <v>6517.5</v>
      </c>
      <c r="H3190" s="10">
        <v>0.51700000000000002</v>
      </c>
      <c r="I3190" s="11">
        <v>6.7</v>
      </c>
    </row>
    <row r="3191" spans="1:9" x14ac:dyDescent="0.35">
      <c r="A3191" s="2" t="s">
        <v>315</v>
      </c>
      <c r="B3191" s="3">
        <v>45200</v>
      </c>
      <c r="C3191" s="2">
        <v>23</v>
      </c>
      <c r="D3191" s="2">
        <v>27921</v>
      </c>
      <c r="E3191" s="17">
        <v>60681.7</v>
      </c>
      <c r="F3191" s="11">
        <v>6.45</v>
      </c>
      <c r="G3191" s="9">
        <v>4386.5</v>
      </c>
      <c r="H3191" s="10">
        <v>0.56499999999999995</v>
      </c>
      <c r="I3191" s="11">
        <v>6.9</v>
      </c>
    </row>
    <row r="3192" spans="1:9" x14ac:dyDescent="0.35">
      <c r="A3192" s="2" t="s">
        <v>315</v>
      </c>
      <c r="B3192" s="3">
        <v>45231</v>
      </c>
      <c r="C3192" s="2">
        <v>22</v>
      </c>
      <c r="D3192" s="2">
        <v>30976</v>
      </c>
      <c r="E3192" s="17">
        <v>66657.45</v>
      </c>
      <c r="F3192" s="11">
        <v>6.45</v>
      </c>
      <c r="G3192" s="9">
        <v>4915.6000000000004</v>
      </c>
      <c r="H3192" s="10">
        <v>0.54500000000000004</v>
      </c>
      <c r="I3192" s="11">
        <v>7.4</v>
      </c>
    </row>
    <row r="3193" spans="1:9" x14ac:dyDescent="0.35">
      <c r="A3193" s="2" t="s">
        <v>315</v>
      </c>
      <c r="B3193" s="3">
        <v>45261</v>
      </c>
      <c r="C3193" s="2">
        <v>23</v>
      </c>
      <c r="D3193" s="2">
        <v>31624</v>
      </c>
      <c r="E3193" s="17">
        <v>64862.54</v>
      </c>
      <c r="F3193" s="11">
        <v>6.67</v>
      </c>
      <c r="G3193" s="9">
        <v>4730.5</v>
      </c>
      <c r="H3193" s="10">
        <v>0.52200000000000002</v>
      </c>
      <c r="I3193" s="11">
        <v>8.1</v>
      </c>
    </row>
    <row r="3194" spans="1:9" x14ac:dyDescent="0.35">
      <c r="A3194" s="2" t="s">
        <v>315</v>
      </c>
      <c r="B3194" s="3">
        <v>45292</v>
      </c>
      <c r="C3194" s="2">
        <v>26</v>
      </c>
      <c r="D3194" s="2">
        <v>45466</v>
      </c>
      <c r="E3194" s="17">
        <v>93745.13</v>
      </c>
      <c r="F3194" s="11">
        <v>6.37</v>
      </c>
      <c r="G3194" s="9">
        <v>7301.3</v>
      </c>
      <c r="H3194" s="10">
        <v>0.42299999999999999</v>
      </c>
      <c r="I3194" s="11">
        <v>7.7</v>
      </c>
    </row>
    <row r="3195" spans="1:9" x14ac:dyDescent="0.35">
      <c r="A3195" s="2" t="s">
        <v>315</v>
      </c>
      <c r="B3195" s="3">
        <v>45323</v>
      </c>
      <c r="C3195" s="2">
        <v>25</v>
      </c>
      <c r="D3195" s="2">
        <v>34040</v>
      </c>
      <c r="E3195" s="17">
        <v>74195.8</v>
      </c>
      <c r="F3195" s="11">
        <v>6.51</v>
      </c>
      <c r="G3195" s="9">
        <v>5371.8</v>
      </c>
      <c r="H3195" s="10">
        <v>0.52</v>
      </c>
      <c r="I3195" s="11">
        <v>6.4</v>
      </c>
    </row>
    <row r="3196" spans="1:9" x14ac:dyDescent="0.35">
      <c r="A3196" s="2" t="s">
        <v>315</v>
      </c>
      <c r="B3196" s="3">
        <v>45352</v>
      </c>
      <c r="C3196" s="2">
        <v>20</v>
      </c>
      <c r="D3196" s="2">
        <v>30466</v>
      </c>
      <c r="E3196" s="17">
        <v>67155.95</v>
      </c>
      <c r="F3196" s="11">
        <v>6.64</v>
      </c>
      <c r="G3196" s="9">
        <v>4655.8999999999996</v>
      </c>
      <c r="H3196" s="10">
        <v>0.35</v>
      </c>
      <c r="I3196" s="11">
        <v>6.6</v>
      </c>
    </row>
    <row r="3197" spans="1:9" x14ac:dyDescent="0.35">
      <c r="A3197" s="2" t="s">
        <v>315</v>
      </c>
      <c r="B3197" s="3">
        <v>45383</v>
      </c>
      <c r="C3197" s="2">
        <v>18</v>
      </c>
      <c r="D3197" s="2">
        <v>24123</v>
      </c>
      <c r="E3197" s="17">
        <v>47058.55</v>
      </c>
      <c r="F3197" s="11">
        <v>6.55</v>
      </c>
      <c r="G3197" s="9">
        <v>3731</v>
      </c>
      <c r="H3197" s="10">
        <v>0.72199999999999998</v>
      </c>
      <c r="I3197" s="11">
        <v>5.7</v>
      </c>
    </row>
    <row r="3198" spans="1:9" x14ac:dyDescent="0.35">
      <c r="A3198" s="2" t="s">
        <v>315</v>
      </c>
      <c r="B3198" s="3">
        <v>45413</v>
      </c>
      <c r="C3198" s="2">
        <v>24</v>
      </c>
      <c r="D3198" s="2">
        <v>34237</v>
      </c>
      <c r="E3198" s="17">
        <v>73796.94</v>
      </c>
      <c r="F3198" s="11">
        <v>6.52</v>
      </c>
      <c r="G3198" s="9">
        <v>5376.2</v>
      </c>
      <c r="H3198" s="10">
        <v>0.45800000000000002</v>
      </c>
      <c r="I3198" s="11">
        <v>7</v>
      </c>
    </row>
    <row r="3199" spans="1:9" x14ac:dyDescent="0.35">
      <c r="A3199" s="2" t="s">
        <v>315</v>
      </c>
      <c r="B3199" s="3">
        <v>45444</v>
      </c>
      <c r="C3199" s="2">
        <v>22</v>
      </c>
      <c r="D3199" s="2">
        <v>31213</v>
      </c>
      <c r="E3199" s="17">
        <v>72303.460000000006</v>
      </c>
      <c r="F3199" s="11">
        <v>6.28</v>
      </c>
      <c r="G3199" s="9">
        <v>5004.8</v>
      </c>
      <c r="H3199" s="10">
        <v>0.36399999999999999</v>
      </c>
      <c r="I3199" s="11">
        <v>7.7</v>
      </c>
    </row>
    <row r="3200" spans="1:9" x14ac:dyDescent="0.35">
      <c r="A3200" s="2" t="s">
        <v>315</v>
      </c>
      <c r="B3200" s="3">
        <v>45474</v>
      </c>
      <c r="C3200" s="2">
        <v>12</v>
      </c>
      <c r="D3200" s="2">
        <v>21712</v>
      </c>
      <c r="E3200" s="17">
        <v>54012.37</v>
      </c>
      <c r="F3200" s="11">
        <v>6.62</v>
      </c>
      <c r="G3200" s="9">
        <v>3257.3</v>
      </c>
      <c r="H3200" s="10">
        <v>0.58299999999999996</v>
      </c>
      <c r="I3200" s="11">
        <v>6</v>
      </c>
    </row>
    <row r="3201" spans="1:9" x14ac:dyDescent="0.35">
      <c r="A3201" s="2" t="s">
        <v>315</v>
      </c>
      <c r="B3201" s="3">
        <v>45505</v>
      </c>
      <c r="C3201" s="2">
        <v>30</v>
      </c>
      <c r="D3201" s="2">
        <v>37727</v>
      </c>
      <c r="E3201" s="17">
        <v>75188.990000000005</v>
      </c>
      <c r="F3201" s="11">
        <v>6.72</v>
      </c>
      <c r="G3201" s="9">
        <v>5727</v>
      </c>
      <c r="H3201" s="10">
        <v>0.6</v>
      </c>
      <c r="I3201" s="11">
        <v>7.2</v>
      </c>
    </row>
    <row r="3202" spans="1:9" x14ac:dyDescent="0.35">
      <c r="A3202" s="2" t="s">
        <v>315</v>
      </c>
      <c r="B3202" s="3">
        <v>45536</v>
      </c>
      <c r="C3202" s="2">
        <v>19</v>
      </c>
      <c r="D3202" s="2">
        <v>28120</v>
      </c>
      <c r="E3202" s="17">
        <v>55639.27</v>
      </c>
      <c r="F3202" s="11">
        <v>6.4</v>
      </c>
      <c r="G3202" s="9">
        <v>4434.3</v>
      </c>
      <c r="H3202" s="10">
        <v>0.316</v>
      </c>
      <c r="I3202" s="11">
        <v>7.5</v>
      </c>
    </row>
    <row r="3203" spans="1:9" x14ac:dyDescent="0.35">
      <c r="A3203" s="2" t="s">
        <v>315</v>
      </c>
      <c r="B3203" s="3">
        <v>45566</v>
      </c>
      <c r="C3203" s="2">
        <v>23</v>
      </c>
      <c r="D3203" s="2">
        <v>36463</v>
      </c>
      <c r="E3203" s="17">
        <v>82090.820000000007</v>
      </c>
      <c r="F3203" s="11">
        <v>6.39</v>
      </c>
      <c r="G3203" s="9">
        <v>5700.3</v>
      </c>
      <c r="H3203" s="10">
        <v>0.52200000000000002</v>
      </c>
      <c r="I3203" s="11">
        <v>7.5</v>
      </c>
    </row>
    <row r="3204" spans="1:9" x14ac:dyDescent="0.35">
      <c r="A3204" s="2" t="s">
        <v>315</v>
      </c>
      <c r="B3204" s="3">
        <v>45597</v>
      </c>
      <c r="C3204" s="2">
        <v>20</v>
      </c>
      <c r="D3204" s="2">
        <v>29309</v>
      </c>
      <c r="E3204" s="17">
        <v>59657.599999999999</v>
      </c>
      <c r="F3204" s="11">
        <v>6.75</v>
      </c>
      <c r="G3204" s="9">
        <v>4378.8</v>
      </c>
      <c r="H3204" s="10">
        <v>0.65</v>
      </c>
      <c r="I3204" s="11">
        <v>8.1</v>
      </c>
    </row>
    <row r="3205" spans="1:9" x14ac:dyDescent="0.35">
      <c r="A3205" s="2" t="s">
        <v>315</v>
      </c>
      <c r="B3205" s="3">
        <v>45627</v>
      </c>
      <c r="C3205" s="2">
        <v>14</v>
      </c>
      <c r="D3205" s="2">
        <v>18612</v>
      </c>
      <c r="E3205" s="17">
        <v>41473.089999999997</v>
      </c>
      <c r="F3205" s="11">
        <v>6.33</v>
      </c>
      <c r="G3205" s="9">
        <v>2976.6</v>
      </c>
      <c r="H3205" s="10">
        <v>0.28599999999999998</v>
      </c>
      <c r="I3205" s="11">
        <v>8.1</v>
      </c>
    </row>
    <row r="3206" spans="1:9" x14ac:dyDescent="0.35">
      <c r="A3206" s="2" t="s">
        <v>317</v>
      </c>
      <c r="B3206" s="3">
        <v>44562</v>
      </c>
      <c r="C3206" s="2">
        <v>20</v>
      </c>
      <c r="D3206" s="2">
        <v>26718</v>
      </c>
      <c r="E3206" s="17">
        <v>59841.59</v>
      </c>
      <c r="F3206" s="11">
        <v>6.5</v>
      </c>
      <c r="G3206" s="9">
        <v>4140.6000000000004</v>
      </c>
      <c r="H3206" s="10">
        <v>0.4</v>
      </c>
      <c r="I3206" s="11">
        <v>5.6</v>
      </c>
    </row>
    <row r="3207" spans="1:9" x14ac:dyDescent="0.35">
      <c r="A3207" s="2" t="s">
        <v>317</v>
      </c>
      <c r="B3207" s="3">
        <v>44593</v>
      </c>
      <c r="C3207" s="2">
        <v>16</v>
      </c>
      <c r="D3207" s="2">
        <v>24437</v>
      </c>
      <c r="E3207" s="17">
        <v>48318.83</v>
      </c>
      <c r="F3207" s="11">
        <v>6.57</v>
      </c>
      <c r="G3207" s="9">
        <v>3712.1</v>
      </c>
      <c r="H3207" s="10">
        <v>0.375</v>
      </c>
      <c r="I3207" s="11">
        <v>7.4</v>
      </c>
    </row>
    <row r="3208" spans="1:9" x14ac:dyDescent="0.35">
      <c r="A3208" s="2" t="s">
        <v>317</v>
      </c>
      <c r="B3208" s="3">
        <v>44621</v>
      </c>
      <c r="C3208" s="2">
        <v>14</v>
      </c>
      <c r="D3208" s="2">
        <v>18107</v>
      </c>
      <c r="E3208" s="17">
        <v>36748.67</v>
      </c>
      <c r="F3208" s="11">
        <v>6.7</v>
      </c>
      <c r="G3208" s="9">
        <v>2637</v>
      </c>
      <c r="H3208" s="10">
        <v>0.42899999999999999</v>
      </c>
      <c r="I3208" s="11">
        <v>6.9</v>
      </c>
    </row>
    <row r="3209" spans="1:9" x14ac:dyDescent="0.35">
      <c r="A3209" s="2" t="s">
        <v>317</v>
      </c>
      <c r="B3209" s="3">
        <v>44652</v>
      </c>
      <c r="C3209" s="2">
        <v>16</v>
      </c>
      <c r="D3209" s="2">
        <v>22054</v>
      </c>
      <c r="E3209" s="17">
        <v>45481.88</v>
      </c>
      <c r="F3209" s="11">
        <v>6.54</v>
      </c>
      <c r="G3209" s="9">
        <v>3431.2</v>
      </c>
      <c r="H3209" s="10">
        <v>0.312</v>
      </c>
      <c r="I3209" s="11">
        <v>8.3000000000000007</v>
      </c>
    </row>
    <row r="3210" spans="1:9" x14ac:dyDescent="0.35">
      <c r="A3210" s="2" t="s">
        <v>317</v>
      </c>
      <c r="B3210" s="3">
        <v>44682</v>
      </c>
      <c r="C3210" s="2">
        <v>19</v>
      </c>
      <c r="D3210" s="2">
        <v>27628</v>
      </c>
      <c r="E3210" s="17">
        <v>65114.38</v>
      </c>
      <c r="F3210" s="11">
        <v>6.61</v>
      </c>
      <c r="G3210" s="9">
        <v>4138</v>
      </c>
      <c r="H3210" s="10">
        <v>0.47399999999999998</v>
      </c>
      <c r="I3210" s="11">
        <v>8</v>
      </c>
    </row>
    <row r="3211" spans="1:9" x14ac:dyDescent="0.35">
      <c r="A3211" s="2" t="s">
        <v>317</v>
      </c>
      <c r="B3211" s="3">
        <v>44713</v>
      </c>
      <c r="C3211" s="2">
        <v>17</v>
      </c>
      <c r="D3211" s="2">
        <v>21301</v>
      </c>
      <c r="E3211" s="17">
        <v>44621.32</v>
      </c>
      <c r="F3211" s="11">
        <v>6.6</v>
      </c>
      <c r="G3211" s="9">
        <v>3260.5</v>
      </c>
      <c r="H3211" s="10">
        <v>0.29399999999999998</v>
      </c>
      <c r="I3211" s="11">
        <v>6.4</v>
      </c>
    </row>
    <row r="3212" spans="1:9" x14ac:dyDescent="0.35">
      <c r="A3212" s="2" t="s">
        <v>317</v>
      </c>
      <c r="B3212" s="3">
        <v>44743</v>
      </c>
      <c r="C3212" s="2">
        <v>18</v>
      </c>
      <c r="D3212" s="2">
        <v>30204</v>
      </c>
      <c r="E3212" s="17">
        <v>64865.09</v>
      </c>
      <c r="F3212" s="11">
        <v>6.55</v>
      </c>
      <c r="G3212" s="9">
        <v>4714.5</v>
      </c>
      <c r="H3212" s="10">
        <v>0.61099999999999999</v>
      </c>
      <c r="I3212" s="11">
        <v>6.4</v>
      </c>
    </row>
    <row r="3213" spans="1:9" x14ac:dyDescent="0.35">
      <c r="A3213" s="2" t="s">
        <v>317</v>
      </c>
      <c r="B3213" s="3">
        <v>44774</v>
      </c>
      <c r="C3213" s="2">
        <v>22</v>
      </c>
      <c r="D3213" s="2">
        <v>31164</v>
      </c>
      <c r="E3213" s="17">
        <v>65085.29</v>
      </c>
      <c r="F3213" s="11">
        <v>6.44</v>
      </c>
      <c r="G3213" s="9">
        <v>4926.8999999999996</v>
      </c>
      <c r="H3213" s="10">
        <v>0.318</v>
      </c>
      <c r="I3213" s="11">
        <v>7.8</v>
      </c>
    </row>
    <row r="3214" spans="1:9" x14ac:dyDescent="0.35">
      <c r="A3214" s="2" t="s">
        <v>317</v>
      </c>
      <c r="B3214" s="3">
        <v>44805</v>
      </c>
      <c r="C3214" s="2">
        <v>18</v>
      </c>
      <c r="D3214" s="2">
        <v>24858</v>
      </c>
      <c r="E3214" s="17">
        <v>56148.23</v>
      </c>
      <c r="F3214" s="11">
        <v>6.6</v>
      </c>
      <c r="G3214" s="9">
        <v>3809.2</v>
      </c>
      <c r="H3214" s="10">
        <v>0.55600000000000005</v>
      </c>
      <c r="I3214" s="11">
        <v>7.2</v>
      </c>
    </row>
    <row r="3215" spans="1:9" x14ac:dyDescent="0.35">
      <c r="A3215" s="2" t="s">
        <v>317</v>
      </c>
      <c r="B3215" s="3">
        <v>44835</v>
      </c>
      <c r="C3215" s="2">
        <v>17</v>
      </c>
      <c r="D3215" s="2">
        <v>22080</v>
      </c>
      <c r="E3215" s="17">
        <v>44936.39</v>
      </c>
      <c r="F3215" s="11">
        <v>6.39</v>
      </c>
      <c r="G3215" s="9">
        <v>3375.8</v>
      </c>
      <c r="H3215" s="10">
        <v>0.23499999999999999</v>
      </c>
      <c r="I3215" s="11">
        <v>7.5</v>
      </c>
    </row>
    <row r="3216" spans="1:9" x14ac:dyDescent="0.35">
      <c r="A3216" s="2" t="s">
        <v>317</v>
      </c>
      <c r="B3216" s="3">
        <v>44866</v>
      </c>
      <c r="C3216" s="2">
        <v>22</v>
      </c>
      <c r="D3216" s="2">
        <v>31773</v>
      </c>
      <c r="E3216" s="17">
        <v>71228.59</v>
      </c>
      <c r="F3216" s="11">
        <v>6.47</v>
      </c>
      <c r="G3216" s="9">
        <v>4927.6000000000004</v>
      </c>
      <c r="H3216" s="10">
        <v>0.36399999999999999</v>
      </c>
      <c r="I3216" s="11">
        <v>7.6</v>
      </c>
    </row>
    <row r="3217" spans="1:9" x14ac:dyDescent="0.35">
      <c r="A3217" s="2" t="s">
        <v>317</v>
      </c>
      <c r="B3217" s="3">
        <v>44896</v>
      </c>
      <c r="C3217" s="2">
        <v>17</v>
      </c>
      <c r="D3217" s="2">
        <v>22643</v>
      </c>
      <c r="E3217" s="17">
        <v>47895.78</v>
      </c>
      <c r="F3217" s="11">
        <v>6.57</v>
      </c>
      <c r="G3217" s="9">
        <v>3483.9</v>
      </c>
      <c r="H3217" s="10">
        <v>0.29399999999999998</v>
      </c>
      <c r="I3217" s="11">
        <v>7</v>
      </c>
    </row>
    <row r="3218" spans="1:9" x14ac:dyDescent="0.35">
      <c r="A3218" s="2" t="s">
        <v>317</v>
      </c>
      <c r="B3218" s="3">
        <v>44927</v>
      </c>
      <c r="C3218" s="2">
        <v>26</v>
      </c>
      <c r="D3218" s="2">
        <v>30402</v>
      </c>
      <c r="E3218" s="17">
        <v>64040.56</v>
      </c>
      <c r="F3218" s="11">
        <v>6.48</v>
      </c>
      <c r="G3218" s="9">
        <v>4667.8</v>
      </c>
      <c r="H3218" s="10">
        <v>0.53800000000000003</v>
      </c>
      <c r="I3218" s="11">
        <v>7.6</v>
      </c>
    </row>
    <row r="3219" spans="1:9" x14ac:dyDescent="0.35">
      <c r="A3219" s="2" t="s">
        <v>317</v>
      </c>
      <c r="B3219" s="3">
        <v>44958</v>
      </c>
      <c r="C3219" s="2">
        <v>20</v>
      </c>
      <c r="D3219" s="2">
        <v>29385</v>
      </c>
      <c r="E3219" s="17">
        <v>65953.75</v>
      </c>
      <c r="F3219" s="11">
        <v>6.59</v>
      </c>
      <c r="G3219" s="9">
        <v>4387.2</v>
      </c>
      <c r="H3219" s="10">
        <v>0.45</v>
      </c>
      <c r="I3219" s="11">
        <v>7.6</v>
      </c>
    </row>
    <row r="3220" spans="1:9" x14ac:dyDescent="0.35">
      <c r="A3220" s="2" t="s">
        <v>317</v>
      </c>
      <c r="B3220" s="3">
        <v>44986</v>
      </c>
      <c r="C3220" s="2">
        <v>16</v>
      </c>
      <c r="D3220" s="2">
        <v>20030</v>
      </c>
      <c r="E3220" s="17">
        <v>42723.31</v>
      </c>
      <c r="F3220" s="11">
        <v>6.7</v>
      </c>
      <c r="G3220" s="9">
        <v>3010.2</v>
      </c>
      <c r="H3220" s="10">
        <v>0.625</v>
      </c>
      <c r="I3220" s="11">
        <v>6.7</v>
      </c>
    </row>
    <row r="3221" spans="1:9" x14ac:dyDescent="0.35">
      <c r="A3221" s="2" t="s">
        <v>317</v>
      </c>
      <c r="B3221" s="3">
        <v>45017</v>
      </c>
      <c r="C3221" s="2">
        <v>21</v>
      </c>
      <c r="D3221" s="2">
        <v>32122</v>
      </c>
      <c r="E3221" s="17">
        <v>72537.789999999994</v>
      </c>
      <c r="F3221" s="11">
        <v>6.47</v>
      </c>
      <c r="G3221" s="9">
        <v>5047.1000000000004</v>
      </c>
      <c r="H3221" s="10">
        <v>0.38100000000000001</v>
      </c>
      <c r="I3221" s="11">
        <v>7.4</v>
      </c>
    </row>
    <row r="3222" spans="1:9" x14ac:dyDescent="0.35">
      <c r="A3222" s="2" t="s">
        <v>317</v>
      </c>
      <c r="B3222" s="3">
        <v>45047</v>
      </c>
      <c r="C3222" s="2">
        <v>22</v>
      </c>
      <c r="D3222" s="2">
        <v>26855</v>
      </c>
      <c r="E3222" s="17">
        <v>55064.65</v>
      </c>
      <c r="F3222" s="11">
        <v>6.61</v>
      </c>
      <c r="G3222" s="9">
        <v>4064.1</v>
      </c>
      <c r="H3222" s="10">
        <v>0.318</v>
      </c>
      <c r="I3222" s="11">
        <v>6.8</v>
      </c>
    </row>
    <row r="3223" spans="1:9" x14ac:dyDescent="0.35">
      <c r="A3223" s="2" t="s">
        <v>317</v>
      </c>
      <c r="B3223" s="3">
        <v>45078</v>
      </c>
      <c r="C3223" s="2">
        <v>15</v>
      </c>
      <c r="D3223" s="2">
        <v>25666</v>
      </c>
      <c r="E3223" s="17">
        <v>57308.1</v>
      </c>
      <c r="F3223" s="11">
        <v>6.74</v>
      </c>
      <c r="G3223" s="9">
        <v>3819.5</v>
      </c>
      <c r="H3223" s="10">
        <v>0.46700000000000003</v>
      </c>
      <c r="I3223" s="11">
        <v>6.7</v>
      </c>
    </row>
    <row r="3224" spans="1:9" x14ac:dyDescent="0.35">
      <c r="A3224" s="2" t="s">
        <v>317</v>
      </c>
      <c r="B3224" s="3">
        <v>45108</v>
      </c>
      <c r="C3224" s="2">
        <v>17</v>
      </c>
      <c r="D3224" s="2">
        <v>26368</v>
      </c>
      <c r="E3224" s="17">
        <v>54109.73</v>
      </c>
      <c r="F3224" s="11">
        <v>6.21</v>
      </c>
      <c r="G3224" s="9">
        <v>4179.2</v>
      </c>
      <c r="H3224" s="10">
        <v>0.52900000000000003</v>
      </c>
      <c r="I3224" s="11">
        <v>7.7</v>
      </c>
    </row>
    <row r="3225" spans="1:9" x14ac:dyDescent="0.35">
      <c r="A3225" s="2" t="s">
        <v>317</v>
      </c>
      <c r="B3225" s="3">
        <v>45139</v>
      </c>
      <c r="C3225" s="2">
        <v>19</v>
      </c>
      <c r="D3225" s="2">
        <v>29104</v>
      </c>
      <c r="E3225" s="17">
        <v>67564.69</v>
      </c>
      <c r="F3225" s="11">
        <v>6.79</v>
      </c>
      <c r="G3225" s="9">
        <v>4317.1000000000004</v>
      </c>
      <c r="H3225" s="10">
        <v>0.47399999999999998</v>
      </c>
      <c r="I3225" s="11">
        <v>6.4</v>
      </c>
    </row>
    <row r="3226" spans="1:9" x14ac:dyDescent="0.35">
      <c r="A3226" s="2" t="s">
        <v>317</v>
      </c>
      <c r="B3226" s="3">
        <v>45170</v>
      </c>
      <c r="C3226" s="2">
        <v>15</v>
      </c>
      <c r="D3226" s="2">
        <v>23776</v>
      </c>
      <c r="E3226" s="17">
        <v>53942.16</v>
      </c>
      <c r="F3226" s="11">
        <v>6.59</v>
      </c>
      <c r="G3226" s="9">
        <v>3634.7</v>
      </c>
      <c r="H3226" s="10">
        <v>0.6</v>
      </c>
      <c r="I3226" s="11">
        <v>7.2</v>
      </c>
    </row>
    <row r="3227" spans="1:9" x14ac:dyDescent="0.35">
      <c r="A3227" s="2" t="s">
        <v>317</v>
      </c>
      <c r="B3227" s="3">
        <v>45200</v>
      </c>
      <c r="C3227" s="2">
        <v>17</v>
      </c>
      <c r="D3227" s="2">
        <v>22340</v>
      </c>
      <c r="E3227" s="17">
        <v>50415.7</v>
      </c>
      <c r="F3227" s="11">
        <v>6.4</v>
      </c>
      <c r="G3227" s="9">
        <v>3538.5</v>
      </c>
      <c r="H3227" s="10">
        <v>0.41199999999999998</v>
      </c>
      <c r="I3227" s="11">
        <v>6.5</v>
      </c>
    </row>
    <row r="3228" spans="1:9" x14ac:dyDescent="0.35">
      <c r="A3228" s="2" t="s">
        <v>317</v>
      </c>
      <c r="B3228" s="3">
        <v>45231</v>
      </c>
      <c r="C3228" s="2">
        <v>11</v>
      </c>
      <c r="D3228" s="2">
        <v>15454</v>
      </c>
      <c r="E3228" s="17">
        <v>34950.11</v>
      </c>
      <c r="F3228" s="11">
        <v>6.84</v>
      </c>
      <c r="G3228" s="9">
        <v>2281.6</v>
      </c>
      <c r="H3228" s="10">
        <v>0.72699999999999998</v>
      </c>
      <c r="I3228" s="11">
        <v>8.1</v>
      </c>
    </row>
    <row r="3229" spans="1:9" x14ac:dyDescent="0.35">
      <c r="A3229" s="2" t="s">
        <v>317</v>
      </c>
      <c r="B3229" s="3">
        <v>45261</v>
      </c>
      <c r="C3229" s="2">
        <v>22</v>
      </c>
      <c r="D3229" s="2">
        <v>31032</v>
      </c>
      <c r="E3229" s="17">
        <v>67889.83</v>
      </c>
      <c r="F3229" s="11">
        <v>6.79</v>
      </c>
      <c r="G3229" s="9">
        <v>4624.2</v>
      </c>
      <c r="H3229" s="10">
        <v>0.68200000000000005</v>
      </c>
      <c r="I3229" s="11">
        <v>6.7</v>
      </c>
    </row>
    <row r="3230" spans="1:9" x14ac:dyDescent="0.35">
      <c r="A3230" s="2" t="s">
        <v>317</v>
      </c>
      <c r="B3230" s="3">
        <v>45292</v>
      </c>
      <c r="C3230" s="2">
        <v>15</v>
      </c>
      <c r="D3230" s="2">
        <v>25919</v>
      </c>
      <c r="E3230" s="17">
        <v>60505.77</v>
      </c>
      <c r="F3230" s="11">
        <v>6.84</v>
      </c>
      <c r="G3230" s="9">
        <v>3821.2</v>
      </c>
      <c r="H3230" s="10">
        <v>0.33300000000000002</v>
      </c>
      <c r="I3230" s="11">
        <v>8.1999999999999993</v>
      </c>
    </row>
    <row r="3231" spans="1:9" x14ac:dyDescent="0.35">
      <c r="A3231" s="2" t="s">
        <v>317</v>
      </c>
      <c r="B3231" s="3">
        <v>45323</v>
      </c>
      <c r="C3231" s="2">
        <v>10</v>
      </c>
      <c r="D3231" s="2">
        <v>15917</v>
      </c>
      <c r="E3231" s="17">
        <v>32059.41</v>
      </c>
      <c r="F3231" s="11">
        <v>6.23</v>
      </c>
      <c r="G3231" s="9">
        <v>2476.1999999999998</v>
      </c>
      <c r="H3231" s="10">
        <v>0.4</v>
      </c>
      <c r="I3231" s="11">
        <v>8.5</v>
      </c>
    </row>
    <row r="3232" spans="1:9" x14ac:dyDescent="0.35">
      <c r="A3232" s="2" t="s">
        <v>317</v>
      </c>
      <c r="B3232" s="3">
        <v>45352</v>
      </c>
      <c r="C3232" s="2">
        <v>21</v>
      </c>
      <c r="D3232" s="2">
        <v>23206</v>
      </c>
      <c r="E3232" s="17">
        <v>52875.41</v>
      </c>
      <c r="F3232" s="11">
        <v>6.41</v>
      </c>
      <c r="G3232" s="9">
        <v>3657.1</v>
      </c>
      <c r="H3232" s="10">
        <v>0.42899999999999999</v>
      </c>
      <c r="I3232" s="11">
        <v>6.5</v>
      </c>
    </row>
    <row r="3233" spans="1:9" x14ac:dyDescent="0.35">
      <c r="A3233" s="2" t="s">
        <v>317</v>
      </c>
      <c r="B3233" s="3">
        <v>45383</v>
      </c>
      <c r="C3233" s="2">
        <v>20</v>
      </c>
      <c r="D3233" s="2">
        <v>29890</v>
      </c>
      <c r="E3233" s="17">
        <v>63344.03</v>
      </c>
      <c r="F3233" s="11">
        <v>6.43</v>
      </c>
      <c r="G3233" s="9">
        <v>4692.6000000000004</v>
      </c>
      <c r="H3233" s="10">
        <v>0.5</v>
      </c>
      <c r="I3233" s="11">
        <v>7.1</v>
      </c>
    </row>
    <row r="3234" spans="1:9" x14ac:dyDescent="0.35">
      <c r="A3234" s="2" t="s">
        <v>317</v>
      </c>
      <c r="B3234" s="3">
        <v>45413</v>
      </c>
      <c r="C3234" s="2">
        <v>24</v>
      </c>
      <c r="D3234" s="2">
        <v>37689</v>
      </c>
      <c r="E3234" s="17">
        <v>77750.41</v>
      </c>
      <c r="F3234" s="11">
        <v>6.43</v>
      </c>
      <c r="G3234" s="9">
        <v>5884.5</v>
      </c>
      <c r="H3234" s="10">
        <v>0.375</v>
      </c>
      <c r="I3234" s="11">
        <v>6.3</v>
      </c>
    </row>
    <row r="3235" spans="1:9" x14ac:dyDescent="0.35">
      <c r="A3235" s="2" t="s">
        <v>317</v>
      </c>
      <c r="B3235" s="3">
        <v>45444</v>
      </c>
      <c r="C3235" s="2">
        <v>15</v>
      </c>
      <c r="D3235" s="2">
        <v>25130</v>
      </c>
      <c r="E3235" s="17">
        <v>53646.99</v>
      </c>
      <c r="F3235" s="11">
        <v>6.45</v>
      </c>
      <c r="G3235" s="9">
        <v>3950.2</v>
      </c>
      <c r="H3235" s="10">
        <v>0.33300000000000002</v>
      </c>
      <c r="I3235" s="11">
        <v>7.1</v>
      </c>
    </row>
    <row r="3236" spans="1:9" x14ac:dyDescent="0.35">
      <c r="A3236" s="2" t="s">
        <v>317</v>
      </c>
      <c r="B3236" s="3">
        <v>45474</v>
      </c>
      <c r="C3236" s="2">
        <v>17</v>
      </c>
      <c r="D3236" s="2">
        <v>28394</v>
      </c>
      <c r="E3236" s="17">
        <v>56695.27</v>
      </c>
      <c r="F3236" s="11">
        <v>6.55</v>
      </c>
      <c r="G3236" s="9">
        <v>4305.8</v>
      </c>
      <c r="H3236" s="10">
        <v>0.35299999999999998</v>
      </c>
      <c r="I3236" s="11">
        <v>7.1</v>
      </c>
    </row>
    <row r="3237" spans="1:9" x14ac:dyDescent="0.35">
      <c r="A3237" s="2" t="s">
        <v>317</v>
      </c>
      <c r="B3237" s="3">
        <v>45505</v>
      </c>
      <c r="C3237" s="2">
        <v>21</v>
      </c>
      <c r="D3237" s="2">
        <v>35293</v>
      </c>
      <c r="E3237" s="17">
        <v>75833.570000000007</v>
      </c>
      <c r="F3237" s="11">
        <v>6.8</v>
      </c>
      <c r="G3237" s="9">
        <v>5205.3999999999996</v>
      </c>
      <c r="H3237" s="10">
        <v>0.42899999999999999</v>
      </c>
      <c r="I3237" s="11">
        <v>5.9</v>
      </c>
    </row>
    <row r="3238" spans="1:9" x14ac:dyDescent="0.35">
      <c r="A3238" s="2" t="s">
        <v>317</v>
      </c>
      <c r="B3238" s="3">
        <v>45536</v>
      </c>
      <c r="C3238" s="2">
        <v>17</v>
      </c>
      <c r="D3238" s="2">
        <v>23962</v>
      </c>
      <c r="E3238" s="17">
        <v>54444.35</v>
      </c>
      <c r="F3238" s="11">
        <v>6.47</v>
      </c>
      <c r="G3238" s="9">
        <v>3732.1</v>
      </c>
      <c r="H3238" s="10">
        <v>0.47099999999999997</v>
      </c>
      <c r="I3238" s="11">
        <v>7.6</v>
      </c>
    </row>
    <row r="3239" spans="1:9" x14ac:dyDescent="0.35">
      <c r="A3239" s="2" t="s">
        <v>317</v>
      </c>
      <c r="B3239" s="3">
        <v>45566</v>
      </c>
      <c r="C3239" s="2">
        <v>21</v>
      </c>
      <c r="D3239" s="2">
        <v>36954</v>
      </c>
      <c r="E3239" s="17">
        <v>75545.84</v>
      </c>
      <c r="F3239" s="11">
        <v>6.55</v>
      </c>
      <c r="G3239" s="9">
        <v>5647.8</v>
      </c>
      <c r="H3239" s="10">
        <v>0.52400000000000002</v>
      </c>
      <c r="I3239" s="11">
        <v>6.7</v>
      </c>
    </row>
    <row r="3240" spans="1:9" x14ac:dyDescent="0.35">
      <c r="A3240" s="2" t="s">
        <v>317</v>
      </c>
      <c r="B3240" s="3">
        <v>45597</v>
      </c>
      <c r="C3240" s="2">
        <v>17</v>
      </c>
      <c r="D3240" s="2">
        <v>26187</v>
      </c>
      <c r="E3240" s="17">
        <v>60433.01</v>
      </c>
      <c r="F3240" s="11">
        <v>6.56</v>
      </c>
      <c r="G3240" s="9">
        <v>4005.8</v>
      </c>
      <c r="H3240" s="10">
        <v>0.58799999999999997</v>
      </c>
      <c r="I3240" s="11">
        <v>7.6</v>
      </c>
    </row>
    <row r="3241" spans="1:9" x14ac:dyDescent="0.35">
      <c r="A3241" s="2" t="s">
        <v>317</v>
      </c>
      <c r="B3241" s="3">
        <v>45627</v>
      </c>
      <c r="C3241" s="2">
        <v>22</v>
      </c>
      <c r="D3241" s="2">
        <v>29136</v>
      </c>
      <c r="E3241" s="17">
        <v>62519.45</v>
      </c>
      <c r="F3241" s="11">
        <v>6.75</v>
      </c>
      <c r="G3241" s="9">
        <v>4338.1000000000004</v>
      </c>
      <c r="H3241" s="10">
        <v>0.36399999999999999</v>
      </c>
      <c r="I3241" s="11">
        <v>7.6</v>
      </c>
    </row>
    <row r="3242" spans="1:9" x14ac:dyDescent="0.35">
      <c r="A3242" s="2" t="s">
        <v>319</v>
      </c>
      <c r="B3242" s="3">
        <v>44562</v>
      </c>
      <c r="C3242" s="2">
        <v>17</v>
      </c>
      <c r="D3242" s="2">
        <v>22206</v>
      </c>
      <c r="E3242" s="17">
        <v>43283.03</v>
      </c>
      <c r="F3242" s="11">
        <v>6.58</v>
      </c>
      <c r="G3242" s="9">
        <v>3394.5</v>
      </c>
      <c r="H3242" s="10">
        <v>0.47099999999999997</v>
      </c>
      <c r="I3242" s="11">
        <v>6.2</v>
      </c>
    </row>
    <row r="3243" spans="1:9" x14ac:dyDescent="0.35">
      <c r="A3243" s="2" t="s">
        <v>319</v>
      </c>
      <c r="B3243" s="3">
        <v>44593</v>
      </c>
      <c r="C3243" s="2">
        <v>22</v>
      </c>
      <c r="D3243" s="2">
        <v>40330</v>
      </c>
      <c r="E3243" s="17">
        <v>87812.17</v>
      </c>
      <c r="F3243" s="11">
        <v>6.69</v>
      </c>
      <c r="G3243" s="9">
        <v>5994.9</v>
      </c>
      <c r="H3243" s="10">
        <v>0.63600000000000001</v>
      </c>
      <c r="I3243" s="11">
        <v>7.1</v>
      </c>
    </row>
    <row r="3244" spans="1:9" x14ac:dyDescent="0.35">
      <c r="A3244" s="2" t="s">
        <v>319</v>
      </c>
      <c r="B3244" s="3">
        <v>44621</v>
      </c>
      <c r="C3244" s="2">
        <v>19</v>
      </c>
      <c r="D3244" s="2">
        <v>29595</v>
      </c>
      <c r="E3244" s="17">
        <v>64299.89</v>
      </c>
      <c r="F3244" s="11">
        <v>6.46</v>
      </c>
      <c r="G3244" s="9">
        <v>4573</v>
      </c>
      <c r="H3244" s="10">
        <v>0.42099999999999999</v>
      </c>
      <c r="I3244" s="11">
        <v>6.9</v>
      </c>
    </row>
    <row r="3245" spans="1:9" x14ac:dyDescent="0.35">
      <c r="A3245" s="2" t="s">
        <v>319</v>
      </c>
      <c r="B3245" s="3">
        <v>44652</v>
      </c>
      <c r="C3245" s="2">
        <v>19</v>
      </c>
      <c r="D3245" s="2">
        <v>29696</v>
      </c>
      <c r="E3245" s="17">
        <v>64779.11</v>
      </c>
      <c r="F3245" s="11">
        <v>6.33</v>
      </c>
      <c r="G3245" s="9">
        <v>4744</v>
      </c>
      <c r="H3245" s="10">
        <v>0.73699999999999999</v>
      </c>
      <c r="I3245" s="11">
        <v>7.5</v>
      </c>
    </row>
    <row r="3246" spans="1:9" x14ac:dyDescent="0.35">
      <c r="A3246" s="2" t="s">
        <v>319</v>
      </c>
      <c r="B3246" s="3">
        <v>44682</v>
      </c>
      <c r="C3246" s="2">
        <v>20</v>
      </c>
      <c r="D3246" s="2">
        <v>31549</v>
      </c>
      <c r="E3246" s="17">
        <v>72752.06</v>
      </c>
      <c r="F3246" s="11">
        <v>6.37</v>
      </c>
      <c r="G3246" s="9">
        <v>5075</v>
      </c>
      <c r="H3246" s="10">
        <v>0.3</v>
      </c>
      <c r="I3246" s="11">
        <v>7.1</v>
      </c>
    </row>
    <row r="3247" spans="1:9" x14ac:dyDescent="0.35">
      <c r="A3247" s="2" t="s">
        <v>319</v>
      </c>
      <c r="B3247" s="3">
        <v>44713</v>
      </c>
      <c r="C3247" s="2">
        <v>19</v>
      </c>
      <c r="D3247" s="2">
        <v>28728</v>
      </c>
      <c r="E3247" s="17">
        <v>59145.77</v>
      </c>
      <c r="F3247" s="11">
        <v>6.4</v>
      </c>
      <c r="G3247" s="9">
        <v>4560.7</v>
      </c>
      <c r="H3247" s="10">
        <v>0.52600000000000002</v>
      </c>
      <c r="I3247" s="11">
        <v>7.4</v>
      </c>
    </row>
    <row r="3248" spans="1:9" x14ac:dyDescent="0.35">
      <c r="A3248" s="2" t="s">
        <v>319</v>
      </c>
      <c r="B3248" s="3">
        <v>44743</v>
      </c>
      <c r="C3248" s="2">
        <v>26</v>
      </c>
      <c r="D3248" s="2">
        <v>34085</v>
      </c>
      <c r="E3248" s="17">
        <v>70868.3</v>
      </c>
      <c r="F3248" s="11">
        <v>6.6</v>
      </c>
      <c r="G3248" s="9">
        <v>5179.2</v>
      </c>
      <c r="H3248" s="10">
        <v>0.308</v>
      </c>
      <c r="I3248" s="11">
        <v>7.5</v>
      </c>
    </row>
    <row r="3249" spans="1:9" x14ac:dyDescent="0.35">
      <c r="A3249" s="2" t="s">
        <v>319</v>
      </c>
      <c r="B3249" s="3">
        <v>44774</v>
      </c>
      <c r="C3249" s="2">
        <v>24</v>
      </c>
      <c r="D3249" s="2">
        <v>34864</v>
      </c>
      <c r="E3249" s="17">
        <v>75143.460000000006</v>
      </c>
      <c r="F3249" s="11">
        <v>6.38</v>
      </c>
      <c r="G3249" s="9">
        <v>5514.7</v>
      </c>
      <c r="H3249" s="10">
        <v>0.41699999999999998</v>
      </c>
      <c r="I3249" s="11">
        <v>8.4</v>
      </c>
    </row>
    <row r="3250" spans="1:9" x14ac:dyDescent="0.35">
      <c r="A3250" s="2" t="s">
        <v>319</v>
      </c>
      <c r="B3250" s="3">
        <v>44805</v>
      </c>
      <c r="C3250" s="2">
        <v>10</v>
      </c>
      <c r="D3250" s="2">
        <v>18667</v>
      </c>
      <c r="E3250" s="17">
        <v>40623.620000000003</v>
      </c>
      <c r="F3250" s="11">
        <v>6.4</v>
      </c>
      <c r="G3250" s="9">
        <v>2994.9</v>
      </c>
      <c r="H3250" s="10">
        <v>0.4</v>
      </c>
      <c r="I3250" s="11">
        <v>8.1</v>
      </c>
    </row>
    <row r="3251" spans="1:9" x14ac:dyDescent="0.35">
      <c r="A3251" s="2" t="s">
        <v>319</v>
      </c>
      <c r="B3251" s="3">
        <v>44835</v>
      </c>
      <c r="C3251" s="2">
        <v>25</v>
      </c>
      <c r="D3251" s="2">
        <v>38905</v>
      </c>
      <c r="E3251" s="17">
        <v>83542.179999999993</v>
      </c>
      <c r="F3251" s="11">
        <v>6.35</v>
      </c>
      <c r="G3251" s="9">
        <v>6188.3</v>
      </c>
      <c r="H3251" s="10">
        <v>0.44</v>
      </c>
      <c r="I3251" s="11">
        <v>6.5</v>
      </c>
    </row>
    <row r="3252" spans="1:9" x14ac:dyDescent="0.35">
      <c r="A3252" s="2" t="s">
        <v>319</v>
      </c>
      <c r="B3252" s="3">
        <v>44866</v>
      </c>
      <c r="C3252" s="2">
        <v>24</v>
      </c>
      <c r="D3252" s="2">
        <v>34953</v>
      </c>
      <c r="E3252" s="17">
        <v>70460.39</v>
      </c>
      <c r="F3252" s="11">
        <v>6.45</v>
      </c>
      <c r="G3252" s="9">
        <v>5401</v>
      </c>
      <c r="H3252" s="10">
        <v>0.45800000000000002</v>
      </c>
      <c r="I3252" s="11">
        <v>6.2</v>
      </c>
    </row>
    <row r="3253" spans="1:9" x14ac:dyDescent="0.35">
      <c r="A3253" s="2" t="s">
        <v>319</v>
      </c>
      <c r="B3253" s="3">
        <v>44896</v>
      </c>
      <c r="C3253" s="2">
        <v>21</v>
      </c>
      <c r="D3253" s="2">
        <v>28757</v>
      </c>
      <c r="E3253" s="17">
        <v>59538.64</v>
      </c>
      <c r="F3253" s="11">
        <v>6.51</v>
      </c>
      <c r="G3253" s="9">
        <v>4447.3</v>
      </c>
      <c r="H3253" s="10">
        <v>0.38100000000000001</v>
      </c>
      <c r="I3253" s="11">
        <v>6.7</v>
      </c>
    </row>
    <row r="3254" spans="1:9" x14ac:dyDescent="0.35">
      <c r="A3254" s="2" t="s">
        <v>319</v>
      </c>
      <c r="B3254" s="3">
        <v>44927</v>
      </c>
      <c r="C3254" s="2">
        <v>21</v>
      </c>
      <c r="D3254" s="2">
        <v>29457</v>
      </c>
      <c r="E3254" s="17">
        <v>64689.48</v>
      </c>
      <c r="F3254" s="11">
        <v>6.51</v>
      </c>
      <c r="G3254" s="9">
        <v>4500.8999999999996</v>
      </c>
      <c r="H3254" s="10">
        <v>0.57099999999999995</v>
      </c>
      <c r="I3254" s="11">
        <v>5.7</v>
      </c>
    </row>
    <row r="3255" spans="1:9" x14ac:dyDescent="0.35">
      <c r="A3255" s="2" t="s">
        <v>319</v>
      </c>
      <c r="B3255" s="3">
        <v>44958</v>
      </c>
      <c r="C3255" s="2">
        <v>10</v>
      </c>
      <c r="D3255" s="2">
        <v>14246</v>
      </c>
      <c r="E3255" s="17">
        <v>32805.31</v>
      </c>
      <c r="F3255" s="11">
        <v>6.51</v>
      </c>
      <c r="G3255" s="9">
        <v>2209.6</v>
      </c>
      <c r="H3255" s="10">
        <v>0.4</v>
      </c>
      <c r="I3255" s="11">
        <v>7.5</v>
      </c>
    </row>
    <row r="3256" spans="1:9" x14ac:dyDescent="0.35">
      <c r="A3256" s="2" t="s">
        <v>319</v>
      </c>
      <c r="B3256" s="3">
        <v>44986</v>
      </c>
      <c r="C3256" s="2">
        <v>18</v>
      </c>
      <c r="D3256" s="2">
        <v>28804</v>
      </c>
      <c r="E3256" s="17">
        <v>59147.59</v>
      </c>
      <c r="F3256" s="11">
        <v>6.37</v>
      </c>
      <c r="G3256" s="9">
        <v>4636.1000000000004</v>
      </c>
      <c r="H3256" s="10">
        <v>0.44400000000000001</v>
      </c>
      <c r="I3256" s="11">
        <v>6.3</v>
      </c>
    </row>
    <row r="3257" spans="1:9" x14ac:dyDescent="0.35">
      <c r="A3257" s="2" t="s">
        <v>319</v>
      </c>
      <c r="B3257" s="3">
        <v>45017</v>
      </c>
      <c r="C3257" s="2">
        <v>14</v>
      </c>
      <c r="D3257" s="2">
        <v>19659</v>
      </c>
      <c r="E3257" s="17">
        <v>37156.82</v>
      </c>
      <c r="F3257" s="11">
        <v>6.3</v>
      </c>
      <c r="G3257" s="9">
        <v>3086.3</v>
      </c>
      <c r="H3257" s="10">
        <v>0.71399999999999997</v>
      </c>
      <c r="I3257" s="11">
        <v>6.6</v>
      </c>
    </row>
    <row r="3258" spans="1:9" x14ac:dyDescent="0.35">
      <c r="A3258" s="2" t="s">
        <v>319</v>
      </c>
      <c r="B3258" s="3">
        <v>45047</v>
      </c>
      <c r="C3258" s="2">
        <v>22</v>
      </c>
      <c r="D3258" s="2">
        <v>34883</v>
      </c>
      <c r="E3258" s="17">
        <v>76265.95</v>
      </c>
      <c r="F3258" s="11">
        <v>6.38</v>
      </c>
      <c r="G3258" s="9">
        <v>5450.8</v>
      </c>
      <c r="H3258" s="10">
        <v>0.5</v>
      </c>
      <c r="I3258" s="11">
        <v>7.5</v>
      </c>
    </row>
    <row r="3259" spans="1:9" x14ac:dyDescent="0.35">
      <c r="A3259" s="2" t="s">
        <v>319</v>
      </c>
      <c r="B3259" s="3">
        <v>45078</v>
      </c>
      <c r="C3259" s="2">
        <v>14</v>
      </c>
      <c r="D3259" s="2">
        <v>13942</v>
      </c>
      <c r="E3259" s="17">
        <v>27210.3</v>
      </c>
      <c r="F3259" s="11">
        <v>6.26</v>
      </c>
      <c r="G3259" s="9">
        <v>2205.6999999999998</v>
      </c>
      <c r="H3259" s="10">
        <v>0.35699999999999998</v>
      </c>
      <c r="I3259" s="11">
        <v>6.4</v>
      </c>
    </row>
    <row r="3260" spans="1:9" x14ac:dyDescent="0.35">
      <c r="A3260" s="2" t="s">
        <v>319</v>
      </c>
      <c r="B3260" s="3">
        <v>45108</v>
      </c>
      <c r="C3260" s="2">
        <v>23</v>
      </c>
      <c r="D3260" s="2">
        <v>36365</v>
      </c>
      <c r="E3260" s="17">
        <v>74662.27</v>
      </c>
      <c r="F3260" s="11">
        <v>6.49</v>
      </c>
      <c r="G3260" s="9">
        <v>5618.5</v>
      </c>
      <c r="H3260" s="10">
        <v>0.52200000000000002</v>
      </c>
      <c r="I3260" s="11">
        <v>6.5</v>
      </c>
    </row>
    <row r="3261" spans="1:9" x14ac:dyDescent="0.35">
      <c r="A3261" s="2" t="s">
        <v>319</v>
      </c>
      <c r="B3261" s="3">
        <v>45139</v>
      </c>
      <c r="C3261" s="2">
        <v>18</v>
      </c>
      <c r="D3261" s="2">
        <v>21171</v>
      </c>
      <c r="E3261" s="17">
        <v>45591.72</v>
      </c>
      <c r="F3261" s="11">
        <v>6.55</v>
      </c>
      <c r="G3261" s="9">
        <v>3196.8</v>
      </c>
      <c r="H3261" s="10">
        <v>0.222</v>
      </c>
      <c r="I3261" s="11">
        <v>6.9</v>
      </c>
    </row>
    <row r="3262" spans="1:9" x14ac:dyDescent="0.35">
      <c r="A3262" s="2" t="s">
        <v>319</v>
      </c>
      <c r="B3262" s="3">
        <v>45170</v>
      </c>
      <c r="C3262" s="2">
        <v>17</v>
      </c>
      <c r="D3262" s="2">
        <v>20877</v>
      </c>
      <c r="E3262" s="17">
        <v>41867.21</v>
      </c>
      <c r="F3262" s="11">
        <v>6.6</v>
      </c>
      <c r="G3262" s="9">
        <v>3170</v>
      </c>
      <c r="H3262" s="10">
        <v>0.52900000000000003</v>
      </c>
      <c r="I3262" s="11">
        <v>7.7</v>
      </c>
    </row>
    <row r="3263" spans="1:9" x14ac:dyDescent="0.35">
      <c r="A3263" s="2" t="s">
        <v>319</v>
      </c>
      <c r="B3263" s="3">
        <v>45200</v>
      </c>
      <c r="C3263" s="2">
        <v>20</v>
      </c>
      <c r="D3263" s="2">
        <v>34676</v>
      </c>
      <c r="E3263" s="17">
        <v>75881.070000000007</v>
      </c>
      <c r="F3263" s="11">
        <v>6.4</v>
      </c>
      <c r="G3263" s="9">
        <v>5490.3</v>
      </c>
      <c r="H3263" s="10">
        <v>0.5</v>
      </c>
      <c r="I3263" s="11">
        <v>6.9</v>
      </c>
    </row>
    <row r="3264" spans="1:9" x14ac:dyDescent="0.35">
      <c r="A3264" s="2" t="s">
        <v>319</v>
      </c>
      <c r="B3264" s="3">
        <v>45231</v>
      </c>
      <c r="C3264" s="2">
        <v>23</v>
      </c>
      <c r="D3264" s="2">
        <v>33163</v>
      </c>
      <c r="E3264" s="17">
        <v>69891.070000000007</v>
      </c>
      <c r="F3264" s="11">
        <v>6.63</v>
      </c>
      <c r="G3264" s="9">
        <v>5076.8</v>
      </c>
      <c r="H3264" s="10">
        <v>0.47799999999999998</v>
      </c>
      <c r="I3264" s="11">
        <v>6.2</v>
      </c>
    </row>
    <row r="3265" spans="1:9" x14ac:dyDescent="0.35">
      <c r="A3265" s="2" t="s">
        <v>319</v>
      </c>
      <c r="B3265" s="3">
        <v>45261</v>
      </c>
      <c r="C3265" s="2">
        <v>24</v>
      </c>
      <c r="D3265" s="2">
        <v>39793</v>
      </c>
      <c r="E3265" s="17">
        <v>85679.76</v>
      </c>
      <c r="F3265" s="11">
        <v>6.47</v>
      </c>
      <c r="G3265" s="9">
        <v>6142.2</v>
      </c>
      <c r="H3265" s="10">
        <v>0.625</v>
      </c>
      <c r="I3265" s="11">
        <v>7</v>
      </c>
    </row>
    <row r="3266" spans="1:9" x14ac:dyDescent="0.35">
      <c r="A3266" s="2" t="s">
        <v>319</v>
      </c>
      <c r="B3266" s="3">
        <v>45292</v>
      </c>
      <c r="C3266" s="2">
        <v>13</v>
      </c>
      <c r="D3266" s="2">
        <v>18073</v>
      </c>
      <c r="E3266" s="17">
        <v>43741.04</v>
      </c>
      <c r="F3266" s="11">
        <v>6.65</v>
      </c>
      <c r="G3266" s="9">
        <v>2676.5</v>
      </c>
      <c r="H3266" s="10">
        <v>0.53800000000000003</v>
      </c>
      <c r="I3266" s="11">
        <v>5.9</v>
      </c>
    </row>
    <row r="3267" spans="1:9" x14ac:dyDescent="0.35">
      <c r="A3267" s="2" t="s">
        <v>319</v>
      </c>
      <c r="B3267" s="3">
        <v>45323</v>
      </c>
      <c r="C3267" s="2">
        <v>12</v>
      </c>
      <c r="D3267" s="2">
        <v>21167</v>
      </c>
      <c r="E3267" s="17">
        <v>46062.06</v>
      </c>
      <c r="F3267" s="11">
        <v>6.6</v>
      </c>
      <c r="G3267" s="9">
        <v>3213.7</v>
      </c>
      <c r="H3267" s="10">
        <v>0.41699999999999998</v>
      </c>
      <c r="I3267" s="11">
        <v>5.3</v>
      </c>
    </row>
    <row r="3268" spans="1:9" x14ac:dyDescent="0.35">
      <c r="A3268" s="2" t="s">
        <v>319</v>
      </c>
      <c r="B3268" s="3">
        <v>45352</v>
      </c>
      <c r="C3268" s="2">
        <v>22</v>
      </c>
      <c r="D3268" s="2">
        <v>29558</v>
      </c>
      <c r="E3268" s="17">
        <v>61588.44</v>
      </c>
      <c r="F3268" s="11">
        <v>6.66</v>
      </c>
      <c r="G3268" s="9">
        <v>4570.5</v>
      </c>
      <c r="H3268" s="10">
        <v>0.318</v>
      </c>
      <c r="I3268" s="11">
        <v>7</v>
      </c>
    </row>
    <row r="3269" spans="1:9" x14ac:dyDescent="0.35">
      <c r="A3269" s="2" t="s">
        <v>319</v>
      </c>
      <c r="B3269" s="3">
        <v>45383</v>
      </c>
      <c r="C3269" s="2">
        <v>9</v>
      </c>
      <c r="D3269" s="2">
        <v>7776</v>
      </c>
      <c r="E3269" s="17">
        <v>15099.39</v>
      </c>
      <c r="F3269" s="11">
        <v>6.36</v>
      </c>
      <c r="G3269" s="9">
        <v>1261.9000000000001</v>
      </c>
      <c r="H3269" s="10">
        <v>0.33300000000000002</v>
      </c>
      <c r="I3269" s="11">
        <v>6.4</v>
      </c>
    </row>
    <row r="3270" spans="1:9" x14ac:dyDescent="0.35">
      <c r="A3270" s="2" t="s">
        <v>319</v>
      </c>
      <c r="B3270" s="3">
        <v>45413</v>
      </c>
      <c r="C3270" s="2">
        <v>19</v>
      </c>
      <c r="D3270" s="2">
        <v>28880</v>
      </c>
      <c r="E3270" s="17">
        <v>63421.36</v>
      </c>
      <c r="F3270" s="11">
        <v>6.4</v>
      </c>
      <c r="G3270" s="9">
        <v>4531.2</v>
      </c>
      <c r="H3270" s="10">
        <v>0.52600000000000002</v>
      </c>
      <c r="I3270" s="11">
        <v>8.3000000000000007</v>
      </c>
    </row>
    <row r="3271" spans="1:9" x14ac:dyDescent="0.35">
      <c r="A3271" s="2" t="s">
        <v>319</v>
      </c>
      <c r="B3271" s="3">
        <v>45444</v>
      </c>
      <c r="C3271" s="2">
        <v>13</v>
      </c>
      <c r="D3271" s="2">
        <v>16204</v>
      </c>
      <c r="E3271" s="17">
        <v>28213.88</v>
      </c>
      <c r="F3271" s="11">
        <v>6.46</v>
      </c>
      <c r="G3271" s="9">
        <v>2549.3000000000002</v>
      </c>
      <c r="H3271" s="10">
        <v>0.53800000000000003</v>
      </c>
      <c r="I3271" s="11">
        <v>8.1999999999999993</v>
      </c>
    </row>
    <row r="3272" spans="1:9" x14ac:dyDescent="0.35">
      <c r="A3272" s="2" t="s">
        <v>319</v>
      </c>
      <c r="B3272" s="3">
        <v>45474</v>
      </c>
      <c r="C3272" s="2">
        <v>14</v>
      </c>
      <c r="D3272" s="2">
        <v>23769</v>
      </c>
      <c r="E3272" s="17">
        <v>54210.34</v>
      </c>
      <c r="F3272" s="11">
        <v>6.68</v>
      </c>
      <c r="G3272" s="9">
        <v>3557.3</v>
      </c>
      <c r="H3272" s="10">
        <v>7.0999999999999994E-2</v>
      </c>
      <c r="I3272" s="11">
        <v>6.7</v>
      </c>
    </row>
    <row r="3273" spans="1:9" x14ac:dyDescent="0.35">
      <c r="A3273" s="2" t="s">
        <v>319</v>
      </c>
      <c r="B3273" s="3">
        <v>45505</v>
      </c>
      <c r="C3273" s="2">
        <v>18</v>
      </c>
      <c r="D3273" s="2">
        <v>22365</v>
      </c>
      <c r="E3273" s="17">
        <v>47044.04</v>
      </c>
      <c r="F3273" s="11">
        <v>6.89</v>
      </c>
      <c r="G3273" s="9">
        <v>3246.3</v>
      </c>
      <c r="H3273" s="10">
        <v>0.38900000000000001</v>
      </c>
      <c r="I3273" s="11">
        <v>8</v>
      </c>
    </row>
    <row r="3274" spans="1:9" x14ac:dyDescent="0.35">
      <c r="A3274" s="2" t="s">
        <v>319</v>
      </c>
      <c r="B3274" s="3">
        <v>45536</v>
      </c>
      <c r="C3274" s="2">
        <v>19</v>
      </c>
      <c r="D3274" s="2">
        <v>22727</v>
      </c>
      <c r="E3274" s="17">
        <v>44481.85</v>
      </c>
      <c r="F3274" s="11">
        <v>6.47</v>
      </c>
      <c r="G3274" s="9">
        <v>3535.7</v>
      </c>
      <c r="H3274" s="10">
        <v>0.36799999999999999</v>
      </c>
      <c r="I3274" s="11">
        <v>7.4</v>
      </c>
    </row>
    <row r="3275" spans="1:9" x14ac:dyDescent="0.35">
      <c r="A3275" s="2" t="s">
        <v>319</v>
      </c>
      <c r="B3275" s="3">
        <v>45566</v>
      </c>
      <c r="C3275" s="2">
        <v>21</v>
      </c>
      <c r="D3275" s="2">
        <v>23676</v>
      </c>
      <c r="E3275" s="17">
        <v>48714.47</v>
      </c>
      <c r="F3275" s="11">
        <v>6.36</v>
      </c>
      <c r="G3275" s="9">
        <v>3844</v>
      </c>
      <c r="H3275" s="10">
        <v>0.52400000000000002</v>
      </c>
      <c r="I3275" s="11">
        <v>6.3</v>
      </c>
    </row>
    <row r="3276" spans="1:9" x14ac:dyDescent="0.35">
      <c r="A3276" s="2" t="s">
        <v>319</v>
      </c>
      <c r="B3276" s="3">
        <v>45597</v>
      </c>
      <c r="C3276" s="2">
        <v>10</v>
      </c>
      <c r="D3276" s="2">
        <v>12919</v>
      </c>
      <c r="E3276" s="17">
        <v>26198.54</v>
      </c>
      <c r="F3276" s="11">
        <v>6.32</v>
      </c>
      <c r="G3276" s="9">
        <v>2106.5</v>
      </c>
      <c r="H3276" s="10">
        <v>0.6</v>
      </c>
      <c r="I3276" s="11">
        <v>5.8</v>
      </c>
    </row>
    <row r="3277" spans="1:9" x14ac:dyDescent="0.35">
      <c r="A3277" s="2" t="s">
        <v>319</v>
      </c>
      <c r="B3277" s="3">
        <v>45627</v>
      </c>
      <c r="C3277" s="2">
        <v>14</v>
      </c>
      <c r="D3277" s="2">
        <v>19008</v>
      </c>
      <c r="E3277" s="17">
        <v>42030.29</v>
      </c>
      <c r="F3277" s="11">
        <v>6.43</v>
      </c>
      <c r="G3277" s="9">
        <v>3007.6</v>
      </c>
      <c r="H3277" s="10">
        <v>0.57099999999999995</v>
      </c>
      <c r="I3277" s="11">
        <v>8.1999999999999993</v>
      </c>
    </row>
    <row r="3278" spans="1:9" x14ac:dyDescent="0.35">
      <c r="A3278" s="2" t="s">
        <v>321</v>
      </c>
      <c r="B3278" s="3">
        <v>44562</v>
      </c>
      <c r="C3278" s="2">
        <v>20</v>
      </c>
      <c r="D3278" s="2">
        <v>28248</v>
      </c>
      <c r="E3278" s="17">
        <v>63357.120000000003</v>
      </c>
      <c r="F3278" s="11">
        <v>6.51</v>
      </c>
      <c r="G3278" s="9">
        <v>4442.2</v>
      </c>
      <c r="H3278" s="10">
        <v>0.5</v>
      </c>
      <c r="I3278" s="11">
        <v>6.4</v>
      </c>
    </row>
    <row r="3279" spans="1:9" x14ac:dyDescent="0.35">
      <c r="A3279" s="2" t="s">
        <v>321</v>
      </c>
      <c r="B3279" s="3">
        <v>44593</v>
      </c>
      <c r="C3279" s="2">
        <v>20</v>
      </c>
      <c r="D3279" s="2">
        <v>34654</v>
      </c>
      <c r="E3279" s="17">
        <v>78509.240000000005</v>
      </c>
      <c r="F3279" s="11">
        <v>6.4</v>
      </c>
      <c r="G3279" s="9">
        <v>5433.8</v>
      </c>
      <c r="H3279" s="10">
        <v>0.45</v>
      </c>
      <c r="I3279" s="11">
        <v>6.8</v>
      </c>
    </row>
    <row r="3280" spans="1:9" x14ac:dyDescent="0.35">
      <c r="A3280" s="2" t="s">
        <v>321</v>
      </c>
      <c r="B3280" s="3">
        <v>44621</v>
      </c>
      <c r="C3280" s="2">
        <v>14</v>
      </c>
      <c r="D3280" s="2">
        <v>15276</v>
      </c>
      <c r="E3280" s="17">
        <v>35155.019999999997</v>
      </c>
      <c r="F3280" s="11">
        <v>6.37</v>
      </c>
      <c r="G3280" s="9">
        <v>2415.6</v>
      </c>
      <c r="H3280" s="10">
        <v>0.42899999999999999</v>
      </c>
      <c r="I3280" s="11">
        <v>6.7</v>
      </c>
    </row>
    <row r="3281" spans="1:9" x14ac:dyDescent="0.35">
      <c r="A3281" s="2" t="s">
        <v>321</v>
      </c>
      <c r="B3281" s="3">
        <v>44652</v>
      </c>
      <c r="C3281" s="2">
        <v>21</v>
      </c>
      <c r="D3281" s="2">
        <v>27945</v>
      </c>
      <c r="E3281" s="17">
        <v>59509.47</v>
      </c>
      <c r="F3281" s="11">
        <v>6.47</v>
      </c>
      <c r="G3281" s="9">
        <v>4322.8999999999996</v>
      </c>
      <c r="H3281" s="10">
        <v>0.42899999999999999</v>
      </c>
      <c r="I3281" s="11">
        <v>6.9</v>
      </c>
    </row>
    <row r="3282" spans="1:9" x14ac:dyDescent="0.35">
      <c r="A3282" s="2" t="s">
        <v>321</v>
      </c>
      <c r="B3282" s="3">
        <v>44682</v>
      </c>
      <c r="C3282" s="2">
        <v>17</v>
      </c>
      <c r="D3282" s="2">
        <v>20743</v>
      </c>
      <c r="E3282" s="17">
        <v>43829.71</v>
      </c>
      <c r="F3282" s="11">
        <v>6.23</v>
      </c>
      <c r="G3282" s="9">
        <v>3411.5</v>
      </c>
      <c r="H3282" s="10">
        <v>0.64700000000000002</v>
      </c>
      <c r="I3282" s="11">
        <v>7.3</v>
      </c>
    </row>
    <row r="3283" spans="1:9" x14ac:dyDescent="0.35">
      <c r="A3283" s="2" t="s">
        <v>321</v>
      </c>
      <c r="B3283" s="3">
        <v>44713</v>
      </c>
      <c r="C3283" s="2">
        <v>14</v>
      </c>
      <c r="D3283" s="2">
        <v>21673</v>
      </c>
      <c r="E3283" s="17">
        <v>47479.59</v>
      </c>
      <c r="F3283" s="11">
        <v>6.76</v>
      </c>
      <c r="G3283" s="9">
        <v>3185.8</v>
      </c>
      <c r="H3283" s="10">
        <v>0.35699999999999998</v>
      </c>
      <c r="I3283" s="11">
        <v>7.5</v>
      </c>
    </row>
    <row r="3284" spans="1:9" x14ac:dyDescent="0.35">
      <c r="A3284" s="2" t="s">
        <v>321</v>
      </c>
      <c r="B3284" s="3">
        <v>44743</v>
      </c>
      <c r="C3284" s="2">
        <v>21</v>
      </c>
      <c r="D3284" s="2">
        <v>28981</v>
      </c>
      <c r="E3284" s="17">
        <v>62082.83</v>
      </c>
      <c r="F3284" s="11">
        <v>6.46</v>
      </c>
      <c r="G3284" s="9">
        <v>4592.5</v>
      </c>
      <c r="H3284" s="10">
        <v>0.47599999999999998</v>
      </c>
      <c r="I3284" s="11">
        <v>6.5</v>
      </c>
    </row>
    <row r="3285" spans="1:9" x14ac:dyDescent="0.35">
      <c r="A3285" s="2" t="s">
        <v>321</v>
      </c>
      <c r="B3285" s="3">
        <v>44774</v>
      </c>
      <c r="C3285" s="2">
        <v>28</v>
      </c>
      <c r="D3285" s="2">
        <v>37893</v>
      </c>
      <c r="E3285" s="17">
        <v>88125.87</v>
      </c>
      <c r="F3285" s="11">
        <v>6.33</v>
      </c>
      <c r="G3285" s="9">
        <v>6072.7</v>
      </c>
      <c r="H3285" s="10">
        <v>0.42899999999999999</v>
      </c>
      <c r="I3285" s="11">
        <v>7.4</v>
      </c>
    </row>
    <row r="3286" spans="1:9" x14ac:dyDescent="0.35">
      <c r="A3286" s="2" t="s">
        <v>321</v>
      </c>
      <c r="B3286" s="3">
        <v>44805</v>
      </c>
      <c r="C3286" s="2">
        <v>24</v>
      </c>
      <c r="D3286" s="2">
        <v>30023</v>
      </c>
      <c r="E3286" s="17">
        <v>64655.040000000001</v>
      </c>
      <c r="F3286" s="11">
        <v>6.59</v>
      </c>
      <c r="G3286" s="9">
        <v>4618.1000000000004</v>
      </c>
      <c r="H3286" s="10">
        <v>0.375</v>
      </c>
      <c r="I3286" s="11">
        <v>6.5</v>
      </c>
    </row>
    <row r="3287" spans="1:9" x14ac:dyDescent="0.35">
      <c r="A3287" s="2" t="s">
        <v>321</v>
      </c>
      <c r="B3287" s="3">
        <v>44835</v>
      </c>
      <c r="C3287" s="2">
        <v>20</v>
      </c>
      <c r="D3287" s="2">
        <v>28457</v>
      </c>
      <c r="E3287" s="17">
        <v>60192.14</v>
      </c>
      <c r="F3287" s="11">
        <v>6.55</v>
      </c>
      <c r="G3287" s="9">
        <v>4416.2</v>
      </c>
      <c r="H3287" s="10">
        <v>0.45</v>
      </c>
      <c r="I3287" s="11">
        <v>7.5</v>
      </c>
    </row>
    <row r="3288" spans="1:9" x14ac:dyDescent="0.35">
      <c r="A3288" s="2" t="s">
        <v>321</v>
      </c>
      <c r="B3288" s="3">
        <v>44866</v>
      </c>
      <c r="C3288" s="2">
        <v>12</v>
      </c>
      <c r="D3288" s="2">
        <v>17530</v>
      </c>
      <c r="E3288" s="17">
        <v>37126.93</v>
      </c>
      <c r="F3288" s="11">
        <v>6.43</v>
      </c>
      <c r="G3288" s="9">
        <v>2723.7</v>
      </c>
      <c r="H3288" s="10">
        <v>0.41699999999999998</v>
      </c>
      <c r="I3288" s="11">
        <v>8.1</v>
      </c>
    </row>
    <row r="3289" spans="1:9" x14ac:dyDescent="0.35">
      <c r="A3289" s="2" t="s">
        <v>321</v>
      </c>
      <c r="B3289" s="3">
        <v>44896</v>
      </c>
      <c r="C3289" s="2">
        <v>15</v>
      </c>
      <c r="D3289" s="2">
        <v>18180</v>
      </c>
      <c r="E3289" s="17">
        <v>39458.54</v>
      </c>
      <c r="F3289" s="11">
        <v>6.65</v>
      </c>
      <c r="G3289" s="9">
        <v>2718.9</v>
      </c>
      <c r="H3289" s="10">
        <v>0.2</v>
      </c>
      <c r="I3289" s="11">
        <v>6.7</v>
      </c>
    </row>
    <row r="3290" spans="1:9" x14ac:dyDescent="0.35">
      <c r="A3290" s="2" t="s">
        <v>321</v>
      </c>
      <c r="B3290" s="3">
        <v>44927</v>
      </c>
      <c r="C3290" s="2">
        <v>18</v>
      </c>
      <c r="D3290" s="2">
        <v>25611</v>
      </c>
      <c r="E3290" s="17">
        <v>50835.65</v>
      </c>
      <c r="F3290" s="11">
        <v>6.44</v>
      </c>
      <c r="G3290" s="9">
        <v>4153.7</v>
      </c>
      <c r="H3290" s="10">
        <v>0.5</v>
      </c>
      <c r="I3290" s="11">
        <v>8.1999999999999993</v>
      </c>
    </row>
    <row r="3291" spans="1:9" x14ac:dyDescent="0.35">
      <c r="A3291" s="2" t="s">
        <v>321</v>
      </c>
      <c r="B3291" s="3">
        <v>44958</v>
      </c>
      <c r="C3291" s="2">
        <v>12</v>
      </c>
      <c r="D3291" s="2">
        <v>21883</v>
      </c>
      <c r="E3291" s="17">
        <v>51167.39</v>
      </c>
      <c r="F3291" s="11">
        <v>6.39</v>
      </c>
      <c r="G3291" s="9">
        <v>3431.5</v>
      </c>
      <c r="H3291" s="10">
        <v>0.41699999999999998</v>
      </c>
      <c r="I3291" s="11">
        <v>7.1</v>
      </c>
    </row>
    <row r="3292" spans="1:9" x14ac:dyDescent="0.35">
      <c r="A3292" s="2" t="s">
        <v>321</v>
      </c>
      <c r="B3292" s="3">
        <v>44986</v>
      </c>
      <c r="C3292" s="2">
        <v>18</v>
      </c>
      <c r="D3292" s="2">
        <v>25245</v>
      </c>
      <c r="E3292" s="17">
        <v>50899.66</v>
      </c>
      <c r="F3292" s="11">
        <v>6.53</v>
      </c>
      <c r="G3292" s="9">
        <v>3944.9</v>
      </c>
      <c r="H3292" s="10">
        <v>0.38900000000000001</v>
      </c>
      <c r="I3292" s="11">
        <v>7.3</v>
      </c>
    </row>
    <row r="3293" spans="1:9" x14ac:dyDescent="0.35">
      <c r="A3293" s="2" t="s">
        <v>321</v>
      </c>
      <c r="B3293" s="3">
        <v>45017</v>
      </c>
      <c r="C3293" s="2">
        <v>22</v>
      </c>
      <c r="D3293" s="2">
        <v>33731</v>
      </c>
      <c r="E3293" s="17">
        <v>68032.34</v>
      </c>
      <c r="F3293" s="11">
        <v>6.36</v>
      </c>
      <c r="G3293" s="9">
        <v>5335.1</v>
      </c>
      <c r="H3293" s="10">
        <v>0.63600000000000001</v>
      </c>
      <c r="I3293" s="11">
        <v>6.5</v>
      </c>
    </row>
    <row r="3294" spans="1:9" x14ac:dyDescent="0.35">
      <c r="A3294" s="2" t="s">
        <v>321</v>
      </c>
      <c r="B3294" s="3">
        <v>45047</v>
      </c>
      <c r="C3294" s="2">
        <v>21</v>
      </c>
      <c r="D3294" s="2">
        <v>25643</v>
      </c>
      <c r="E3294" s="17">
        <v>53266.11</v>
      </c>
      <c r="F3294" s="11">
        <v>6.44</v>
      </c>
      <c r="G3294" s="9">
        <v>4035.5</v>
      </c>
      <c r="H3294" s="10">
        <v>0.47599999999999998</v>
      </c>
      <c r="I3294" s="11">
        <v>6.9</v>
      </c>
    </row>
    <row r="3295" spans="1:9" x14ac:dyDescent="0.35">
      <c r="A3295" s="2" t="s">
        <v>321</v>
      </c>
      <c r="B3295" s="3">
        <v>45078</v>
      </c>
      <c r="C3295" s="2">
        <v>19</v>
      </c>
      <c r="D3295" s="2">
        <v>26552</v>
      </c>
      <c r="E3295" s="17">
        <v>54221.75</v>
      </c>
      <c r="F3295" s="11">
        <v>6.6</v>
      </c>
      <c r="G3295" s="9">
        <v>4083.4</v>
      </c>
      <c r="H3295" s="10">
        <v>0.42099999999999999</v>
      </c>
      <c r="I3295" s="11">
        <v>6.2</v>
      </c>
    </row>
    <row r="3296" spans="1:9" x14ac:dyDescent="0.35">
      <c r="A3296" s="2" t="s">
        <v>321</v>
      </c>
      <c r="B3296" s="3">
        <v>45108</v>
      </c>
      <c r="C3296" s="2">
        <v>11</v>
      </c>
      <c r="D3296" s="2">
        <v>19743</v>
      </c>
      <c r="E3296" s="17">
        <v>39558.58</v>
      </c>
      <c r="F3296" s="11">
        <v>6.38</v>
      </c>
      <c r="G3296" s="9">
        <v>3114.8</v>
      </c>
      <c r="H3296" s="10">
        <v>0.36399999999999999</v>
      </c>
      <c r="I3296" s="11">
        <v>7</v>
      </c>
    </row>
    <row r="3297" spans="1:9" x14ac:dyDescent="0.35">
      <c r="A3297" s="2" t="s">
        <v>321</v>
      </c>
      <c r="B3297" s="3">
        <v>45139</v>
      </c>
      <c r="C3297" s="2">
        <v>29</v>
      </c>
      <c r="D3297" s="2">
        <v>40237</v>
      </c>
      <c r="E3297" s="17">
        <v>93313.25</v>
      </c>
      <c r="F3297" s="11">
        <v>6.64</v>
      </c>
      <c r="G3297" s="9">
        <v>6185.8</v>
      </c>
      <c r="H3297" s="10">
        <v>0.48299999999999998</v>
      </c>
      <c r="I3297" s="11">
        <v>7.2</v>
      </c>
    </row>
    <row r="3298" spans="1:9" x14ac:dyDescent="0.35">
      <c r="A3298" s="2" t="s">
        <v>321</v>
      </c>
      <c r="B3298" s="3">
        <v>45170</v>
      </c>
      <c r="C3298" s="2">
        <v>18</v>
      </c>
      <c r="D3298" s="2">
        <v>27072</v>
      </c>
      <c r="E3298" s="17">
        <v>57991.77</v>
      </c>
      <c r="F3298" s="11">
        <v>6.64</v>
      </c>
      <c r="G3298" s="9">
        <v>4052.9</v>
      </c>
      <c r="H3298" s="10">
        <v>0.5</v>
      </c>
      <c r="I3298" s="11">
        <v>7.5</v>
      </c>
    </row>
    <row r="3299" spans="1:9" x14ac:dyDescent="0.35">
      <c r="A3299" s="2" t="s">
        <v>321</v>
      </c>
      <c r="B3299" s="3">
        <v>45200</v>
      </c>
      <c r="C3299" s="2">
        <v>17</v>
      </c>
      <c r="D3299" s="2">
        <v>24418</v>
      </c>
      <c r="E3299" s="17">
        <v>43575.97</v>
      </c>
      <c r="F3299" s="11">
        <v>6.54</v>
      </c>
      <c r="G3299" s="9">
        <v>3777.4</v>
      </c>
      <c r="H3299" s="10">
        <v>0.52900000000000003</v>
      </c>
      <c r="I3299" s="11">
        <v>7.3</v>
      </c>
    </row>
    <row r="3300" spans="1:9" x14ac:dyDescent="0.35">
      <c r="A3300" s="2" t="s">
        <v>321</v>
      </c>
      <c r="B3300" s="3">
        <v>45231</v>
      </c>
      <c r="C3300" s="2">
        <v>16</v>
      </c>
      <c r="D3300" s="2">
        <v>18648</v>
      </c>
      <c r="E3300" s="17">
        <v>43077.43</v>
      </c>
      <c r="F3300" s="11">
        <v>6.65</v>
      </c>
      <c r="G3300" s="9">
        <v>2839.2</v>
      </c>
      <c r="H3300" s="10">
        <v>0.5</v>
      </c>
      <c r="I3300" s="11">
        <v>7.4</v>
      </c>
    </row>
    <row r="3301" spans="1:9" x14ac:dyDescent="0.35">
      <c r="A3301" s="2" t="s">
        <v>321</v>
      </c>
      <c r="B3301" s="3">
        <v>45261</v>
      </c>
      <c r="C3301" s="2">
        <v>18</v>
      </c>
      <c r="D3301" s="2">
        <v>21918</v>
      </c>
      <c r="E3301" s="17">
        <v>47081.99</v>
      </c>
      <c r="F3301" s="11">
        <v>6.64</v>
      </c>
      <c r="G3301" s="9">
        <v>3362.6</v>
      </c>
      <c r="H3301" s="10">
        <v>0.5</v>
      </c>
      <c r="I3301" s="11">
        <v>7.6</v>
      </c>
    </row>
    <row r="3302" spans="1:9" x14ac:dyDescent="0.35">
      <c r="A3302" s="2" t="s">
        <v>321</v>
      </c>
      <c r="B3302" s="3">
        <v>45292</v>
      </c>
      <c r="C3302" s="2">
        <v>19</v>
      </c>
      <c r="D3302" s="2">
        <v>26612</v>
      </c>
      <c r="E3302" s="17">
        <v>56151.77</v>
      </c>
      <c r="F3302" s="11">
        <v>6.5</v>
      </c>
      <c r="G3302" s="9">
        <v>4136.6000000000004</v>
      </c>
      <c r="H3302" s="10">
        <v>0.42099999999999999</v>
      </c>
      <c r="I3302" s="11">
        <v>7.7</v>
      </c>
    </row>
    <row r="3303" spans="1:9" x14ac:dyDescent="0.35">
      <c r="A3303" s="2" t="s">
        <v>321</v>
      </c>
      <c r="B3303" s="3">
        <v>45323</v>
      </c>
      <c r="C3303" s="2">
        <v>15</v>
      </c>
      <c r="D3303" s="2">
        <v>14489</v>
      </c>
      <c r="E3303" s="17">
        <v>28807.07</v>
      </c>
      <c r="F3303" s="11">
        <v>6.34</v>
      </c>
      <c r="G3303" s="9">
        <v>2307.5</v>
      </c>
      <c r="H3303" s="10">
        <v>0.33300000000000002</v>
      </c>
      <c r="I3303" s="11">
        <v>8.4</v>
      </c>
    </row>
    <row r="3304" spans="1:9" x14ac:dyDescent="0.35">
      <c r="A3304" s="2" t="s">
        <v>321</v>
      </c>
      <c r="B3304" s="3">
        <v>45352</v>
      </c>
      <c r="C3304" s="2">
        <v>16</v>
      </c>
      <c r="D3304" s="2">
        <v>18596</v>
      </c>
      <c r="E3304" s="17">
        <v>38715.43</v>
      </c>
      <c r="F3304" s="11">
        <v>6.4</v>
      </c>
      <c r="G3304" s="9">
        <v>2910.2</v>
      </c>
      <c r="H3304" s="10">
        <v>0.375</v>
      </c>
      <c r="I3304" s="11">
        <v>6.8</v>
      </c>
    </row>
    <row r="3305" spans="1:9" x14ac:dyDescent="0.35">
      <c r="A3305" s="2" t="s">
        <v>321</v>
      </c>
      <c r="B3305" s="3">
        <v>45383</v>
      </c>
      <c r="C3305" s="2">
        <v>17</v>
      </c>
      <c r="D3305" s="2">
        <v>25482</v>
      </c>
      <c r="E3305" s="17">
        <v>57965.55</v>
      </c>
      <c r="F3305" s="11">
        <v>6.46</v>
      </c>
      <c r="G3305" s="9">
        <v>3960.3</v>
      </c>
      <c r="H3305" s="10">
        <v>0.35299999999999998</v>
      </c>
      <c r="I3305" s="11">
        <v>6.8</v>
      </c>
    </row>
    <row r="3306" spans="1:9" x14ac:dyDescent="0.35">
      <c r="A3306" s="2" t="s">
        <v>321</v>
      </c>
      <c r="B3306" s="3">
        <v>45413</v>
      </c>
      <c r="C3306" s="2">
        <v>22</v>
      </c>
      <c r="D3306" s="2">
        <v>31014</v>
      </c>
      <c r="E3306" s="17">
        <v>68239.740000000005</v>
      </c>
      <c r="F3306" s="11">
        <v>6.53</v>
      </c>
      <c r="G3306" s="9">
        <v>4786.6000000000004</v>
      </c>
      <c r="H3306" s="10">
        <v>0.54500000000000004</v>
      </c>
      <c r="I3306" s="11">
        <v>7</v>
      </c>
    </row>
    <row r="3307" spans="1:9" x14ac:dyDescent="0.35">
      <c r="A3307" s="2" t="s">
        <v>321</v>
      </c>
      <c r="B3307" s="3">
        <v>45444</v>
      </c>
      <c r="C3307" s="2">
        <v>16</v>
      </c>
      <c r="D3307" s="2">
        <v>25784</v>
      </c>
      <c r="E3307" s="17">
        <v>56229.41</v>
      </c>
      <c r="F3307" s="11">
        <v>6.41</v>
      </c>
      <c r="G3307" s="9">
        <v>4027.8</v>
      </c>
      <c r="H3307" s="10">
        <v>0.375</v>
      </c>
      <c r="I3307" s="11">
        <v>5.8</v>
      </c>
    </row>
    <row r="3308" spans="1:9" x14ac:dyDescent="0.35">
      <c r="A3308" s="2" t="s">
        <v>321</v>
      </c>
      <c r="B3308" s="3">
        <v>45474</v>
      </c>
      <c r="C3308" s="2">
        <v>22</v>
      </c>
      <c r="D3308" s="2">
        <v>33607</v>
      </c>
      <c r="E3308" s="17">
        <v>70469.990000000005</v>
      </c>
      <c r="F3308" s="11">
        <v>6.59</v>
      </c>
      <c r="G3308" s="9">
        <v>5170.6000000000004</v>
      </c>
      <c r="H3308" s="10">
        <v>0.59099999999999997</v>
      </c>
      <c r="I3308" s="11">
        <v>7.6</v>
      </c>
    </row>
    <row r="3309" spans="1:9" x14ac:dyDescent="0.35">
      <c r="A3309" s="2" t="s">
        <v>321</v>
      </c>
      <c r="B3309" s="3">
        <v>45505</v>
      </c>
      <c r="C3309" s="2">
        <v>17</v>
      </c>
      <c r="D3309" s="2">
        <v>19309</v>
      </c>
      <c r="E3309" s="17">
        <v>43352.56</v>
      </c>
      <c r="F3309" s="11">
        <v>6.54</v>
      </c>
      <c r="G3309" s="9">
        <v>2934.4</v>
      </c>
      <c r="H3309" s="10">
        <v>0.41199999999999998</v>
      </c>
      <c r="I3309" s="11">
        <v>6.9</v>
      </c>
    </row>
    <row r="3310" spans="1:9" x14ac:dyDescent="0.35">
      <c r="A3310" s="2" t="s">
        <v>321</v>
      </c>
      <c r="B3310" s="3">
        <v>45536</v>
      </c>
      <c r="C3310" s="2">
        <v>20</v>
      </c>
      <c r="D3310" s="2">
        <v>31938</v>
      </c>
      <c r="E3310" s="17">
        <v>70069.02</v>
      </c>
      <c r="F3310" s="11">
        <v>6.34</v>
      </c>
      <c r="G3310" s="9">
        <v>5083.3</v>
      </c>
      <c r="H3310" s="10">
        <v>0.55000000000000004</v>
      </c>
      <c r="I3310" s="11">
        <v>6.4</v>
      </c>
    </row>
    <row r="3311" spans="1:9" x14ac:dyDescent="0.35">
      <c r="A3311" s="2" t="s">
        <v>321</v>
      </c>
      <c r="B3311" s="3">
        <v>45566</v>
      </c>
      <c r="C3311" s="2">
        <v>19</v>
      </c>
      <c r="D3311" s="2">
        <v>24243</v>
      </c>
      <c r="E3311" s="17">
        <v>48795.29</v>
      </c>
      <c r="F3311" s="11">
        <v>6.69</v>
      </c>
      <c r="G3311" s="9">
        <v>3628.3</v>
      </c>
      <c r="H3311" s="10">
        <v>0.316</v>
      </c>
      <c r="I3311" s="11">
        <v>6.1</v>
      </c>
    </row>
    <row r="3312" spans="1:9" x14ac:dyDescent="0.35">
      <c r="A3312" s="2" t="s">
        <v>321</v>
      </c>
      <c r="B3312" s="3">
        <v>45597</v>
      </c>
      <c r="C3312" s="2">
        <v>20</v>
      </c>
      <c r="D3312" s="2">
        <v>33989</v>
      </c>
      <c r="E3312" s="17">
        <v>73420.08</v>
      </c>
      <c r="F3312" s="11">
        <v>6.54</v>
      </c>
      <c r="G3312" s="9">
        <v>5239.8</v>
      </c>
      <c r="H3312" s="10">
        <v>0.45</v>
      </c>
      <c r="I3312" s="11">
        <v>7.7</v>
      </c>
    </row>
    <row r="3313" spans="1:9" x14ac:dyDescent="0.35">
      <c r="A3313" s="2" t="s">
        <v>321</v>
      </c>
      <c r="B3313" s="3">
        <v>45627</v>
      </c>
      <c r="C3313" s="2">
        <v>12</v>
      </c>
      <c r="D3313" s="2">
        <v>12812</v>
      </c>
      <c r="E3313" s="17">
        <v>26012.58</v>
      </c>
      <c r="F3313" s="11">
        <v>6.64</v>
      </c>
      <c r="G3313" s="9">
        <v>1927.7</v>
      </c>
      <c r="H3313" s="10">
        <v>0.66700000000000004</v>
      </c>
      <c r="I3313" s="11">
        <v>5.9</v>
      </c>
    </row>
    <row r="3314" spans="1:9" x14ac:dyDescent="0.35">
      <c r="A3314" s="2" t="s">
        <v>323</v>
      </c>
      <c r="B3314" s="3">
        <v>44562</v>
      </c>
      <c r="C3314" s="2">
        <v>12</v>
      </c>
      <c r="D3314" s="2">
        <v>15916</v>
      </c>
      <c r="E3314" s="17">
        <v>33595.660000000003</v>
      </c>
      <c r="F3314" s="11">
        <v>6.53</v>
      </c>
      <c r="G3314" s="9">
        <v>2523.6999999999998</v>
      </c>
      <c r="H3314" s="10">
        <v>0.5</v>
      </c>
      <c r="I3314" s="11">
        <v>6.4</v>
      </c>
    </row>
    <row r="3315" spans="1:9" x14ac:dyDescent="0.35">
      <c r="A3315" s="2" t="s">
        <v>323</v>
      </c>
      <c r="B3315" s="3">
        <v>44593</v>
      </c>
      <c r="C3315" s="2">
        <v>15</v>
      </c>
      <c r="D3315" s="2">
        <v>24648</v>
      </c>
      <c r="E3315" s="17">
        <v>60089.78</v>
      </c>
      <c r="F3315" s="11">
        <v>6.21</v>
      </c>
      <c r="G3315" s="9">
        <v>3943.5</v>
      </c>
      <c r="H3315" s="10">
        <v>0.33300000000000002</v>
      </c>
      <c r="I3315" s="11">
        <v>7.5</v>
      </c>
    </row>
    <row r="3316" spans="1:9" x14ac:dyDescent="0.35">
      <c r="A3316" s="2" t="s">
        <v>323</v>
      </c>
      <c r="B3316" s="3">
        <v>44621</v>
      </c>
      <c r="C3316" s="2">
        <v>18</v>
      </c>
      <c r="D3316" s="2">
        <v>24183</v>
      </c>
      <c r="E3316" s="17">
        <v>54957.95</v>
      </c>
      <c r="F3316" s="11">
        <v>6.7</v>
      </c>
      <c r="G3316" s="9">
        <v>3597.8</v>
      </c>
      <c r="H3316" s="10">
        <v>0.38900000000000001</v>
      </c>
      <c r="I3316" s="11">
        <v>7.7</v>
      </c>
    </row>
    <row r="3317" spans="1:9" x14ac:dyDescent="0.35">
      <c r="A3317" s="2" t="s">
        <v>323</v>
      </c>
      <c r="B3317" s="3">
        <v>44652</v>
      </c>
      <c r="C3317" s="2">
        <v>16</v>
      </c>
      <c r="D3317" s="2">
        <v>23527</v>
      </c>
      <c r="E3317" s="17">
        <v>49745.66</v>
      </c>
      <c r="F3317" s="11">
        <v>6.54</v>
      </c>
      <c r="G3317" s="9">
        <v>3552.4</v>
      </c>
      <c r="H3317" s="10">
        <v>0.5</v>
      </c>
      <c r="I3317" s="11">
        <v>6.4</v>
      </c>
    </row>
    <row r="3318" spans="1:9" x14ac:dyDescent="0.35">
      <c r="A3318" s="2" t="s">
        <v>323</v>
      </c>
      <c r="B3318" s="3">
        <v>44682</v>
      </c>
      <c r="C3318" s="2">
        <v>13</v>
      </c>
      <c r="D3318" s="2">
        <v>21865</v>
      </c>
      <c r="E3318" s="17">
        <v>48112.73</v>
      </c>
      <c r="F3318" s="11">
        <v>6.56</v>
      </c>
      <c r="G3318" s="9">
        <v>3353.5</v>
      </c>
      <c r="H3318" s="10">
        <v>0.61499999999999999</v>
      </c>
      <c r="I3318" s="11">
        <v>7.2</v>
      </c>
    </row>
    <row r="3319" spans="1:9" x14ac:dyDescent="0.35">
      <c r="A3319" s="2" t="s">
        <v>323</v>
      </c>
      <c r="B3319" s="3">
        <v>44713</v>
      </c>
      <c r="C3319" s="2">
        <v>24</v>
      </c>
      <c r="D3319" s="2">
        <v>38256</v>
      </c>
      <c r="E3319" s="17">
        <v>87415.7</v>
      </c>
      <c r="F3319" s="11">
        <v>6.58</v>
      </c>
      <c r="G3319" s="9">
        <v>5800.4</v>
      </c>
      <c r="H3319" s="10">
        <v>0.41699999999999998</v>
      </c>
      <c r="I3319" s="11">
        <v>6.9</v>
      </c>
    </row>
    <row r="3320" spans="1:9" x14ac:dyDescent="0.35">
      <c r="A3320" s="2" t="s">
        <v>323</v>
      </c>
      <c r="B3320" s="3">
        <v>44743</v>
      </c>
      <c r="C3320" s="2">
        <v>22</v>
      </c>
      <c r="D3320" s="2">
        <v>33874</v>
      </c>
      <c r="E3320" s="17">
        <v>71322.240000000005</v>
      </c>
      <c r="F3320" s="11">
        <v>6.49</v>
      </c>
      <c r="G3320" s="9">
        <v>5181.1000000000004</v>
      </c>
      <c r="H3320" s="10">
        <v>0.45500000000000002</v>
      </c>
      <c r="I3320" s="11">
        <v>6.1</v>
      </c>
    </row>
    <row r="3321" spans="1:9" x14ac:dyDescent="0.35">
      <c r="A3321" s="2" t="s">
        <v>323</v>
      </c>
      <c r="B3321" s="3">
        <v>44774</v>
      </c>
      <c r="C3321" s="2">
        <v>20</v>
      </c>
      <c r="D3321" s="2">
        <v>33800</v>
      </c>
      <c r="E3321" s="17">
        <v>72311.41</v>
      </c>
      <c r="F3321" s="11">
        <v>6.58</v>
      </c>
      <c r="G3321" s="9">
        <v>5194</v>
      </c>
      <c r="H3321" s="10">
        <v>0.55000000000000004</v>
      </c>
      <c r="I3321" s="11">
        <v>8.5</v>
      </c>
    </row>
    <row r="3322" spans="1:9" x14ac:dyDescent="0.35">
      <c r="A3322" s="2" t="s">
        <v>323</v>
      </c>
      <c r="B3322" s="3">
        <v>44805</v>
      </c>
      <c r="C3322" s="2">
        <v>16</v>
      </c>
      <c r="D3322" s="2">
        <v>22334</v>
      </c>
      <c r="E3322" s="17">
        <v>45455.06</v>
      </c>
      <c r="F3322" s="11">
        <v>6.67</v>
      </c>
      <c r="G3322" s="9">
        <v>3346.2</v>
      </c>
      <c r="H3322" s="10">
        <v>0.375</v>
      </c>
      <c r="I3322" s="11">
        <v>7.1</v>
      </c>
    </row>
    <row r="3323" spans="1:9" x14ac:dyDescent="0.35">
      <c r="A3323" s="2" t="s">
        <v>323</v>
      </c>
      <c r="B3323" s="3">
        <v>44835</v>
      </c>
      <c r="C3323" s="2">
        <v>18</v>
      </c>
      <c r="D3323" s="2">
        <v>21394</v>
      </c>
      <c r="E3323" s="17">
        <v>50738.93</v>
      </c>
      <c r="F3323" s="11">
        <v>6.51</v>
      </c>
      <c r="G3323" s="9">
        <v>3324</v>
      </c>
      <c r="H3323" s="10">
        <v>0.5</v>
      </c>
      <c r="I3323" s="11">
        <v>6.9</v>
      </c>
    </row>
    <row r="3324" spans="1:9" x14ac:dyDescent="0.35">
      <c r="A3324" s="2" t="s">
        <v>323</v>
      </c>
      <c r="B3324" s="3">
        <v>44866</v>
      </c>
      <c r="C3324" s="2">
        <v>15</v>
      </c>
      <c r="D3324" s="2">
        <v>25767</v>
      </c>
      <c r="E3324" s="17">
        <v>55863.11</v>
      </c>
      <c r="F3324" s="11">
        <v>6.72</v>
      </c>
      <c r="G3324" s="9">
        <v>3809.8</v>
      </c>
      <c r="H3324" s="10">
        <v>0.53300000000000003</v>
      </c>
      <c r="I3324" s="11">
        <v>7.8</v>
      </c>
    </row>
    <row r="3325" spans="1:9" x14ac:dyDescent="0.35">
      <c r="A3325" s="2" t="s">
        <v>323</v>
      </c>
      <c r="B3325" s="3">
        <v>44896</v>
      </c>
      <c r="C3325" s="2">
        <v>13</v>
      </c>
      <c r="D3325" s="2">
        <v>19458</v>
      </c>
      <c r="E3325" s="17">
        <v>36370.699999999997</v>
      </c>
      <c r="F3325" s="11">
        <v>6.5</v>
      </c>
      <c r="G3325" s="9">
        <v>2947.8</v>
      </c>
      <c r="H3325" s="10">
        <v>0.308</v>
      </c>
      <c r="I3325" s="11">
        <v>7.7</v>
      </c>
    </row>
    <row r="3326" spans="1:9" x14ac:dyDescent="0.35">
      <c r="A3326" s="2" t="s">
        <v>323</v>
      </c>
      <c r="B3326" s="3">
        <v>44927</v>
      </c>
      <c r="C3326" s="2">
        <v>21</v>
      </c>
      <c r="D3326" s="2">
        <v>26844</v>
      </c>
      <c r="E3326" s="17">
        <v>59243.09</v>
      </c>
      <c r="F3326" s="11">
        <v>6.48</v>
      </c>
      <c r="G3326" s="9">
        <v>4087.9</v>
      </c>
      <c r="H3326" s="10">
        <v>0.52400000000000002</v>
      </c>
      <c r="I3326" s="11">
        <v>6.7</v>
      </c>
    </row>
    <row r="3327" spans="1:9" x14ac:dyDescent="0.35">
      <c r="A3327" s="2" t="s">
        <v>323</v>
      </c>
      <c r="B3327" s="3">
        <v>44958</v>
      </c>
      <c r="C3327" s="2">
        <v>18</v>
      </c>
      <c r="D3327" s="2">
        <v>20501</v>
      </c>
      <c r="E3327" s="17">
        <v>45296.04</v>
      </c>
      <c r="F3327" s="11">
        <v>6.45</v>
      </c>
      <c r="G3327" s="9">
        <v>3291.9</v>
      </c>
      <c r="H3327" s="10">
        <v>0.38900000000000001</v>
      </c>
      <c r="I3327" s="11">
        <v>7</v>
      </c>
    </row>
    <row r="3328" spans="1:9" x14ac:dyDescent="0.35">
      <c r="A3328" s="2" t="s">
        <v>323</v>
      </c>
      <c r="B3328" s="3">
        <v>44986</v>
      </c>
      <c r="C3328" s="2">
        <v>11</v>
      </c>
      <c r="D3328" s="2">
        <v>16551</v>
      </c>
      <c r="E3328" s="17">
        <v>38659.81</v>
      </c>
      <c r="F3328" s="11">
        <v>6.2</v>
      </c>
      <c r="G3328" s="9">
        <v>2692.5</v>
      </c>
      <c r="H3328" s="10">
        <v>0.36399999999999999</v>
      </c>
      <c r="I3328" s="11">
        <v>7.8</v>
      </c>
    </row>
    <row r="3329" spans="1:9" x14ac:dyDescent="0.35">
      <c r="A3329" s="2" t="s">
        <v>323</v>
      </c>
      <c r="B3329" s="3">
        <v>45017</v>
      </c>
      <c r="C3329" s="2">
        <v>21</v>
      </c>
      <c r="D3329" s="2">
        <v>31175</v>
      </c>
      <c r="E3329" s="17">
        <v>64311.040000000001</v>
      </c>
      <c r="F3329" s="11">
        <v>6.55</v>
      </c>
      <c r="G3329" s="9">
        <v>4785.3</v>
      </c>
      <c r="H3329" s="10">
        <v>0.57099999999999995</v>
      </c>
      <c r="I3329" s="11">
        <v>7.1</v>
      </c>
    </row>
    <row r="3330" spans="1:9" x14ac:dyDescent="0.35">
      <c r="A3330" s="2" t="s">
        <v>323</v>
      </c>
      <c r="B3330" s="3">
        <v>45047</v>
      </c>
      <c r="C3330" s="2">
        <v>15</v>
      </c>
      <c r="D3330" s="2">
        <v>17081</v>
      </c>
      <c r="E3330" s="17">
        <v>33530.959999999999</v>
      </c>
      <c r="F3330" s="11">
        <v>6.47</v>
      </c>
      <c r="G3330" s="9">
        <v>2684.7</v>
      </c>
      <c r="H3330" s="10">
        <v>0.66700000000000004</v>
      </c>
      <c r="I3330" s="11">
        <v>6.8</v>
      </c>
    </row>
    <row r="3331" spans="1:9" x14ac:dyDescent="0.35">
      <c r="A3331" s="2" t="s">
        <v>323</v>
      </c>
      <c r="B3331" s="3">
        <v>45078</v>
      </c>
      <c r="C3331" s="2">
        <v>12</v>
      </c>
      <c r="D3331" s="2">
        <v>16494</v>
      </c>
      <c r="E3331" s="17">
        <v>38453.279999999999</v>
      </c>
      <c r="F3331" s="11">
        <v>6.54</v>
      </c>
      <c r="G3331" s="9">
        <v>2502.1</v>
      </c>
      <c r="H3331" s="10">
        <v>0.66700000000000004</v>
      </c>
      <c r="I3331" s="11">
        <v>8</v>
      </c>
    </row>
    <row r="3332" spans="1:9" x14ac:dyDescent="0.35">
      <c r="A3332" s="2" t="s">
        <v>323</v>
      </c>
      <c r="B3332" s="3">
        <v>45108</v>
      </c>
      <c r="C3332" s="2">
        <v>16</v>
      </c>
      <c r="D3332" s="2">
        <v>21412</v>
      </c>
      <c r="E3332" s="17">
        <v>45138.62</v>
      </c>
      <c r="F3332" s="11">
        <v>6.59</v>
      </c>
      <c r="G3332" s="9">
        <v>3311.4</v>
      </c>
      <c r="H3332" s="10">
        <v>0.5</v>
      </c>
      <c r="I3332" s="11">
        <v>6.3</v>
      </c>
    </row>
    <row r="3333" spans="1:9" x14ac:dyDescent="0.35">
      <c r="A3333" s="2" t="s">
        <v>323</v>
      </c>
      <c r="B3333" s="3">
        <v>45139</v>
      </c>
      <c r="C3333" s="2">
        <v>12</v>
      </c>
      <c r="D3333" s="2">
        <v>12712</v>
      </c>
      <c r="E3333" s="17">
        <v>25715.52</v>
      </c>
      <c r="F3333" s="11">
        <v>6.35</v>
      </c>
      <c r="G3333" s="9">
        <v>2003.3</v>
      </c>
      <c r="H3333" s="10">
        <v>0.5</v>
      </c>
      <c r="I3333" s="11">
        <v>7</v>
      </c>
    </row>
    <row r="3334" spans="1:9" x14ac:dyDescent="0.35">
      <c r="A3334" s="2" t="s">
        <v>323</v>
      </c>
      <c r="B3334" s="3">
        <v>45170</v>
      </c>
      <c r="C3334" s="2">
        <v>16</v>
      </c>
      <c r="D3334" s="2">
        <v>21721</v>
      </c>
      <c r="E3334" s="17">
        <v>46938.6</v>
      </c>
      <c r="F3334" s="11">
        <v>6.44</v>
      </c>
      <c r="G3334" s="9">
        <v>3424.5</v>
      </c>
      <c r="H3334" s="10">
        <v>0.5</v>
      </c>
      <c r="I3334" s="11">
        <v>5.6</v>
      </c>
    </row>
    <row r="3335" spans="1:9" x14ac:dyDescent="0.35">
      <c r="A3335" s="2" t="s">
        <v>323</v>
      </c>
      <c r="B3335" s="3">
        <v>45200</v>
      </c>
      <c r="C3335" s="2">
        <v>17</v>
      </c>
      <c r="D3335" s="2">
        <v>25444</v>
      </c>
      <c r="E3335" s="17">
        <v>51264.88</v>
      </c>
      <c r="F3335" s="11">
        <v>6.43</v>
      </c>
      <c r="G3335" s="9">
        <v>3936.4</v>
      </c>
      <c r="H3335" s="10">
        <v>0.29399999999999998</v>
      </c>
      <c r="I3335" s="11">
        <v>6.9</v>
      </c>
    </row>
    <row r="3336" spans="1:9" x14ac:dyDescent="0.35">
      <c r="A3336" s="2" t="s">
        <v>323</v>
      </c>
      <c r="B3336" s="3">
        <v>45231</v>
      </c>
      <c r="C3336" s="2">
        <v>18</v>
      </c>
      <c r="D3336" s="2">
        <v>27718</v>
      </c>
      <c r="E3336" s="17">
        <v>60343.14</v>
      </c>
      <c r="F3336" s="11">
        <v>6.54</v>
      </c>
      <c r="G3336" s="9">
        <v>4308.8999999999996</v>
      </c>
      <c r="H3336" s="10">
        <v>0.5</v>
      </c>
      <c r="I3336" s="11">
        <v>8.1999999999999993</v>
      </c>
    </row>
    <row r="3337" spans="1:9" x14ac:dyDescent="0.35">
      <c r="A3337" s="2" t="s">
        <v>323</v>
      </c>
      <c r="B3337" s="3">
        <v>45261</v>
      </c>
      <c r="C3337" s="2">
        <v>14</v>
      </c>
      <c r="D3337" s="2">
        <v>17067</v>
      </c>
      <c r="E3337" s="17">
        <v>39247.760000000002</v>
      </c>
      <c r="F3337" s="11">
        <v>6.95</v>
      </c>
      <c r="G3337" s="9">
        <v>2409</v>
      </c>
      <c r="H3337" s="10">
        <v>0.42899999999999999</v>
      </c>
      <c r="I3337" s="11">
        <v>6.1</v>
      </c>
    </row>
    <row r="3338" spans="1:9" x14ac:dyDescent="0.35">
      <c r="A3338" s="2" t="s">
        <v>323</v>
      </c>
      <c r="B3338" s="3">
        <v>45292</v>
      </c>
      <c r="C3338" s="2">
        <v>12</v>
      </c>
      <c r="D3338" s="2">
        <v>17514</v>
      </c>
      <c r="E3338" s="17">
        <v>37711.86</v>
      </c>
      <c r="F3338" s="11">
        <v>6.53</v>
      </c>
      <c r="G3338" s="9">
        <v>2724.5</v>
      </c>
      <c r="H3338" s="10">
        <v>0.41699999999999998</v>
      </c>
      <c r="I3338" s="11">
        <v>7.1</v>
      </c>
    </row>
    <row r="3339" spans="1:9" x14ac:dyDescent="0.35">
      <c r="A3339" s="2" t="s">
        <v>323</v>
      </c>
      <c r="B3339" s="3">
        <v>45323</v>
      </c>
      <c r="C3339" s="2">
        <v>27</v>
      </c>
      <c r="D3339" s="2">
        <v>31961</v>
      </c>
      <c r="E3339" s="17">
        <v>68526.179999999993</v>
      </c>
      <c r="F3339" s="11">
        <v>6.29</v>
      </c>
      <c r="G3339" s="9">
        <v>5114.1000000000004</v>
      </c>
      <c r="H3339" s="10">
        <v>0.37</v>
      </c>
      <c r="I3339" s="11">
        <v>6.6</v>
      </c>
    </row>
    <row r="3340" spans="1:9" x14ac:dyDescent="0.35">
      <c r="A3340" s="2" t="s">
        <v>323</v>
      </c>
      <c r="B3340" s="3">
        <v>45352</v>
      </c>
      <c r="C3340" s="2">
        <v>14</v>
      </c>
      <c r="D3340" s="2">
        <v>20029</v>
      </c>
      <c r="E3340" s="17">
        <v>44947.64</v>
      </c>
      <c r="F3340" s="11">
        <v>6.68</v>
      </c>
      <c r="G3340" s="9">
        <v>3017.3</v>
      </c>
      <c r="H3340" s="10">
        <v>0.5</v>
      </c>
      <c r="I3340" s="11">
        <v>7.7</v>
      </c>
    </row>
    <row r="3341" spans="1:9" x14ac:dyDescent="0.35">
      <c r="A3341" s="2" t="s">
        <v>323</v>
      </c>
      <c r="B3341" s="3">
        <v>45383</v>
      </c>
      <c r="C3341" s="2">
        <v>19</v>
      </c>
      <c r="D3341" s="2">
        <v>29781</v>
      </c>
      <c r="E3341" s="17">
        <v>67963.11</v>
      </c>
      <c r="F3341" s="11">
        <v>6.46</v>
      </c>
      <c r="G3341" s="9">
        <v>4649.3999999999996</v>
      </c>
      <c r="H3341" s="10">
        <v>0.57899999999999996</v>
      </c>
      <c r="I3341" s="11">
        <v>6.5</v>
      </c>
    </row>
    <row r="3342" spans="1:9" x14ac:dyDescent="0.35">
      <c r="A3342" s="2" t="s">
        <v>323</v>
      </c>
      <c r="B3342" s="3">
        <v>45413</v>
      </c>
      <c r="C3342" s="2">
        <v>15</v>
      </c>
      <c r="D3342" s="2">
        <v>23706</v>
      </c>
      <c r="E3342" s="17">
        <v>47801.79</v>
      </c>
      <c r="F3342" s="11">
        <v>6.49</v>
      </c>
      <c r="G3342" s="9">
        <v>3710.4</v>
      </c>
      <c r="H3342" s="10">
        <v>0.46700000000000003</v>
      </c>
      <c r="I3342" s="11">
        <v>7.2</v>
      </c>
    </row>
    <row r="3343" spans="1:9" x14ac:dyDescent="0.35">
      <c r="A3343" s="2" t="s">
        <v>323</v>
      </c>
      <c r="B3343" s="3">
        <v>45444</v>
      </c>
      <c r="C3343" s="2">
        <v>31</v>
      </c>
      <c r="D3343" s="2">
        <v>34899</v>
      </c>
      <c r="E3343" s="17">
        <v>75814.42</v>
      </c>
      <c r="F3343" s="11">
        <v>6.37</v>
      </c>
      <c r="G3343" s="9">
        <v>5527.8</v>
      </c>
      <c r="H3343" s="10">
        <v>0.51600000000000001</v>
      </c>
      <c r="I3343" s="11">
        <v>7.5</v>
      </c>
    </row>
    <row r="3344" spans="1:9" x14ac:dyDescent="0.35">
      <c r="A3344" s="2" t="s">
        <v>323</v>
      </c>
      <c r="B3344" s="3">
        <v>45474</v>
      </c>
      <c r="C3344" s="2">
        <v>18</v>
      </c>
      <c r="D3344" s="2">
        <v>26148</v>
      </c>
      <c r="E3344" s="17">
        <v>54505.34</v>
      </c>
      <c r="F3344" s="11">
        <v>6.51</v>
      </c>
      <c r="G3344" s="9">
        <v>4009.2</v>
      </c>
      <c r="H3344" s="10">
        <v>0.55600000000000005</v>
      </c>
      <c r="I3344" s="11">
        <v>6.9</v>
      </c>
    </row>
    <row r="3345" spans="1:9" x14ac:dyDescent="0.35">
      <c r="A3345" s="2" t="s">
        <v>323</v>
      </c>
      <c r="B3345" s="3">
        <v>45505</v>
      </c>
      <c r="C3345" s="2">
        <v>27</v>
      </c>
      <c r="D3345" s="2">
        <v>35007</v>
      </c>
      <c r="E3345" s="17">
        <v>73199.58</v>
      </c>
      <c r="F3345" s="11">
        <v>6.45</v>
      </c>
      <c r="G3345" s="9">
        <v>5504.6</v>
      </c>
      <c r="H3345" s="10">
        <v>0.40699999999999997</v>
      </c>
      <c r="I3345" s="11">
        <v>7.3</v>
      </c>
    </row>
    <row r="3346" spans="1:9" x14ac:dyDescent="0.35">
      <c r="A3346" s="2" t="s">
        <v>323</v>
      </c>
      <c r="B3346" s="3">
        <v>45536</v>
      </c>
      <c r="C3346" s="2">
        <v>11</v>
      </c>
      <c r="D3346" s="2">
        <v>14319</v>
      </c>
      <c r="E3346" s="17">
        <v>30186.080000000002</v>
      </c>
      <c r="F3346" s="11">
        <v>6.8</v>
      </c>
      <c r="G3346" s="9">
        <v>2123.8000000000002</v>
      </c>
      <c r="H3346" s="10">
        <v>0.54500000000000004</v>
      </c>
      <c r="I3346" s="11">
        <v>7.6</v>
      </c>
    </row>
    <row r="3347" spans="1:9" x14ac:dyDescent="0.35">
      <c r="A3347" s="2" t="s">
        <v>323</v>
      </c>
      <c r="B3347" s="3">
        <v>45566</v>
      </c>
      <c r="C3347" s="2">
        <v>21</v>
      </c>
      <c r="D3347" s="2">
        <v>30148</v>
      </c>
      <c r="E3347" s="17">
        <v>61886.8</v>
      </c>
      <c r="F3347" s="11">
        <v>6.47</v>
      </c>
      <c r="G3347" s="9">
        <v>4622.1000000000004</v>
      </c>
      <c r="H3347" s="10">
        <v>0.57099999999999995</v>
      </c>
      <c r="I3347" s="11">
        <v>6.8</v>
      </c>
    </row>
    <row r="3348" spans="1:9" x14ac:dyDescent="0.35">
      <c r="A3348" s="2" t="s">
        <v>323</v>
      </c>
      <c r="B3348" s="3">
        <v>45597</v>
      </c>
      <c r="C3348" s="2">
        <v>25</v>
      </c>
      <c r="D3348" s="2">
        <v>39370</v>
      </c>
      <c r="E3348" s="17">
        <v>79036.08</v>
      </c>
      <c r="F3348" s="11">
        <v>6.71</v>
      </c>
      <c r="G3348" s="9">
        <v>5939.6</v>
      </c>
      <c r="H3348" s="10">
        <v>0.6</v>
      </c>
      <c r="I3348" s="11">
        <v>7.6</v>
      </c>
    </row>
    <row r="3349" spans="1:9" x14ac:dyDescent="0.35">
      <c r="A3349" s="2" t="s">
        <v>323</v>
      </c>
      <c r="B3349" s="3">
        <v>45627</v>
      </c>
      <c r="C3349" s="2">
        <v>18</v>
      </c>
      <c r="D3349" s="2">
        <v>32201</v>
      </c>
      <c r="E3349" s="17">
        <v>73679.429999999993</v>
      </c>
      <c r="F3349" s="11">
        <v>6.32</v>
      </c>
      <c r="G3349" s="9">
        <v>5114.8</v>
      </c>
      <c r="H3349" s="10">
        <v>0.33300000000000002</v>
      </c>
      <c r="I3349" s="11">
        <v>6</v>
      </c>
    </row>
    <row r="3350" spans="1:9" x14ac:dyDescent="0.35">
      <c r="A3350" s="2" t="s">
        <v>325</v>
      </c>
      <c r="B3350" s="3">
        <v>44562</v>
      </c>
      <c r="C3350" s="2">
        <v>25</v>
      </c>
      <c r="D3350" s="2">
        <v>28636</v>
      </c>
      <c r="E3350" s="17">
        <v>55893.24</v>
      </c>
      <c r="F3350" s="11">
        <v>6.64</v>
      </c>
      <c r="G3350" s="9">
        <v>4366.7</v>
      </c>
      <c r="H3350" s="10">
        <v>0.24</v>
      </c>
      <c r="I3350" s="11">
        <v>7.3</v>
      </c>
    </row>
    <row r="3351" spans="1:9" x14ac:dyDescent="0.35">
      <c r="A3351" s="2" t="s">
        <v>325</v>
      </c>
      <c r="B3351" s="3">
        <v>44593</v>
      </c>
      <c r="C3351" s="2">
        <v>23</v>
      </c>
      <c r="D3351" s="2">
        <v>38176</v>
      </c>
      <c r="E3351" s="17">
        <v>80185.31</v>
      </c>
      <c r="F3351" s="11">
        <v>6.63</v>
      </c>
      <c r="G3351" s="9">
        <v>5678.1</v>
      </c>
      <c r="H3351" s="10">
        <v>0.435</v>
      </c>
      <c r="I3351" s="11">
        <v>6.8</v>
      </c>
    </row>
    <row r="3352" spans="1:9" x14ac:dyDescent="0.35">
      <c r="A3352" s="2" t="s">
        <v>325</v>
      </c>
      <c r="B3352" s="3">
        <v>44621</v>
      </c>
      <c r="C3352" s="2">
        <v>18</v>
      </c>
      <c r="D3352" s="2">
        <v>22198</v>
      </c>
      <c r="E3352" s="17">
        <v>48313.24</v>
      </c>
      <c r="F3352" s="11">
        <v>6.51</v>
      </c>
      <c r="G3352" s="9">
        <v>3423.2</v>
      </c>
      <c r="H3352" s="10">
        <v>0.5</v>
      </c>
      <c r="I3352" s="11">
        <v>6.4</v>
      </c>
    </row>
    <row r="3353" spans="1:9" x14ac:dyDescent="0.35">
      <c r="A3353" s="2" t="s">
        <v>325</v>
      </c>
      <c r="B3353" s="3">
        <v>44652</v>
      </c>
      <c r="C3353" s="2">
        <v>17</v>
      </c>
      <c r="D3353" s="2">
        <v>24548</v>
      </c>
      <c r="E3353" s="17">
        <v>56692.75</v>
      </c>
      <c r="F3353" s="11">
        <v>6.57</v>
      </c>
      <c r="G3353" s="9">
        <v>3769.1</v>
      </c>
      <c r="H3353" s="10">
        <v>0.47099999999999997</v>
      </c>
      <c r="I3353" s="11">
        <v>7.6</v>
      </c>
    </row>
    <row r="3354" spans="1:9" x14ac:dyDescent="0.35">
      <c r="A3354" s="2" t="s">
        <v>325</v>
      </c>
      <c r="B3354" s="3">
        <v>44682</v>
      </c>
      <c r="C3354" s="2">
        <v>25</v>
      </c>
      <c r="D3354" s="2">
        <v>38573</v>
      </c>
      <c r="E3354" s="17">
        <v>82361.19</v>
      </c>
      <c r="F3354" s="11">
        <v>6.37</v>
      </c>
      <c r="G3354" s="9">
        <v>6051.2</v>
      </c>
      <c r="H3354" s="10">
        <v>0.48</v>
      </c>
      <c r="I3354" s="11">
        <v>7.4</v>
      </c>
    </row>
    <row r="3355" spans="1:9" x14ac:dyDescent="0.35">
      <c r="A3355" s="2" t="s">
        <v>325</v>
      </c>
      <c r="B3355" s="3">
        <v>44713</v>
      </c>
      <c r="C3355" s="2">
        <v>22</v>
      </c>
      <c r="D3355" s="2">
        <v>32251</v>
      </c>
      <c r="E3355" s="17">
        <v>71214.960000000006</v>
      </c>
      <c r="F3355" s="11">
        <v>6.35</v>
      </c>
      <c r="G3355" s="9">
        <v>5125</v>
      </c>
      <c r="H3355" s="10">
        <v>0.27300000000000002</v>
      </c>
      <c r="I3355" s="11">
        <v>6.7</v>
      </c>
    </row>
    <row r="3356" spans="1:9" x14ac:dyDescent="0.35">
      <c r="A3356" s="2" t="s">
        <v>325</v>
      </c>
      <c r="B3356" s="3">
        <v>44743</v>
      </c>
      <c r="C3356" s="2">
        <v>17</v>
      </c>
      <c r="D3356" s="2">
        <v>21515</v>
      </c>
      <c r="E3356" s="17">
        <v>46642.91</v>
      </c>
      <c r="F3356" s="11">
        <v>6.38</v>
      </c>
      <c r="G3356" s="9">
        <v>3438.2</v>
      </c>
      <c r="H3356" s="10">
        <v>0.41199999999999998</v>
      </c>
      <c r="I3356" s="11">
        <v>6.6</v>
      </c>
    </row>
    <row r="3357" spans="1:9" x14ac:dyDescent="0.35">
      <c r="A3357" s="2" t="s">
        <v>325</v>
      </c>
      <c r="B3357" s="3">
        <v>44774</v>
      </c>
      <c r="C3357" s="2">
        <v>20</v>
      </c>
      <c r="D3357" s="2">
        <v>27942</v>
      </c>
      <c r="E3357" s="17">
        <v>57577.52</v>
      </c>
      <c r="F3357" s="11">
        <v>6.36</v>
      </c>
      <c r="G3357" s="9">
        <v>4451.7</v>
      </c>
      <c r="H3357" s="10">
        <v>0.5</v>
      </c>
      <c r="I3357" s="11">
        <v>8.1</v>
      </c>
    </row>
    <row r="3358" spans="1:9" x14ac:dyDescent="0.35">
      <c r="A3358" s="2" t="s">
        <v>325</v>
      </c>
      <c r="B3358" s="3">
        <v>44805</v>
      </c>
      <c r="C3358" s="2">
        <v>21</v>
      </c>
      <c r="D3358" s="2">
        <v>32927</v>
      </c>
      <c r="E3358" s="17">
        <v>69950.39</v>
      </c>
      <c r="F3358" s="11">
        <v>6.32</v>
      </c>
      <c r="G3358" s="9">
        <v>5279</v>
      </c>
      <c r="H3358" s="10">
        <v>0.38100000000000001</v>
      </c>
      <c r="I3358" s="11">
        <v>6.4</v>
      </c>
    </row>
    <row r="3359" spans="1:9" x14ac:dyDescent="0.35">
      <c r="A3359" s="2" t="s">
        <v>325</v>
      </c>
      <c r="B3359" s="3">
        <v>44835</v>
      </c>
      <c r="C3359" s="2">
        <v>18</v>
      </c>
      <c r="D3359" s="2">
        <v>22705</v>
      </c>
      <c r="E3359" s="17">
        <v>53011.94</v>
      </c>
      <c r="F3359" s="11">
        <v>6.43</v>
      </c>
      <c r="G3359" s="9">
        <v>3589.4</v>
      </c>
      <c r="H3359" s="10">
        <v>0.33300000000000002</v>
      </c>
      <c r="I3359" s="11">
        <v>6.4</v>
      </c>
    </row>
    <row r="3360" spans="1:9" x14ac:dyDescent="0.35">
      <c r="A3360" s="2" t="s">
        <v>325</v>
      </c>
      <c r="B3360" s="3">
        <v>44866</v>
      </c>
      <c r="C3360" s="2">
        <v>17</v>
      </c>
      <c r="D3360" s="2">
        <v>17917</v>
      </c>
      <c r="E3360" s="17">
        <v>36378.83</v>
      </c>
      <c r="F3360" s="11">
        <v>6.33</v>
      </c>
      <c r="G3360" s="9">
        <v>2866.6</v>
      </c>
      <c r="H3360" s="10">
        <v>0.47099999999999997</v>
      </c>
      <c r="I3360" s="11">
        <v>5.9</v>
      </c>
    </row>
    <row r="3361" spans="1:9" x14ac:dyDescent="0.35">
      <c r="A3361" s="2" t="s">
        <v>325</v>
      </c>
      <c r="B3361" s="3">
        <v>44896</v>
      </c>
      <c r="C3361" s="2">
        <v>14</v>
      </c>
      <c r="D3361" s="2">
        <v>24014</v>
      </c>
      <c r="E3361" s="17">
        <v>48442.65</v>
      </c>
      <c r="F3361" s="11">
        <v>6.54</v>
      </c>
      <c r="G3361" s="9">
        <v>3663.9</v>
      </c>
      <c r="H3361" s="10">
        <v>0.64300000000000002</v>
      </c>
      <c r="I3361" s="11">
        <v>6.5</v>
      </c>
    </row>
    <row r="3362" spans="1:9" x14ac:dyDescent="0.35">
      <c r="A3362" s="2" t="s">
        <v>325</v>
      </c>
      <c r="B3362" s="3">
        <v>44927</v>
      </c>
      <c r="C3362" s="2">
        <v>23</v>
      </c>
      <c r="D3362" s="2">
        <v>20916</v>
      </c>
      <c r="E3362" s="17">
        <v>43586.47</v>
      </c>
      <c r="F3362" s="11">
        <v>6.45</v>
      </c>
      <c r="G3362" s="9">
        <v>3243.3</v>
      </c>
      <c r="H3362" s="10">
        <v>0.435</v>
      </c>
      <c r="I3362" s="11">
        <v>5.8</v>
      </c>
    </row>
    <row r="3363" spans="1:9" x14ac:dyDescent="0.35">
      <c r="A3363" s="2" t="s">
        <v>325</v>
      </c>
      <c r="B3363" s="3">
        <v>44958</v>
      </c>
      <c r="C3363" s="2">
        <v>14</v>
      </c>
      <c r="D3363" s="2">
        <v>24641</v>
      </c>
      <c r="E3363" s="17">
        <v>51744.41</v>
      </c>
      <c r="F3363" s="11">
        <v>6.26</v>
      </c>
      <c r="G3363" s="9">
        <v>4008.2</v>
      </c>
      <c r="H3363" s="10">
        <v>0.42899999999999999</v>
      </c>
      <c r="I3363" s="11">
        <v>7.8</v>
      </c>
    </row>
    <row r="3364" spans="1:9" x14ac:dyDescent="0.35">
      <c r="A3364" s="2" t="s">
        <v>325</v>
      </c>
      <c r="B3364" s="3">
        <v>44986</v>
      </c>
      <c r="C3364" s="2">
        <v>21</v>
      </c>
      <c r="D3364" s="2">
        <v>32662</v>
      </c>
      <c r="E3364" s="17">
        <v>70904.350000000006</v>
      </c>
      <c r="F3364" s="11">
        <v>6.5</v>
      </c>
      <c r="G3364" s="9">
        <v>5091.5</v>
      </c>
      <c r="H3364" s="10">
        <v>0.42899999999999999</v>
      </c>
      <c r="I3364" s="11">
        <v>7.8</v>
      </c>
    </row>
    <row r="3365" spans="1:9" x14ac:dyDescent="0.35">
      <c r="A3365" s="2" t="s">
        <v>325</v>
      </c>
      <c r="B3365" s="3">
        <v>45017</v>
      </c>
      <c r="C3365" s="2">
        <v>20</v>
      </c>
      <c r="D3365" s="2">
        <v>30022</v>
      </c>
      <c r="E3365" s="17">
        <v>59679.75</v>
      </c>
      <c r="F3365" s="11">
        <v>6.44</v>
      </c>
      <c r="G3365" s="9">
        <v>4736.8</v>
      </c>
      <c r="H3365" s="10">
        <v>0.65</v>
      </c>
      <c r="I3365" s="11">
        <v>5.7</v>
      </c>
    </row>
    <row r="3366" spans="1:9" x14ac:dyDescent="0.35">
      <c r="A3366" s="2" t="s">
        <v>325</v>
      </c>
      <c r="B3366" s="3">
        <v>45047</v>
      </c>
      <c r="C3366" s="2">
        <v>18</v>
      </c>
      <c r="D3366" s="2">
        <v>29695</v>
      </c>
      <c r="E3366" s="17">
        <v>59663.29</v>
      </c>
      <c r="F3366" s="11">
        <v>6.39</v>
      </c>
      <c r="G3366" s="9">
        <v>4726.8</v>
      </c>
      <c r="H3366" s="10">
        <v>0.66700000000000004</v>
      </c>
      <c r="I3366" s="11">
        <v>8.1</v>
      </c>
    </row>
    <row r="3367" spans="1:9" x14ac:dyDescent="0.35">
      <c r="A3367" s="2" t="s">
        <v>325</v>
      </c>
      <c r="B3367" s="3">
        <v>45078</v>
      </c>
      <c r="C3367" s="2">
        <v>17</v>
      </c>
      <c r="D3367" s="2">
        <v>30384</v>
      </c>
      <c r="E3367" s="17">
        <v>59372.75</v>
      </c>
      <c r="F3367" s="11">
        <v>6.49</v>
      </c>
      <c r="G3367" s="9">
        <v>4761.5</v>
      </c>
      <c r="H3367" s="10">
        <v>0.52900000000000003</v>
      </c>
      <c r="I3367" s="11">
        <v>6.4</v>
      </c>
    </row>
    <row r="3368" spans="1:9" x14ac:dyDescent="0.35">
      <c r="A3368" s="2" t="s">
        <v>325</v>
      </c>
      <c r="B3368" s="3">
        <v>45108</v>
      </c>
      <c r="C3368" s="2">
        <v>25</v>
      </c>
      <c r="D3368" s="2">
        <v>31342</v>
      </c>
      <c r="E3368" s="17">
        <v>61136.63</v>
      </c>
      <c r="F3368" s="11">
        <v>6.55</v>
      </c>
      <c r="G3368" s="9">
        <v>4893.8999999999996</v>
      </c>
      <c r="H3368" s="10">
        <v>0.52</v>
      </c>
      <c r="I3368" s="11">
        <v>7.4</v>
      </c>
    </row>
    <row r="3369" spans="1:9" x14ac:dyDescent="0.35">
      <c r="A3369" s="2" t="s">
        <v>325</v>
      </c>
      <c r="B3369" s="3">
        <v>45139</v>
      </c>
      <c r="C3369" s="2">
        <v>13</v>
      </c>
      <c r="D3369" s="2">
        <v>23492</v>
      </c>
      <c r="E3369" s="17">
        <v>45893.74</v>
      </c>
      <c r="F3369" s="11">
        <v>6.44</v>
      </c>
      <c r="G3369" s="9">
        <v>3736</v>
      </c>
      <c r="H3369" s="10">
        <v>0.61499999999999999</v>
      </c>
      <c r="I3369" s="11">
        <v>7.5</v>
      </c>
    </row>
    <row r="3370" spans="1:9" x14ac:dyDescent="0.35">
      <c r="A3370" s="2" t="s">
        <v>325</v>
      </c>
      <c r="B3370" s="3">
        <v>45170</v>
      </c>
      <c r="C3370" s="2">
        <v>25</v>
      </c>
      <c r="D3370" s="2">
        <v>35587</v>
      </c>
      <c r="E3370" s="17">
        <v>76465.289999999994</v>
      </c>
      <c r="F3370" s="11">
        <v>6.24</v>
      </c>
      <c r="G3370" s="9">
        <v>5781.1</v>
      </c>
      <c r="H3370" s="10">
        <v>0.44</v>
      </c>
      <c r="I3370" s="11">
        <v>5.4</v>
      </c>
    </row>
    <row r="3371" spans="1:9" x14ac:dyDescent="0.35">
      <c r="A3371" s="2" t="s">
        <v>325</v>
      </c>
      <c r="B3371" s="3">
        <v>45200</v>
      </c>
      <c r="C3371" s="2">
        <v>17</v>
      </c>
      <c r="D3371" s="2">
        <v>25777</v>
      </c>
      <c r="E3371" s="17">
        <v>49419.58</v>
      </c>
      <c r="F3371" s="11">
        <v>6.33</v>
      </c>
      <c r="G3371" s="9">
        <v>4125.7</v>
      </c>
      <c r="H3371" s="10">
        <v>0.35299999999999998</v>
      </c>
      <c r="I3371" s="11">
        <v>7</v>
      </c>
    </row>
    <row r="3372" spans="1:9" x14ac:dyDescent="0.35">
      <c r="A3372" s="2" t="s">
        <v>325</v>
      </c>
      <c r="B3372" s="3">
        <v>45231</v>
      </c>
      <c r="C3372" s="2">
        <v>17</v>
      </c>
      <c r="D3372" s="2">
        <v>23191</v>
      </c>
      <c r="E3372" s="17">
        <v>54765.95</v>
      </c>
      <c r="F3372" s="11">
        <v>6.68</v>
      </c>
      <c r="G3372" s="9">
        <v>3515.3</v>
      </c>
      <c r="H3372" s="10">
        <v>0.64700000000000002</v>
      </c>
      <c r="I3372" s="11">
        <v>7.9</v>
      </c>
    </row>
    <row r="3373" spans="1:9" x14ac:dyDescent="0.35">
      <c r="A3373" s="2" t="s">
        <v>325</v>
      </c>
      <c r="B3373" s="3">
        <v>45261</v>
      </c>
      <c r="C3373" s="2">
        <v>13</v>
      </c>
      <c r="D3373" s="2">
        <v>22447</v>
      </c>
      <c r="E3373" s="17">
        <v>46608.51</v>
      </c>
      <c r="F3373" s="11">
        <v>6.47</v>
      </c>
      <c r="G3373" s="9">
        <v>3464</v>
      </c>
      <c r="H3373" s="10">
        <v>0.76900000000000002</v>
      </c>
      <c r="I3373" s="11">
        <v>7</v>
      </c>
    </row>
    <row r="3374" spans="1:9" x14ac:dyDescent="0.35">
      <c r="A3374" s="2" t="s">
        <v>325</v>
      </c>
      <c r="B3374" s="3">
        <v>45292</v>
      </c>
      <c r="C3374" s="2">
        <v>20</v>
      </c>
      <c r="D3374" s="2">
        <v>25942</v>
      </c>
      <c r="E3374" s="17">
        <v>55438.22</v>
      </c>
      <c r="F3374" s="11">
        <v>6.58</v>
      </c>
      <c r="G3374" s="9">
        <v>3984.2</v>
      </c>
      <c r="H3374" s="10">
        <v>0.55000000000000004</v>
      </c>
      <c r="I3374" s="11">
        <v>7.2</v>
      </c>
    </row>
    <row r="3375" spans="1:9" x14ac:dyDescent="0.35">
      <c r="A3375" s="2" t="s">
        <v>325</v>
      </c>
      <c r="B3375" s="3">
        <v>45323</v>
      </c>
      <c r="C3375" s="2">
        <v>16</v>
      </c>
      <c r="D3375" s="2">
        <v>24296</v>
      </c>
      <c r="E3375" s="17">
        <v>52813.7</v>
      </c>
      <c r="F3375" s="11">
        <v>6.19</v>
      </c>
      <c r="G3375" s="9">
        <v>3974.3</v>
      </c>
      <c r="H3375" s="10">
        <v>0.5</v>
      </c>
      <c r="I3375" s="11">
        <v>7.3</v>
      </c>
    </row>
    <row r="3376" spans="1:9" x14ac:dyDescent="0.35">
      <c r="A3376" s="2" t="s">
        <v>325</v>
      </c>
      <c r="B3376" s="3">
        <v>45352</v>
      </c>
      <c r="C3376" s="2">
        <v>18</v>
      </c>
      <c r="D3376" s="2">
        <v>27945</v>
      </c>
      <c r="E3376" s="17">
        <v>58064.02</v>
      </c>
      <c r="F3376" s="11">
        <v>6.57</v>
      </c>
      <c r="G3376" s="9">
        <v>4223</v>
      </c>
      <c r="H3376" s="10">
        <v>0.27800000000000002</v>
      </c>
      <c r="I3376" s="11">
        <v>8</v>
      </c>
    </row>
    <row r="3377" spans="1:9" x14ac:dyDescent="0.35">
      <c r="A3377" s="2" t="s">
        <v>325</v>
      </c>
      <c r="B3377" s="3">
        <v>45383</v>
      </c>
      <c r="C3377" s="2">
        <v>16</v>
      </c>
      <c r="D3377" s="2">
        <v>24694</v>
      </c>
      <c r="E3377" s="17">
        <v>53331.8</v>
      </c>
      <c r="F3377" s="11">
        <v>6.32</v>
      </c>
      <c r="G3377" s="9">
        <v>4008.8</v>
      </c>
      <c r="H3377" s="10">
        <v>0.438</v>
      </c>
      <c r="I3377" s="11">
        <v>7.7</v>
      </c>
    </row>
    <row r="3378" spans="1:9" x14ac:dyDescent="0.35">
      <c r="A3378" s="2" t="s">
        <v>325</v>
      </c>
      <c r="B3378" s="3">
        <v>45413</v>
      </c>
      <c r="C3378" s="2">
        <v>14</v>
      </c>
      <c r="D3378" s="2">
        <v>15501</v>
      </c>
      <c r="E3378" s="17">
        <v>36438.120000000003</v>
      </c>
      <c r="F3378" s="11">
        <v>6.4</v>
      </c>
      <c r="G3378" s="9">
        <v>2418</v>
      </c>
      <c r="H3378" s="10">
        <v>0.214</v>
      </c>
      <c r="I3378" s="11">
        <v>7.6</v>
      </c>
    </row>
    <row r="3379" spans="1:9" x14ac:dyDescent="0.35">
      <c r="A3379" s="2" t="s">
        <v>325</v>
      </c>
      <c r="B3379" s="3">
        <v>45444</v>
      </c>
      <c r="C3379" s="2">
        <v>14</v>
      </c>
      <c r="D3379" s="2">
        <v>16523</v>
      </c>
      <c r="E3379" s="17">
        <v>35141.26</v>
      </c>
      <c r="F3379" s="11">
        <v>6.33</v>
      </c>
      <c r="G3379" s="9">
        <v>2561.6</v>
      </c>
      <c r="H3379" s="10">
        <v>0.5</v>
      </c>
      <c r="I3379" s="11">
        <v>6.6</v>
      </c>
    </row>
    <row r="3380" spans="1:9" x14ac:dyDescent="0.35">
      <c r="A3380" s="2" t="s">
        <v>325</v>
      </c>
      <c r="B3380" s="3">
        <v>45474</v>
      </c>
      <c r="C3380" s="2">
        <v>21</v>
      </c>
      <c r="D3380" s="2">
        <v>30610</v>
      </c>
      <c r="E3380" s="17">
        <v>63944.43</v>
      </c>
      <c r="F3380" s="11">
        <v>6.33</v>
      </c>
      <c r="G3380" s="9">
        <v>4901</v>
      </c>
      <c r="H3380" s="10">
        <v>0.47599999999999998</v>
      </c>
      <c r="I3380" s="11">
        <v>6.4</v>
      </c>
    </row>
    <row r="3381" spans="1:9" x14ac:dyDescent="0.35">
      <c r="A3381" s="2" t="s">
        <v>325</v>
      </c>
      <c r="B3381" s="3">
        <v>45505</v>
      </c>
      <c r="C3381" s="2">
        <v>19</v>
      </c>
      <c r="D3381" s="2">
        <v>30796</v>
      </c>
      <c r="E3381" s="17">
        <v>70786.44</v>
      </c>
      <c r="F3381" s="11">
        <v>6.8</v>
      </c>
      <c r="G3381" s="9">
        <v>4590.7</v>
      </c>
      <c r="H3381" s="10">
        <v>0.63200000000000001</v>
      </c>
      <c r="I3381" s="11">
        <v>7.2</v>
      </c>
    </row>
    <row r="3382" spans="1:9" x14ac:dyDescent="0.35">
      <c r="A3382" s="2" t="s">
        <v>325</v>
      </c>
      <c r="B3382" s="3">
        <v>45536</v>
      </c>
      <c r="C3382" s="2">
        <v>22</v>
      </c>
      <c r="D3382" s="2">
        <v>34227</v>
      </c>
      <c r="E3382" s="17">
        <v>82662.740000000005</v>
      </c>
      <c r="F3382" s="11">
        <v>6.45</v>
      </c>
      <c r="G3382" s="9">
        <v>5352.4</v>
      </c>
      <c r="H3382" s="10">
        <v>0.54500000000000004</v>
      </c>
      <c r="I3382" s="11">
        <v>6.4</v>
      </c>
    </row>
    <row r="3383" spans="1:9" x14ac:dyDescent="0.35">
      <c r="A3383" s="2" t="s">
        <v>325</v>
      </c>
      <c r="B3383" s="3">
        <v>45566</v>
      </c>
      <c r="C3383" s="2">
        <v>14</v>
      </c>
      <c r="D3383" s="2">
        <v>23710</v>
      </c>
      <c r="E3383" s="17">
        <v>50312.04</v>
      </c>
      <c r="F3383" s="11">
        <v>6.28</v>
      </c>
      <c r="G3383" s="9">
        <v>3859.4</v>
      </c>
      <c r="H3383" s="10">
        <v>0.78600000000000003</v>
      </c>
      <c r="I3383" s="11">
        <v>7.4</v>
      </c>
    </row>
    <row r="3384" spans="1:9" x14ac:dyDescent="0.35">
      <c r="A3384" s="2" t="s">
        <v>325</v>
      </c>
      <c r="B3384" s="3">
        <v>45597</v>
      </c>
      <c r="C3384" s="2">
        <v>16</v>
      </c>
      <c r="D3384" s="2">
        <v>17565</v>
      </c>
      <c r="E3384" s="17">
        <v>35582.19</v>
      </c>
      <c r="F3384" s="11">
        <v>6.49</v>
      </c>
      <c r="G3384" s="9">
        <v>2756</v>
      </c>
      <c r="H3384" s="10">
        <v>0.56200000000000006</v>
      </c>
      <c r="I3384" s="11">
        <v>7.9</v>
      </c>
    </row>
    <row r="3385" spans="1:9" x14ac:dyDescent="0.35">
      <c r="A3385" s="2" t="s">
        <v>325</v>
      </c>
      <c r="B3385" s="3">
        <v>45627</v>
      </c>
      <c r="C3385" s="2">
        <v>15</v>
      </c>
      <c r="D3385" s="2">
        <v>18615</v>
      </c>
      <c r="E3385" s="17">
        <v>39750.58</v>
      </c>
      <c r="F3385" s="11">
        <v>6.51</v>
      </c>
      <c r="G3385" s="9">
        <v>2846.7</v>
      </c>
      <c r="H3385" s="10">
        <v>0.46700000000000003</v>
      </c>
      <c r="I3385" s="11">
        <v>6.2</v>
      </c>
    </row>
    <row r="3386" spans="1:9" x14ac:dyDescent="0.35">
      <c r="A3386" s="2" t="s">
        <v>327</v>
      </c>
      <c r="B3386" s="3">
        <v>44562</v>
      </c>
      <c r="C3386" s="2">
        <v>26</v>
      </c>
      <c r="D3386" s="2">
        <v>42855</v>
      </c>
      <c r="E3386" s="17">
        <v>96489.2</v>
      </c>
      <c r="F3386" s="11">
        <v>6.41</v>
      </c>
      <c r="G3386" s="9">
        <v>6705</v>
      </c>
      <c r="H3386" s="10">
        <v>0.46200000000000002</v>
      </c>
      <c r="I3386" s="11">
        <v>7.5</v>
      </c>
    </row>
    <row r="3387" spans="1:9" x14ac:dyDescent="0.35">
      <c r="A3387" s="2" t="s">
        <v>327</v>
      </c>
      <c r="B3387" s="3">
        <v>44593</v>
      </c>
      <c r="C3387" s="2">
        <v>18</v>
      </c>
      <c r="D3387" s="2">
        <v>28546</v>
      </c>
      <c r="E3387" s="17">
        <v>65919.27</v>
      </c>
      <c r="F3387" s="11">
        <v>6.31</v>
      </c>
      <c r="G3387" s="9">
        <v>4553.5</v>
      </c>
      <c r="H3387" s="10">
        <v>0.5</v>
      </c>
      <c r="I3387" s="11">
        <v>7.1</v>
      </c>
    </row>
    <row r="3388" spans="1:9" x14ac:dyDescent="0.35">
      <c r="A3388" s="2" t="s">
        <v>327</v>
      </c>
      <c r="B3388" s="3">
        <v>44621</v>
      </c>
      <c r="C3388" s="2">
        <v>13</v>
      </c>
      <c r="D3388" s="2">
        <v>25751</v>
      </c>
      <c r="E3388" s="17">
        <v>50085.85</v>
      </c>
      <c r="F3388" s="11">
        <v>6.45</v>
      </c>
      <c r="G3388" s="9">
        <v>3994</v>
      </c>
      <c r="H3388" s="10">
        <v>0.53800000000000003</v>
      </c>
      <c r="I3388" s="11">
        <v>6</v>
      </c>
    </row>
    <row r="3389" spans="1:9" x14ac:dyDescent="0.35">
      <c r="A3389" s="2" t="s">
        <v>327</v>
      </c>
      <c r="B3389" s="3">
        <v>44652</v>
      </c>
      <c r="C3389" s="2">
        <v>15</v>
      </c>
      <c r="D3389" s="2">
        <v>21938</v>
      </c>
      <c r="E3389" s="17">
        <v>49934.47</v>
      </c>
      <c r="F3389" s="11">
        <v>6.53</v>
      </c>
      <c r="G3389" s="9">
        <v>3393</v>
      </c>
      <c r="H3389" s="10">
        <v>0.33300000000000002</v>
      </c>
      <c r="I3389" s="11">
        <v>6.8</v>
      </c>
    </row>
    <row r="3390" spans="1:9" x14ac:dyDescent="0.35">
      <c r="A3390" s="2" t="s">
        <v>327</v>
      </c>
      <c r="B3390" s="3">
        <v>44682</v>
      </c>
      <c r="C3390" s="2">
        <v>15</v>
      </c>
      <c r="D3390" s="2">
        <v>20938</v>
      </c>
      <c r="E3390" s="17">
        <v>46343.82</v>
      </c>
      <c r="F3390" s="11">
        <v>6.3</v>
      </c>
      <c r="G3390" s="9">
        <v>3344.6</v>
      </c>
      <c r="H3390" s="10">
        <v>0.53300000000000003</v>
      </c>
      <c r="I3390" s="11">
        <v>7.2</v>
      </c>
    </row>
    <row r="3391" spans="1:9" x14ac:dyDescent="0.35">
      <c r="A3391" s="2" t="s">
        <v>327</v>
      </c>
      <c r="B3391" s="3">
        <v>44713</v>
      </c>
      <c r="C3391" s="2">
        <v>12</v>
      </c>
      <c r="D3391" s="2">
        <v>21275</v>
      </c>
      <c r="E3391" s="17">
        <v>40447.620000000003</v>
      </c>
      <c r="F3391" s="11">
        <v>6.48</v>
      </c>
      <c r="G3391" s="9">
        <v>3343.8</v>
      </c>
      <c r="H3391" s="10">
        <v>0.41699999999999998</v>
      </c>
      <c r="I3391" s="11">
        <v>7.4</v>
      </c>
    </row>
    <row r="3392" spans="1:9" x14ac:dyDescent="0.35">
      <c r="A3392" s="2" t="s">
        <v>327</v>
      </c>
      <c r="B3392" s="3">
        <v>44743</v>
      </c>
      <c r="C3392" s="2">
        <v>26</v>
      </c>
      <c r="D3392" s="2">
        <v>38691</v>
      </c>
      <c r="E3392" s="17">
        <v>81028.679999999993</v>
      </c>
      <c r="F3392" s="11">
        <v>6.36</v>
      </c>
      <c r="G3392" s="9">
        <v>6137.8</v>
      </c>
      <c r="H3392" s="10">
        <v>0.34599999999999997</v>
      </c>
      <c r="I3392" s="11">
        <v>7</v>
      </c>
    </row>
    <row r="3393" spans="1:9" x14ac:dyDescent="0.35">
      <c r="A3393" s="2" t="s">
        <v>327</v>
      </c>
      <c r="B3393" s="3">
        <v>44774</v>
      </c>
      <c r="C3393" s="2">
        <v>14</v>
      </c>
      <c r="D3393" s="2">
        <v>17874</v>
      </c>
      <c r="E3393" s="17">
        <v>36326.6</v>
      </c>
      <c r="F3393" s="11">
        <v>6.58</v>
      </c>
      <c r="G3393" s="9">
        <v>2729.9</v>
      </c>
      <c r="H3393" s="10">
        <v>0.71399999999999997</v>
      </c>
      <c r="I3393" s="11">
        <v>7.9</v>
      </c>
    </row>
    <row r="3394" spans="1:9" x14ac:dyDescent="0.35">
      <c r="A3394" s="2" t="s">
        <v>327</v>
      </c>
      <c r="B3394" s="3">
        <v>44805</v>
      </c>
      <c r="C3394" s="2">
        <v>17</v>
      </c>
      <c r="D3394" s="2">
        <v>24373</v>
      </c>
      <c r="E3394" s="17">
        <v>52076.54</v>
      </c>
      <c r="F3394" s="11">
        <v>6.57</v>
      </c>
      <c r="G3394" s="9">
        <v>3773.1</v>
      </c>
      <c r="H3394" s="10">
        <v>0.29399999999999998</v>
      </c>
      <c r="I3394" s="11">
        <v>6.7</v>
      </c>
    </row>
    <row r="3395" spans="1:9" x14ac:dyDescent="0.35">
      <c r="A3395" s="2" t="s">
        <v>327</v>
      </c>
      <c r="B3395" s="3">
        <v>44835</v>
      </c>
      <c r="C3395" s="2">
        <v>23</v>
      </c>
      <c r="D3395" s="2">
        <v>27079</v>
      </c>
      <c r="E3395" s="17">
        <v>57369.48</v>
      </c>
      <c r="F3395" s="11">
        <v>6.28</v>
      </c>
      <c r="G3395" s="9">
        <v>4274.1000000000004</v>
      </c>
      <c r="H3395" s="10">
        <v>0.435</v>
      </c>
      <c r="I3395" s="11">
        <v>6.4</v>
      </c>
    </row>
    <row r="3396" spans="1:9" x14ac:dyDescent="0.35">
      <c r="A3396" s="2" t="s">
        <v>327</v>
      </c>
      <c r="B3396" s="3">
        <v>44866</v>
      </c>
      <c r="C3396" s="2">
        <v>20</v>
      </c>
      <c r="D3396" s="2">
        <v>27159</v>
      </c>
      <c r="E3396" s="17">
        <v>67462.2</v>
      </c>
      <c r="F3396" s="11">
        <v>6.45</v>
      </c>
      <c r="G3396" s="9">
        <v>4235.8</v>
      </c>
      <c r="H3396" s="10">
        <v>0.4</v>
      </c>
      <c r="I3396" s="11">
        <v>8</v>
      </c>
    </row>
    <row r="3397" spans="1:9" x14ac:dyDescent="0.35">
      <c r="A3397" s="2" t="s">
        <v>327</v>
      </c>
      <c r="B3397" s="3">
        <v>44896</v>
      </c>
      <c r="C3397" s="2">
        <v>26</v>
      </c>
      <c r="D3397" s="2">
        <v>33360</v>
      </c>
      <c r="E3397" s="17">
        <v>70420.58</v>
      </c>
      <c r="F3397" s="11">
        <v>6.36</v>
      </c>
      <c r="G3397" s="9">
        <v>5310.6</v>
      </c>
      <c r="H3397" s="10">
        <v>0.42299999999999999</v>
      </c>
      <c r="I3397" s="11">
        <v>6.6</v>
      </c>
    </row>
    <row r="3398" spans="1:9" x14ac:dyDescent="0.35">
      <c r="A3398" s="2" t="s">
        <v>327</v>
      </c>
      <c r="B3398" s="3">
        <v>44927</v>
      </c>
      <c r="C3398" s="2">
        <v>25</v>
      </c>
      <c r="D3398" s="2">
        <v>38340</v>
      </c>
      <c r="E3398" s="17">
        <v>82150.83</v>
      </c>
      <c r="F3398" s="11">
        <v>6.36</v>
      </c>
      <c r="G3398" s="9">
        <v>5975</v>
      </c>
      <c r="H3398" s="10">
        <v>0.32</v>
      </c>
      <c r="I3398" s="11">
        <v>7.1</v>
      </c>
    </row>
    <row r="3399" spans="1:9" x14ac:dyDescent="0.35">
      <c r="A3399" s="2" t="s">
        <v>327</v>
      </c>
      <c r="B3399" s="3">
        <v>44958</v>
      </c>
      <c r="C3399" s="2">
        <v>23</v>
      </c>
      <c r="D3399" s="2">
        <v>37237</v>
      </c>
      <c r="E3399" s="17">
        <v>85629.8</v>
      </c>
      <c r="F3399" s="11">
        <v>6.75</v>
      </c>
      <c r="G3399" s="9">
        <v>5607.8</v>
      </c>
      <c r="H3399" s="10">
        <v>0.39100000000000001</v>
      </c>
      <c r="I3399" s="11">
        <v>6.5</v>
      </c>
    </row>
    <row r="3400" spans="1:9" x14ac:dyDescent="0.35">
      <c r="A3400" s="2" t="s">
        <v>327</v>
      </c>
      <c r="B3400" s="3">
        <v>44986</v>
      </c>
      <c r="C3400" s="2">
        <v>16</v>
      </c>
      <c r="D3400" s="2">
        <v>35205</v>
      </c>
      <c r="E3400" s="17">
        <v>72457.38</v>
      </c>
      <c r="F3400" s="11">
        <v>6.45</v>
      </c>
      <c r="G3400" s="9">
        <v>5504</v>
      </c>
      <c r="H3400" s="10">
        <v>0.56200000000000006</v>
      </c>
      <c r="I3400" s="11">
        <v>7</v>
      </c>
    </row>
    <row r="3401" spans="1:9" x14ac:dyDescent="0.35">
      <c r="A3401" s="2" t="s">
        <v>327</v>
      </c>
      <c r="B3401" s="3">
        <v>45017</v>
      </c>
      <c r="C3401" s="2">
        <v>18</v>
      </c>
      <c r="D3401" s="2">
        <v>23488</v>
      </c>
      <c r="E3401" s="17">
        <v>47535.14</v>
      </c>
      <c r="F3401" s="11">
        <v>6.73</v>
      </c>
      <c r="G3401" s="9">
        <v>3583.7</v>
      </c>
      <c r="H3401" s="10">
        <v>0.38900000000000001</v>
      </c>
      <c r="I3401" s="11">
        <v>6.4</v>
      </c>
    </row>
    <row r="3402" spans="1:9" x14ac:dyDescent="0.35">
      <c r="A3402" s="2" t="s">
        <v>327</v>
      </c>
      <c r="B3402" s="3">
        <v>45047</v>
      </c>
      <c r="C3402" s="2">
        <v>21</v>
      </c>
      <c r="D3402" s="2">
        <v>35473</v>
      </c>
      <c r="E3402" s="17">
        <v>79758.69</v>
      </c>
      <c r="F3402" s="11">
        <v>6.33</v>
      </c>
      <c r="G3402" s="9">
        <v>5644.2</v>
      </c>
      <c r="H3402" s="10">
        <v>0.47599999999999998</v>
      </c>
      <c r="I3402" s="11">
        <v>8.4</v>
      </c>
    </row>
    <row r="3403" spans="1:9" x14ac:dyDescent="0.35">
      <c r="A3403" s="2" t="s">
        <v>327</v>
      </c>
      <c r="B3403" s="3">
        <v>45078</v>
      </c>
      <c r="C3403" s="2">
        <v>25</v>
      </c>
      <c r="D3403" s="2">
        <v>38266</v>
      </c>
      <c r="E3403" s="17">
        <v>88472.31</v>
      </c>
      <c r="F3403" s="11">
        <v>6.5</v>
      </c>
      <c r="G3403" s="9">
        <v>5908.6</v>
      </c>
      <c r="H3403" s="10">
        <v>0.6</v>
      </c>
      <c r="I3403" s="11">
        <v>6.7</v>
      </c>
    </row>
    <row r="3404" spans="1:9" x14ac:dyDescent="0.35">
      <c r="A3404" s="2" t="s">
        <v>327</v>
      </c>
      <c r="B3404" s="3">
        <v>45108</v>
      </c>
      <c r="C3404" s="2">
        <v>15</v>
      </c>
      <c r="D3404" s="2">
        <v>18274</v>
      </c>
      <c r="E3404" s="17">
        <v>39558.79</v>
      </c>
      <c r="F3404" s="11">
        <v>6.51</v>
      </c>
      <c r="G3404" s="9">
        <v>2832.5</v>
      </c>
      <c r="H3404" s="10">
        <v>0.13300000000000001</v>
      </c>
      <c r="I3404" s="11">
        <v>6.7</v>
      </c>
    </row>
    <row r="3405" spans="1:9" x14ac:dyDescent="0.35">
      <c r="A3405" s="2" t="s">
        <v>327</v>
      </c>
      <c r="B3405" s="3">
        <v>45139</v>
      </c>
      <c r="C3405" s="2">
        <v>20</v>
      </c>
      <c r="D3405" s="2">
        <v>27562</v>
      </c>
      <c r="E3405" s="17">
        <v>52105.13</v>
      </c>
      <c r="F3405" s="11">
        <v>6.66</v>
      </c>
      <c r="G3405" s="9">
        <v>4154.8</v>
      </c>
      <c r="H3405" s="10">
        <v>0.2</v>
      </c>
      <c r="I3405" s="11">
        <v>6.5</v>
      </c>
    </row>
    <row r="3406" spans="1:9" x14ac:dyDescent="0.35">
      <c r="A3406" s="2" t="s">
        <v>327</v>
      </c>
      <c r="B3406" s="3">
        <v>45170</v>
      </c>
      <c r="C3406" s="2">
        <v>18</v>
      </c>
      <c r="D3406" s="2">
        <v>31280</v>
      </c>
      <c r="E3406" s="17">
        <v>65026.66</v>
      </c>
      <c r="F3406" s="11">
        <v>6.58</v>
      </c>
      <c r="G3406" s="9">
        <v>4735.8999999999996</v>
      </c>
      <c r="H3406" s="10">
        <v>0.44400000000000001</v>
      </c>
      <c r="I3406" s="11">
        <v>6</v>
      </c>
    </row>
    <row r="3407" spans="1:9" x14ac:dyDescent="0.35">
      <c r="A3407" s="2" t="s">
        <v>327</v>
      </c>
      <c r="B3407" s="3">
        <v>45200</v>
      </c>
      <c r="C3407" s="2">
        <v>16</v>
      </c>
      <c r="D3407" s="2">
        <v>24822</v>
      </c>
      <c r="E3407" s="17">
        <v>51186.79</v>
      </c>
      <c r="F3407" s="11">
        <v>6.48</v>
      </c>
      <c r="G3407" s="9">
        <v>3793</v>
      </c>
      <c r="H3407" s="10">
        <v>0.438</v>
      </c>
      <c r="I3407" s="11">
        <v>7.2</v>
      </c>
    </row>
    <row r="3408" spans="1:9" x14ac:dyDescent="0.35">
      <c r="A3408" s="2" t="s">
        <v>327</v>
      </c>
      <c r="B3408" s="3">
        <v>45231</v>
      </c>
      <c r="C3408" s="2">
        <v>27</v>
      </c>
      <c r="D3408" s="2">
        <v>42126</v>
      </c>
      <c r="E3408" s="17">
        <v>88278.36</v>
      </c>
      <c r="F3408" s="11">
        <v>6.51</v>
      </c>
      <c r="G3408" s="9">
        <v>6646.9</v>
      </c>
      <c r="H3408" s="10">
        <v>0.55600000000000005</v>
      </c>
      <c r="I3408" s="11">
        <v>7.1</v>
      </c>
    </row>
    <row r="3409" spans="1:9" x14ac:dyDescent="0.35">
      <c r="A3409" s="2" t="s">
        <v>327</v>
      </c>
      <c r="B3409" s="3">
        <v>45261</v>
      </c>
      <c r="C3409" s="2">
        <v>14</v>
      </c>
      <c r="D3409" s="2">
        <v>19382</v>
      </c>
      <c r="E3409" s="17">
        <v>39399.15</v>
      </c>
      <c r="F3409" s="11">
        <v>6.57</v>
      </c>
      <c r="G3409" s="9">
        <v>3028.6</v>
      </c>
      <c r="H3409" s="10">
        <v>0.57099999999999995</v>
      </c>
      <c r="I3409" s="11">
        <v>7.6</v>
      </c>
    </row>
    <row r="3410" spans="1:9" x14ac:dyDescent="0.35">
      <c r="A3410" s="2" t="s">
        <v>327</v>
      </c>
      <c r="B3410" s="3">
        <v>45292</v>
      </c>
      <c r="C3410" s="2">
        <v>21</v>
      </c>
      <c r="D3410" s="2">
        <v>37584</v>
      </c>
      <c r="E3410" s="17">
        <v>83590.44</v>
      </c>
      <c r="F3410" s="11">
        <v>6.35</v>
      </c>
      <c r="G3410" s="9">
        <v>5998.4</v>
      </c>
      <c r="H3410" s="10">
        <v>0.66700000000000004</v>
      </c>
      <c r="I3410" s="11">
        <v>6.5</v>
      </c>
    </row>
    <row r="3411" spans="1:9" x14ac:dyDescent="0.35">
      <c r="A3411" s="2" t="s">
        <v>327</v>
      </c>
      <c r="B3411" s="3">
        <v>45323</v>
      </c>
      <c r="C3411" s="2">
        <v>23</v>
      </c>
      <c r="D3411" s="2">
        <v>33393</v>
      </c>
      <c r="E3411" s="17">
        <v>70986.48</v>
      </c>
      <c r="F3411" s="11">
        <v>6.43</v>
      </c>
      <c r="G3411" s="9">
        <v>5274.6</v>
      </c>
      <c r="H3411" s="10">
        <v>0.60899999999999999</v>
      </c>
      <c r="I3411" s="11">
        <v>7.8</v>
      </c>
    </row>
    <row r="3412" spans="1:9" x14ac:dyDescent="0.35">
      <c r="A3412" s="2" t="s">
        <v>327</v>
      </c>
      <c r="B3412" s="3">
        <v>45352</v>
      </c>
      <c r="C3412" s="2">
        <v>18</v>
      </c>
      <c r="D3412" s="2">
        <v>25635</v>
      </c>
      <c r="E3412" s="17">
        <v>55838.86</v>
      </c>
      <c r="F3412" s="11">
        <v>6.44</v>
      </c>
      <c r="G3412" s="9">
        <v>4084.9</v>
      </c>
      <c r="H3412" s="10">
        <v>0.33300000000000002</v>
      </c>
      <c r="I3412" s="11">
        <v>8.1</v>
      </c>
    </row>
    <row r="3413" spans="1:9" x14ac:dyDescent="0.35">
      <c r="A3413" s="2" t="s">
        <v>327</v>
      </c>
      <c r="B3413" s="3">
        <v>45383</v>
      </c>
      <c r="C3413" s="2">
        <v>24</v>
      </c>
      <c r="D3413" s="2">
        <v>40450</v>
      </c>
      <c r="E3413" s="17">
        <v>80187.83</v>
      </c>
      <c r="F3413" s="11">
        <v>6.62</v>
      </c>
      <c r="G3413" s="9">
        <v>6178.6</v>
      </c>
      <c r="H3413" s="10">
        <v>0.45800000000000002</v>
      </c>
      <c r="I3413" s="11">
        <v>7.2</v>
      </c>
    </row>
    <row r="3414" spans="1:9" x14ac:dyDescent="0.35">
      <c r="A3414" s="2" t="s">
        <v>327</v>
      </c>
      <c r="B3414" s="3">
        <v>45413</v>
      </c>
      <c r="C3414" s="2">
        <v>26</v>
      </c>
      <c r="D3414" s="2">
        <v>30688</v>
      </c>
      <c r="E3414" s="17">
        <v>72660.740000000005</v>
      </c>
      <c r="F3414" s="11">
        <v>6.4</v>
      </c>
      <c r="G3414" s="9">
        <v>4813.8999999999996</v>
      </c>
      <c r="H3414" s="10">
        <v>0.5</v>
      </c>
      <c r="I3414" s="11">
        <v>7.6</v>
      </c>
    </row>
    <row r="3415" spans="1:9" x14ac:dyDescent="0.35">
      <c r="A3415" s="2" t="s">
        <v>327</v>
      </c>
      <c r="B3415" s="3">
        <v>45444</v>
      </c>
      <c r="C3415" s="2">
        <v>13</v>
      </c>
      <c r="D3415" s="2">
        <v>12747</v>
      </c>
      <c r="E3415" s="17">
        <v>25168.240000000002</v>
      </c>
      <c r="F3415" s="11">
        <v>6.33</v>
      </c>
      <c r="G3415" s="9">
        <v>1991</v>
      </c>
      <c r="H3415" s="10">
        <v>0.69199999999999995</v>
      </c>
      <c r="I3415" s="11">
        <v>6.7</v>
      </c>
    </row>
    <row r="3416" spans="1:9" x14ac:dyDescent="0.35">
      <c r="A3416" s="2" t="s">
        <v>327</v>
      </c>
      <c r="B3416" s="3">
        <v>45474</v>
      </c>
      <c r="C3416" s="2">
        <v>17</v>
      </c>
      <c r="D3416" s="2">
        <v>21168</v>
      </c>
      <c r="E3416" s="17">
        <v>43630.48</v>
      </c>
      <c r="F3416" s="11">
        <v>6.4</v>
      </c>
      <c r="G3416" s="9">
        <v>3326.7</v>
      </c>
      <c r="H3416" s="10">
        <v>0.52900000000000003</v>
      </c>
      <c r="I3416" s="11">
        <v>5.9</v>
      </c>
    </row>
    <row r="3417" spans="1:9" x14ac:dyDescent="0.35">
      <c r="A3417" s="2" t="s">
        <v>327</v>
      </c>
      <c r="B3417" s="3">
        <v>45505</v>
      </c>
      <c r="C3417" s="2">
        <v>22</v>
      </c>
      <c r="D3417" s="2">
        <v>25295</v>
      </c>
      <c r="E3417" s="17">
        <v>51448.58</v>
      </c>
      <c r="F3417" s="11">
        <v>6.39</v>
      </c>
      <c r="G3417" s="9">
        <v>3924.4</v>
      </c>
      <c r="H3417" s="10">
        <v>0.40899999999999997</v>
      </c>
      <c r="I3417" s="11">
        <v>7.2</v>
      </c>
    </row>
    <row r="3418" spans="1:9" x14ac:dyDescent="0.35">
      <c r="A3418" s="2" t="s">
        <v>327</v>
      </c>
      <c r="B3418" s="3">
        <v>45536</v>
      </c>
      <c r="C3418" s="2">
        <v>16</v>
      </c>
      <c r="D3418" s="2">
        <v>24037</v>
      </c>
      <c r="E3418" s="17">
        <v>54937.66</v>
      </c>
      <c r="F3418" s="11">
        <v>6.54</v>
      </c>
      <c r="G3418" s="9">
        <v>3791.2</v>
      </c>
      <c r="H3418" s="10">
        <v>0.56200000000000006</v>
      </c>
      <c r="I3418" s="11">
        <v>7.7</v>
      </c>
    </row>
    <row r="3419" spans="1:9" x14ac:dyDescent="0.35">
      <c r="A3419" s="2" t="s">
        <v>327</v>
      </c>
      <c r="B3419" s="3">
        <v>45566</v>
      </c>
      <c r="C3419" s="2">
        <v>21</v>
      </c>
      <c r="D3419" s="2">
        <v>21954</v>
      </c>
      <c r="E3419" s="17">
        <v>45562.82</v>
      </c>
      <c r="F3419" s="11">
        <v>6.51</v>
      </c>
      <c r="G3419" s="9">
        <v>3440.8</v>
      </c>
      <c r="H3419" s="10">
        <v>0.14299999999999999</v>
      </c>
      <c r="I3419" s="11">
        <v>7.2</v>
      </c>
    </row>
    <row r="3420" spans="1:9" x14ac:dyDescent="0.35">
      <c r="A3420" s="2" t="s">
        <v>327</v>
      </c>
      <c r="B3420" s="3">
        <v>45597</v>
      </c>
      <c r="C3420" s="2">
        <v>15</v>
      </c>
      <c r="D3420" s="2">
        <v>19690</v>
      </c>
      <c r="E3420" s="17">
        <v>37283.03</v>
      </c>
      <c r="F3420" s="11">
        <v>6.41</v>
      </c>
      <c r="G3420" s="9">
        <v>3099.8</v>
      </c>
      <c r="H3420" s="10">
        <v>0.66700000000000004</v>
      </c>
      <c r="I3420" s="11">
        <v>8.1</v>
      </c>
    </row>
    <row r="3421" spans="1:9" x14ac:dyDescent="0.35">
      <c r="A3421" s="2" t="s">
        <v>327</v>
      </c>
      <c r="B3421" s="3">
        <v>45627</v>
      </c>
      <c r="C3421" s="2">
        <v>19</v>
      </c>
      <c r="D3421" s="2">
        <v>29343</v>
      </c>
      <c r="E3421" s="17">
        <v>64729.87</v>
      </c>
      <c r="F3421" s="11">
        <v>6.43</v>
      </c>
      <c r="G3421" s="9">
        <v>4684.5</v>
      </c>
      <c r="H3421" s="10">
        <v>0.63200000000000001</v>
      </c>
      <c r="I3421" s="11">
        <v>7.3</v>
      </c>
    </row>
    <row r="3422" spans="1:9" x14ac:dyDescent="0.35">
      <c r="A3422" s="2" t="s">
        <v>333</v>
      </c>
      <c r="B3422" s="3">
        <v>44562</v>
      </c>
      <c r="C3422" s="2">
        <v>19</v>
      </c>
      <c r="D3422" s="2">
        <v>22427</v>
      </c>
      <c r="E3422" s="17">
        <v>47429.74</v>
      </c>
      <c r="F3422" s="11">
        <v>6.8</v>
      </c>
      <c r="G3422" s="9">
        <v>3333.8</v>
      </c>
      <c r="H3422" s="10">
        <v>0.42099999999999999</v>
      </c>
      <c r="I3422" s="11">
        <v>7.2</v>
      </c>
    </row>
    <row r="3423" spans="1:9" x14ac:dyDescent="0.35">
      <c r="A3423" s="2" t="s">
        <v>333</v>
      </c>
      <c r="B3423" s="3">
        <v>44593</v>
      </c>
      <c r="C3423" s="2">
        <v>17</v>
      </c>
      <c r="D3423" s="2">
        <v>19452</v>
      </c>
      <c r="E3423" s="17">
        <v>38519.47</v>
      </c>
      <c r="F3423" s="11">
        <v>6.41</v>
      </c>
      <c r="G3423" s="9">
        <v>3026.4</v>
      </c>
      <c r="H3423" s="10">
        <v>0.52900000000000003</v>
      </c>
      <c r="I3423" s="11">
        <v>6.1</v>
      </c>
    </row>
    <row r="3424" spans="1:9" x14ac:dyDescent="0.35">
      <c r="A3424" s="2" t="s">
        <v>333</v>
      </c>
      <c r="B3424" s="3">
        <v>44621</v>
      </c>
      <c r="C3424" s="2">
        <v>24</v>
      </c>
      <c r="D3424" s="2">
        <v>33477</v>
      </c>
      <c r="E3424" s="17">
        <v>72076.740000000005</v>
      </c>
      <c r="F3424" s="11">
        <v>6.48</v>
      </c>
      <c r="G3424" s="9">
        <v>5209.3</v>
      </c>
      <c r="H3424" s="10">
        <v>0.41699999999999998</v>
      </c>
      <c r="I3424" s="11">
        <v>7.8</v>
      </c>
    </row>
    <row r="3425" spans="1:9" x14ac:dyDescent="0.35">
      <c r="A3425" s="2" t="s">
        <v>333</v>
      </c>
      <c r="B3425" s="3">
        <v>44652</v>
      </c>
      <c r="C3425" s="2">
        <v>19</v>
      </c>
      <c r="D3425" s="2">
        <v>26742</v>
      </c>
      <c r="E3425" s="17">
        <v>58252.76</v>
      </c>
      <c r="F3425" s="11">
        <v>6.52</v>
      </c>
      <c r="G3425" s="9">
        <v>4146.3</v>
      </c>
      <c r="H3425" s="10">
        <v>0.47399999999999998</v>
      </c>
      <c r="I3425" s="11">
        <v>7.2</v>
      </c>
    </row>
    <row r="3426" spans="1:9" x14ac:dyDescent="0.35">
      <c r="A3426" s="2" t="s">
        <v>333</v>
      </c>
      <c r="B3426" s="3">
        <v>44682</v>
      </c>
      <c r="C3426" s="2">
        <v>18</v>
      </c>
      <c r="D3426" s="2">
        <v>30844</v>
      </c>
      <c r="E3426" s="17">
        <v>59356.97</v>
      </c>
      <c r="F3426" s="11">
        <v>6.63</v>
      </c>
      <c r="G3426" s="9">
        <v>4598.6000000000004</v>
      </c>
      <c r="H3426" s="10">
        <v>0.61099999999999999</v>
      </c>
      <c r="I3426" s="11">
        <v>8.4</v>
      </c>
    </row>
    <row r="3427" spans="1:9" x14ac:dyDescent="0.35">
      <c r="A3427" s="2" t="s">
        <v>333</v>
      </c>
      <c r="B3427" s="3">
        <v>44713</v>
      </c>
      <c r="C3427" s="2">
        <v>21</v>
      </c>
      <c r="D3427" s="2">
        <v>24453</v>
      </c>
      <c r="E3427" s="17">
        <v>50991.22</v>
      </c>
      <c r="F3427" s="11">
        <v>6.45</v>
      </c>
      <c r="G3427" s="9">
        <v>3827.8</v>
      </c>
      <c r="H3427" s="10">
        <v>0.23799999999999999</v>
      </c>
      <c r="I3427" s="11">
        <v>7.7</v>
      </c>
    </row>
    <row r="3428" spans="1:9" x14ac:dyDescent="0.35">
      <c r="A3428" s="2" t="s">
        <v>333</v>
      </c>
      <c r="B3428" s="3">
        <v>44743</v>
      </c>
      <c r="C3428" s="2">
        <v>20</v>
      </c>
      <c r="D3428" s="2">
        <v>28365</v>
      </c>
      <c r="E3428" s="17">
        <v>60445.06</v>
      </c>
      <c r="F3428" s="11">
        <v>6.59</v>
      </c>
      <c r="G3428" s="9">
        <v>4307.1000000000004</v>
      </c>
      <c r="H3428" s="10">
        <v>0.4</v>
      </c>
      <c r="I3428" s="11">
        <v>7.3</v>
      </c>
    </row>
    <row r="3429" spans="1:9" x14ac:dyDescent="0.35">
      <c r="A3429" s="2" t="s">
        <v>333</v>
      </c>
      <c r="B3429" s="3">
        <v>44774</v>
      </c>
      <c r="C3429" s="2">
        <v>13</v>
      </c>
      <c r="D3429" s="2">
        <v>14624</v>
      </c>
      <c r="E3429" s="17">
        <v>30816.09</v>
      </c>
      <c r="F3429" s="11">
        <v>6.42</v>
      </c>
      <c r="G3429" s="9">
        <v>2319.1999999999998</v>
      </c>
      <c r="H3429" s="10">
        <v>0.308</v>
      </c>
      <c r="I3429" s="11">
        <v>6.2</v>
      </c>
    </row>
    <row r="3430" spans="1:9" x14ac:dyDescent="0.35">
      <c r="A3430" s="2" t="s">
        <v>333</v>
      </c>
      <c r="B3430" s="3">
        <v>44805</v>
      </c>
      <c r="C3430" s="2">
        <v>15</v>
      </c>
      <c r="D3430" s="2">
        <v>18045</v>
      </c>
      <c r="E3430" s="17">
        <v>40394.370000000003</v>
      </c>
      <c r="F3430" s="11">
        <v>6.47</v>
      </c>
      <c r="G3430" s="9">
        <v>2849.2</v>
      </c>
      <c r="H3430" s="10">
        <v>0.46700000000000003</v>
      </c>
      <c r="I3430" s="11">
        <v>8</v>
      </c>
    </row>
    <row r="3431" spans="1:9" x14ac:dyDescent="0.35">
      <c r="A3431" s="2" t="s">
        <v>333</v>
      </c>
      <c r="B3431" s="3">
        <v>44835</v>
      </c>
      <c r="C3431" s="2">
        <v>20</v>
      </c>
      <c r="D3431" s="2">
        <v>31212</v>
      </c>
      <c r="E3431" s="17">
        <v>69182.039999999994</v>
      </c>
      <c r="F3431" s="11">
        <v>6.57</v>
      </c>
      <c r="G3431" s="9">
        <v>4692</v>
      </c>
      <c r="H3431" s="10">
        <v>0.35</v>
      </c>
      <c r="I3431" s="11">
        <v>6.7</v>
      </c>
    </row>
    <row r="3432" spans="1:9" x14ac:dyDescent="0.35">
      <c r="A3432" s="2" t="s">
        <v>333</v>
      </c>
      <c r="B3432" s="3">
        <v>44866</v>
      </c>
      <c r="C3432" s="2">
        <v>25</v>
      </c>
      <c r="D3432" s="2">
        <v>31994</v>
      </c>
      <c r="E3432" s="17">
        <v>69364.98</v>
      </c>
      <c r="F3432" s="11">
        <v>6.57</v>
      </c>
      <c r="G3432" s="9">
        <v>4876.2</v>
      </c>
      <c r="H3432" s="10">
        <v>0.44</v>
      </c>
      <c r="I3432" s="11">
        <v>7.3</v>
      </c>
    </row>
    <row r="3433" spans="1:9" x14ac:dyDescent="0.35">
      <c r="A3433" s="2" t="s">
        <v>333</v>
      </c>
      <c r="B3433" s="3">
        <v>44896</v>
      </c>
      <c r="C3433" s="2">
        <v>21</v>
      </c>
      <c r="D3433" s="2">
        <v>33484</v>
      </c>
      <c r="E3433" s="17">
        <v>74809.77</v>
      </c>
      <c r="F3433" s="11">
        <v>6.58</v>
      </c>
      <c r="G3433" s="9">
        <v>5169</v>
      </c>
      <c r="H3433" s="10">
        <v>0.28599999999999998</v>
      </c>
      <c r="I3433" s="11">
        <v>6.8</v>
      </c>
    </row>
    <row r="3434" spans="1:9" x14ac:dyDescent="0.35">
      <c r="A3434" s="2" t="s">
        <v>333</v>
      </c>
      <c r="B3434" s="3">
        <v>44927</v>
      </c>
      <c r="C3434" s="2">
        <v>20</v>
      </c>
      <c r="D3434" s="2">
        <v>26941</v>
      </c>
      <c r="E3434" s="17">
        <v>57679.41</v>
      </c>
      <c r="F3434" s="11">
        <v>6.56</v>
      </c>
      <c r="G3434" s="9">
        <v>4105.1000000000004</v>
      </c>
      <c r="H3434" s="10">
        <v>0.55000000000000004</v>
      </c>
      <c r="I3434" s="11">
        <v>6.8</v>
      </c>
    </row>
    <row r="3435" spans="1:9" x14ac:dyDescent="0.35">
      <c r="A3435" s="2" t="s">
        <v>333</v>
      </c>
      <c r="B3435" s="3">
        <v>44958</v>
      </c>
      <c r="C3435" s="2">
        <v>15</v>
      </c>
      <c r="D3435" s="2">
        <v>16151</v>
      </c>
      <c r="E3435" s="17">
        <v>33866.82</v>
      </c>
      <c r="F3435" s="11">
        <v>6.86</v>
      </c>
      <c r="G3435" s="9">
        <v>2380.6</v>
      </c>
      <c r="H3435" s="10">
        <v>0.26700000000000002</v>
      </c>
      <c r="I3435" s="11">
        <v>7.1</v>
      </c>
    </row>
    <row r="3436" spans="1:9" x14ac:dyDescent="0.35">
      <c r="A3436" s="2" t="s">
        <v>333</v>
      </c>
      <c r="B3436" s="3">
        <v>44986</v>
      </c>
      <c r="C3436" s="2">
        <v>22</v>
      </c>
      <c r="D3436" s="2">
        <v>28731</v>
      </c>
      <c r="E3436" s="17">
        <v>68254.39</v>
      </c>
      <c r="F3436" s="11">
        <v>6.5</v>
      </c>
      <c r="G3436" s="9">
        <v>4443.3999999999996</v>
      </c>
      <c r="H3436" s="10">
        <v>0.36399999999999999</v>
      </c>
      <c r="I3436" s="11">
        <v>7</v>
      </c>
    </row>
    <row r="3437" spans="1:9" x14ac:dyDescent="0.35">
      <c r="A3437" s="2" t="s">
        <v>333</v>
      </c>
      <c r="B3437" s="3">
        <v>45017</v>
      </c>
      <c r="C3437" s="2">
        <v>16</v>
      </c>
      <c r="D3437" s="2">
        <v>26560</v>
      </c>
      <c r="E3437" s="17">
        <v>59267.3</v>
      </c>
      <c r="F3437" s="11">
        <v>6.82</v>
      </c>
      <c r="G3437" s="9">
        <v>3965.2</v>
      </c>
      <c r="H3437" s="10">
        <v>0.56200000000000006</v>
      </c>
      <c r="I3437" s="11">
        <v>6.1</v>
      </c>
    </row>
    <row r="3438" spans="1:9" x14ac:dyDescent="0.35">
      <c r="A3438" s="2" t="s">
        <v>333</v>
      </c>
      <c r="B3438" s="3">
        <v>45047</v>
      </c>
      <c r="C3438" s="2">
        <v>13</v>
      </c>
      <c r="D3438" s="2">
        <v>19329</v>
      </c>
      <c r="E3438" s="17">
        <v>37218.07</v>
      </c>
      <c r="F3438" s="11">
        <v>6.49</v>
      </c>
      <c r="G3438" s="9">
        <v>2966</v>
      </c>
      <c r="H3438" s="10">
        <v>0.61499999999999999</v>
      </c>
      <c r="I3438" s="11">
        <v>7.4</v>
      </c>
    </row>
    <row r="3439" spans="1:9" x14ac:dyDescent="0.35">
      <c r="A3439" s="2" t="s">
        <v>333</v>
      </c>
      <c r="B3439" s="3">
        <v>45078</v>
      </c>
      <c r="C3439" s="2">
        <v>14</v>
      </c>
      <c r="D3439" s="2">
        <v>21848</v>
      </c>
      <c r="E3439" s="17">
        <v>45425.69</v>
      </c>
      <c r="F3439" s="11">
        <v>6.66</v>
      </c>
      <c r="G3439" s="9">
        <v>3274.7</v>
      </c>
      <c r="H3439" s="10">
        <v>0.42899999999999999</v>
      </c>
      <c r="I3439" s="11">
        <v>9.1999999999999993</v>
      </c>
    </row>
    <row r="3440" spans="1:9" x14ac:dyDescent="0.35">
      <c r="A3440" s="2" t="s">
        <v>333</v>
      </c>
      <c r="B3440" s="3">
        <v>45108</v>
      </c>
      <c r="C3440" s="2">
        <v>17</v>
      </c>
      <c r="D3440" s="2">
        <v>26695</v>
      </c>
      <c r="E3440" s="17">
        <v>61636</v>
      </c>
      <c r="F3440" s="11">
        <v>6.46</v>
      </c>
      <c r="G3440" s="9">
        <v>4207.5</v>
      </c>
      <c r="H3440" s="10">
        <v>0.58799999999999997</v>
      </c>
      <c r="I3440" s="11">
        <v>6.7</v>
      </c>
    </row>
    <row r="3441" spans="1:9" x14ac:dyDescent="0.35">
      <c r="A3441" s="2" t="s">
        <v>333</v>
      </c>
      <c r="B3441" s="3">
        <v>45139</v>
      </c>
      <c r="C3441" s="2">
        <v>17</v>
      </c>
      <c r="D3441" s="2">
        <v>20680</v>
      </c>
      <c r="E3441" s="17">
        <v>41863.760000000002</v>
      </c>
      <c r="F3441" s="11">
        <v>6.42</v>
      </c>
      <c r="G3441" s="9">
        <v>3277.2</v>
      </c>
      <c r="H3441" s="10">
        <v>0.58799999999999997</v>
      </c>
      <c r="I3441" s="11">
        <v>6.3</v>
      </c>
    </row>
    <row r="3442" spans="1:9" x14ac:dyDescent="0.35">
      <c r="A3442" s="2" t="s">
        <v>333</v>
      </c>
      <c r="B3442" s="3">
        <v>45170</v>
      </c>
      <c r="C3442" s="2">
        <v>16</v>
      </c>
      <c r="D3442" s="2">
        <v>23891</v>
      </c>
      <c r="E3442" s="17">
        <v>50659.79</v>
      </c>
      <c r="F3442" s="11">
        <v>6.48</v>
      </c>
      <c r="G3442" s="9">
        <v>3652.2</v>
      </c>
      <c r="H3442" s="10">
        <v>0.438</v>
      </c>
      <c r="I3442" s="11">
        <v>6.6</v>
      </c>
    </row>
    <row r="3443" spans="1:9" x14ac:dyDescent="0.35">
      <c r="A3443" s="2" t="s">
        <v>333</v>
      </c>
      <c r="B3443" s="3">
        <v>45200</v>
      </c>
      <c r="C3443" s="2">
        <v>19</v>
      </c>
      <c r="D3443" s="2">
        <v>21063</v>
      </c>
      <c r="E3443" s="17">
        <v>44991.58</v>
      </c>
      <c r="F3443" s="11">
        <v>6.45</v>
      </c>
      <c r="G3443" s="9">
        <v>3300</v>
      </c>
      <c r="H3443" s="10">
        <v>0.36799999999999999</v>
      </c>
      <c r="I3443" s="11">
        <v>6</v>
      </c>
    </row>
    <row r="3444" spans="1:9" x14ac:dyDescent="0.35">
      <c r="A3444" s="2" t="s">
        <v>333</v>
      </c>
      <c r="B3444" s="3">
        <v>45231</v>
      </c>
      <c r="C3444" s="2">
        <v>18</v>
      </c>
      <c r="D3444" s="2">
        <v>28058</v>
      </c>
      <c r="E3444" s="17">
        <v>60870.9</v>
      </c>
      <c r="F3444" s="11">
        <v>6.44</v>
      </c>
      <c r="G3444" s="9">
        <v>4427.7</v>
      </c>
      <c r="H3444" s="10">
        <v>0.111</v>
      </c>
      <c r="I3444" s="11">
        <v>7.5</v>
      </c>
    </row>
    <row r="3445" spans="1:9" x14ac:dyDescent="0.35">
      <c r="A3445" s="2" t="s">
        <v>333</v>
      </c>
      <c r="B3445" s="3">
        <v>45261</v>
      </c>
      <c r="C3445" s="2">
        <v>22</v>
      </c>
      <c r="D3445" s="2">
        <v>36871</v>
      </c>
      <c r="E3445" s="17">
        <v>84122.84</v>
      </c>
      <c r="F3445" s="11">
        <v>6.37</v>
      </c>
      <c r="G3445" s="9">
        <v>5839.1</v>
      </c>
      <c r="H3445" s="10">
        <v>0.54500000000000004</v>
      </c>
      <c r="I3445" s="11">
        <v>6.6</v>
      </c>
    </row>
    <row r="3446" spans="1:9" x14ac:dyDescent="0.35">
      <c r="A3446" s="2" t="s">
        <v>333</v>
      </c>
      <c r="B3446" s="3">
        <v>45292</v>
      </c>
      <c r="C3446" s="2">
        <v>21</v>
      </c>
      <c r="D3446" s="2">
        <v>25686</v>
      </c>
      <c r="E3446" s="17">
        <v>51887.96</v>
      </c>
      <c r="F3446" s="11">
        <v>6.43</v>
      </c>
      <c r="G3446" s="9">
        <v>3982.3</v>
      </c>
      <c r="H3446" s="10">
        <v>0.38100000000000001</v>
      </c>
      <c r="I3446" s="11">
        <v>6.1</v>
      </c>
    </row>
    <row r="3447" spans="1:9" x14ac:dyDescent="0.35">
      <c r="A3447" s="2" t="s">
        <v>333</v>
      </c>
      <c r="B3447" s="3">
        <v>45323</v>
      </c>
      <c r="C3447" s="2">
        <v>20</v>
      </c>
      <c r="D3447" s="2">
        <v>31055</v>
      </c>
      <c r="E3447" s="17">
        <v>63971.78</v>
      </c>
      <c r="F3447" s="11">
        <v>6.59</v>
      </c>
      <c r="G3447" s="9">
        <v>4735.8</v>
      </c>
      <c r="H3447" s="10">
        <v>0.45</v>
      </c>
      <c r="I3447" s="11">
        <v>6.8</v>
      </c>
    </row>
    <row r="3448" spans="1:9" x14ac:dyDescent="0.35">
      <c r="A3448" s="2" t="s">
        <v>333</v>
      </c>
      <c r="B3448" s="3">
        <v>45352</v>
      </c>
      <c r="C3448" s="2">
        <v>23</v>
      </c>
      <c r="D3448" s="2">
        <v>32939</v>
      </c>
      <c r="E3448" s="17">
        <v>75777</v>
      </c>
      <c r="F3448" s="11">
        <v>6.46</v>
      </c>
      <c r="G3448" s="9">
        <v>5061.5</v>
      </c>
      <c r="H3448" s="10">
        <v>0.39100000000000001</v>
      </c>
      <c r="I3448" s="11">
        <v>7</v>
      </c>
    </row>
    <row r="3449" spans="1:9" x14ac:dyDescent="0.35">
      <c r="A3449" s="2" t="s">
        <v>333</v>
      </c>
      <c r="B3449" s="3">
        <v>45383</v>
      </c>
      <c r="C3449" s="2">
        <v>24</v>
      </c>
      <c r="D3449" s="2">
        <v>36173</v>
      </c>
      <c r="E3449" s="17">
        <v>72318.37</v>
      </c>
      <c r="F3449" s="11">
        <v>6.56</v>
      </c>
      <c r="G3449" s="9">
        <v>5616.8</v>
      </c>
      <c r="H3449" s="10">
        <v>0.54200000000000004</v>
      </c>
      <c r="I3449" s="11">
        <v>6.6</v>
      </c>
    </row>
    <row r="3450" spans="1:9" x14ac:dyDescent="0.35">
      <c r="A3450" s="2" t="s">
        <v>333</v>
      </c>
      <c r="B3450" s="3">
        <v>45413</v>
      </c>
      <c r="C3450" s="2">
        <v>23</v>
      </c>
      <c r="D3450" s="2">
        <v>33397</v>
      </c>
      <c r="E3450" s="17">
        <v>75276.179999999993</v>
      </c>
      <c r="F3450" s="11">
        <v>6.5</v>
      </c>
      <c r="G3450" s="9">
        <v>5134.7</v>
      </c>
      <c r="H3450" s="10">
        <v>0.39100000000000001</v>
      </c>
      <c r="I3450" s="11">
        <v>6.6</v>
      </c>
    </row>
    <row r="3451" spans="1:9" x14ac:dyDescent="0.35">
      <c r="A3451" s="2" t="s">
        <v>333</v>
      </c>
      <c r="B3451" s="3">
        <v>45444</v>
      </c>
      <c r="C3451" s="2">
        <v>20</v>
      </c>
      <c r="D3451" s="2">
        <v>25834</v>
      </c>
      <c r="E3451" s="17">
        <v>58068.84</v>
      </c>
      <c r="F3451" s="11">
        <v>6.4</v>
      </c>
      <c r="G3451" s="9">
        <v>4073.2</v>
      </c>
      <c r="H3451" s="10">
        <v>0.4</v>
      </c>
      <c r="I3451" s="11">
        <v>7.2</v>
      </c>
    </row>
    <row r="3452" spans="1:9" x14ac:dyDescent="0.35">
      <c r="A3452" s="2" t="s">
        <v>333</v>
      </c>
      <c r="B3452" s="3">
        <v>45474</v>
      </c>
      <c r="C3452" s="2">
        <v>27</v>
      </c>
      <c r="D3452" s="2">
        <v>35086</v>
      </c>
      <c r="E3452" s="17">
        <v>67470.720000000001</v>
      </c>
      <c r="F3452" s="11">
        <v>6.24</v>
      </c>
      <c r="G3452" s="9">
        <v>5615.6</v>
      </c>
      <c r="H3452" s="10">
        <v>0.51900000000000002</v>
      </c>
      <c r="I3452" s="11">
        <v>7.3</v>
      </c>
    </row>
    <row r="3453" spans="1:9" x14ac:dyDescent="0.35">
      <c r="A3453" s="2" t="s">
        <v>333</v>
      </c>
      <c r="B3453" s="3">
        <v>45505</v>
      </c>
      <c r="C3453" s="2">
        <v>14</v>
      </c>
      <c r="D3453" s="2">
        <v>21075</v>
      </c>
      <c r="E3453" s="17">
        <v>43014.23</v>
      </c>
      <c r="F3453" s="11">
        <v>6.46</v>
      </c>
      <c r="G3453" s="9">
        <v>3305.7</v>
      </c>
      <c r="H3453" s="10">
        <v>0.57099999999999995</v>
      </c>
      <c r="I3453" s="11">
        <v>7.1</v>
      </c>
    </row>
    <row r="3454" spans="1:9" x14ac:dyDescent="0.35">
      <c r="A3454" s="2" t="s">
        <v>333</v>
      </c>
      <c r="B3454" s="3">
        <v>45536</v>
      </c>
      <c r="C3454" s="2">
        <v>17</v>
      </c>
      <c r="D3454" s="2">
        <v>20626</v>
      </c>
      <c r="E3454" s="17">
        <v>44593.58</v>
      </c>
      <c r="F3454" s="11">
        <v>6.52</v>
      </c>
      <c r="G3454" s="9">
        <v>3224.6</v>
      </c>
      <c r="H3454" s="10">
        <v>0.52900000000000003</v>
      </c>
      <c r="I3454" s="11">
        <v>5.2</v>
      </c>
    </row>
    <row r="3455" spans="1:9" x14ac:dyDescent="0.35">
      <c r="A3455" s="2" t="s">
        <v>333</v>
      </c>
      <c r="B3455" s="3">
        <v>45566</v>
      </c>
      <c r="C3455" s="2">
        <v>22</v>
      </c>
      <c r="D3455" s="2">
        <v>28196</v>
      </c>
      <c r="E3455" s="17">
        <v>61778.05</v>
      </c>
      <c r="F3455" s="11">
        <v>6.35</v>
      </c>
      <c r="G3455" s="9">
        <v>4460.8</v>
      </c>
      <c r="H3455" s="10">
        <v>0.45500000000000002</v>
      </c>
      <c r="I3455" s="11">
        <v>7.8</v>
      </c>
    </row>
    <row r="3456" spans="1:9" x14ac:dyDescent="0.35">
      <c r="A3456" s="2" t="s">
        <v>333</v>
      </c>
      <c r="B3456" s="3">
        <v>45597</v>
      </c>
      <c r="C3456" s="2">
        <v>14</v>
      </c>
      <c r="D3456" s="2">
        <v>24865</v>
      </c>
      <c r="E3456" s="17">
        <v>49814.03</v>
      </c>
      <c r="F3456" s="11">
        <v>6.71</v>
      </c>
      <c r="G3456" s="9">
        <v>3719.6</v>
      </c>
      <c r="H3456" s="10">
        <v>0.35699999999999998</v>
      </c>
      <c r="I3456" s="11">
        <v>6.5</v>
      </c>
    </row>
    <row r="3457" spans="1:9" x14ac:dyDescent="0.35">
      <c r="A3457" s="2" t="s">
        <v>333</v>
      </c>
      <c r="B3457" s="3">
        <v>45627</v>
      </c>
      <c r="C3457" s="2">
        <v>19</v>
      </c>
      <c r="D3457" s="2">
        <v>23685</v>
      </c>
      <c r="E3457" s="17">
        <v>52471.72</v>
      </c>
      <c r="F3457" s="11">
        <v>6.44</v>
      </c>
      <c r="G3457" s="9">
        <v>3733.3</v>
      </c>
      <c r="H3457" s="10">
        <v>0.316</v>
      </c>
      <c r="I3457" s="11">
        <v>6.9</v>
      </c>
    </row>
    <row r="3458" spans="1:9" x14ac:dyDescent="0.35">
      <c r="A3458" s="2" t="s">
        <v>335</v>
      </c>
      <c r="B3458" s="3">
        <v>44562</v>
      </c>
      <c r="C3458" s="2">
        <v>11</v>
      </c>
      <c r="D3458" s="2">
        <v>12463</v>
      </c>
      <c r="E3458" s="17">
        <v>25785.01</v>
      </c>
      <c r="F3458" s="11">
        <v>6.61</v>
      </c>
      <c r="G3458" s="9">
        <v>1900.5</v>
      </c>
      <c r="H3458" s="10">
        <v>0.27300000000000002</v>
      </c>
      <c r="I3458" s="11">
        <v>5</v>
      </c>
    </row>
    <row r="3459" spans="1:9" x14ac:dyDescent="0.35">
      <c r="A3459" s="2" t="s">
        <v>335</v>
      </c>
      <c r="B3459" s="3">
        <v>44593</v>
      </c>
      <c r="C3459" s="2">
        <v>13</v>
      </c>
      <c r="D3459" s="2">
        <v>22025</v>
      </c>
      <c r="E3459" s="17">
        <v>42864.56</v>
      </c>
      <c r="F3459" s="11">
        <v>6.81</v>
      </c>
      <c r="G3459" s="9">
        <v>3265.3</v>
      </c>
      <c r="H3459" s="10">
        <v>0.23100000000000001</v>
      </c>
      <c r="I3459" s="11">
        <v>8.5</v>
      </c>
    </row>
    <row r="3460" spans="1:9" x14ac:dyDescent="0.35">
      <c r="A3460" s="2" t="s">
        <v>335</v>
      </c>
      <c r="B3460" s="3">
        <v>44621</v>
      </c>
      <c r="C3460" s="2">
        <v>26</v>
      </c>
      <c r="D3460" s="2">
        <v>36687</v>
      </c>
      <c r="E3460" s="17">
        <v>72847.360000000001</v>
      </c>
      <c r="F3460" s="11">
        <v>6.56</v>
      </c>
      <c r="G3460" s="9">
        <v>5666.9</v>
      </c>
      <c r="H3460" s="10">
        <v>0.308</v>
      </c>
      <c r="I3460" s="11">
        <v>7.5</v>
      </c>
    </row>
    <row r="3461" spans="1:9" x14ac:dyDescent="0.35">
      <c r="A3461" s="2" t="s">
        <v>335</v>
      </c>
      <c r="B3461" s="3">
        <v>44652</v>
      </c>
      <c r="C3461" s="2">
        <v>11</v>
      </c>
      <c r="D3461" s="2">
        <v>14786</v>
      </c>
      <c r="E3461" s="17">
        <v>33347.379999999997</v>
      </c>
      <c r="F3461" s="11">
        <v>6.64</v>
      </c>
      <c r="G3461" s="9">
        <v>2281.3000000000002</v>
      </c>
      <c r="H3461" s="10">
        <v>0.27300000000000002</v>
      </c>
      <c r="I3461" s="11">
        <v>7.2</v>
      </c>
    </row>
    <row r="3462" spans="1:9" x14ac:dyDescent="0.35">
      <c r="A3462" s="2" t="s">
        <v>335</v>
      </c>
      <c r="B3462" s="3">
        <v>44682</v>
      </c>
      <c r="C3462" s="2">
        <v>19</v>
      </c>
      <c r="D3462" s="2">
        <v>27293</v>
      </c>
      <c r="E3462" s="17">
        <v>54455.49</v>
      </c>
      <c r="F3462" s="11">
        <v>6.32</v>
      </c>
      <c r="G3462" s="9">
        <v>4326.3</v>
      </c>
      <c r="H3462" s="10">
        <v>0.316</v>
      </c>
      <c r="I3462" s="11">
        <v>7.1</v>
      </c>
    </row>
    <row r="3463" spans="1:9" x14ac:dyDescent="0.35">
      <c r="A3463" s="2" t="s">
        <v>335</v>
      </c>
      <c r="B3463" s="3">
        <v>44713</v>
      </c>
      <c r="C3463" s="2">
        <v>15</v>
      </c>
      <c r="D3463" s="2">
        <v>21997</v>
      </c>
      <c r="E3463" s="17">
        <v>44947.8</v>
      </c>
      <c r="F3463" s="11">
        <v>6.55</v>
      </c>
      <c r="G3463" s="9">
        <v>3337.1</v>
      </c>
      <c r="H3463" s="10">
        <v>0.53300000000000003</v>
      </c>
      <c r="I3463" s="11">
        <v>6.3</v>
      </c>
    </row>
    <row r="3464" spans="1:9" x14ac:dyDescent="0.35">
      <c r="A3464" s="2" t="s">
        <v>335</v>
      </c>
      <c r="B3464" s="3">
        <v>44743</v>
      </c>
      <c r="C3464" s="2">
        <v>24</v>
      </c>
      <c r="D3464" s="2">
        <v>42574</v>
      </c>
      <c r="E3464" s="17">
        <v>94617.1</v>
      </c>
      <c r="F3464" s="11">
        <v>6.45</v>
      </c>
      <c r="G3464" s="9">
        <v>6730.1</v>
      </c>
      <c r="H3464" s="10">
        <v>0.5</v>
      </c>
      <c r="I3464" s="11">
        <v>7</v>
      </c>
    </row>
    <row r="3465" spans="1:9" x14ac:dyDescent="0.35">
      <c r="A3465" s="2" t="s">
        <v>335</v>
      </c>
      <c r="B3465" s="3">
        <v>44774</v>
      </c>
      <c r="C3465" s="2">
        <v>23</v>
      </c>
      <c r="D3465" s="2">
        <v>29781</v>
      </c>
      <c r="E3465" s="17">
        <v>65105.98</v>
      </c>
      <c r="F3465" s="11">
        <v>6.53</v>
      </c>
      <c r="G3465" s="9">
        <v>4576.7</v>
      </c>
      <c r="H3465" s="10">
        <v>0.60899999999999999</v>
      </c>
      <c r="I3465" s="11">
        <v>6.9</v>
      </c>
    </row>
    <row r="3466" spans="1:9" x14ac:dyDescent="0.35">
      <c r="A3466" s="2" t="s">
        <v>335</v>
      </c>
      <c r="B3466" s="3">
        <v>44805</v>
      </c>
      <c r="C3466" s="2">
        <v>13</v>
      </c>
      <c r="D3466" s="2">
        <v>22204</v>
      </c>
      <c r="E3466" s="17">
        <v>48476.14</v>
      </c>
      <c r="F3466" s="11">
        <v>6.31</v>
      </c>
      <c r="G3466" s="9">
        <v>3610.3</v>
      </c>
      <c r="H3466" s="10">
        <v>0.308</v>
      </c>
      <c r="I3466" s="11">
        <v>7.3</v>
      </c>
    </row>
    <row r="3467" spans="1:9" x14ac:dyDescent="0.35">
      <c r="A3467" s="2" t="s">
        <v>335</v>
      </c>
      <c r="B3467" s="3">
        <v>44835</v>
      </c>
      <c r="C3467" s="2">
        <v>19</v>
      </c>
      <c r="D3467" s="2">
        <v>26323</v>
      </c>
      <c r="E3467" s="17">
        <v>60306.64</v>
      </c>
      <c r="F3467" s="11">
        <v>6.41</v>
      </c>
      <c r="G3467" s="9">
        <v>4127.6000000000004</v>
      </c>
      <c r="H3467" s="10">
        <v>0.42099999999999999</v>
      </c>
      <c r="I3467" s="11">
        <v>7.6</v>
      </c>
    </row>
    <row r="3468" spans="1:9" x14ac:dyDescent="0.35">
      <c r="A3468" s="2" t="s">
        <v>335</v>
      </c>
      <c r="B3468" s="3">
        <v>44866</v>
      </c>
      <c r="C3468" s="2">
        <v>29</v>
      </c>
      <c r="D3468" s="2">
        <v>43201</v>
      </c>
      <c r="E3468" s="17">
        <v>94873.14</v>
      </c>
      <c r="F3468" s="11">
        <v>6.47</v>
      </c>
      <c r="G3468" s="9">
        <v>6710.8</v>
      </c>
      <c r="H3468" s="10">
        <v>0.379</v>
      </c>
      <c r="I3468" s="11">
        <v>7.1</v>
      </c>
    </row>
    <row r="3469" spans="1:9" x14ac:dyDescent="0.35">
      <c r="A3469" s="2" t="s">
        <v>335</v>
      </c>
      <c r="B3469" s="3">
        <v>44896</v>
      </c>
      <c r="C3469" s="2">
        <v>17</v>
      </c>
      <c r="D3469" s="2">
        <v>24293</v>
      </c>
      <c r="E3469" s="17">
        <v>45602.23</v>
      </c>
      <c r="F3469" s="11">
        <v>6.45</v>
      </c>
      <c r="G3469" s="9">
        <v>3820.2</v>
      </c>
      <c r="H3469" s="10">
        <v>0.41199999999999998</v>
      </c>
      <c r="I3469" s="11">
        <v>6.6</v>
      </c>
    </row>
    <row r="3470" spans="1:9" x14ac:dyDescent="0.35">
      <c r="A3470" s="2" t="s">
        <v>335</v>
      </c>
      <c r="B3470" s="3">
        <v>44927</v>
      </c>
      <c r="C3470" s="2">
        <v>16</v>
      </c>
      <c r="D3470" s="2">
        <v>23498</v>
      </c>
      <c r="E3470" s="17">
        <v>47346.76</v>
      </c>
      <c r="F3470" s="11">
        <v>6.45</v>
      </c>
      <c r="G3470" s="9">
        <v>3716.3</v>
      </c>
      <c r="H3470" s="10">
        <v>0.375</v>
      </c>
      <c r="I3470" s="11">
        <v>5.2</v>
      </c>
    </row>
    <row r="3471" spans="1:9" x14ac:dyDescent="0.35">
      <c r="A3471" s="2" t="s">
        <v>335</v>
      </c>
      <c r="B3471" s="3">
        <v>44958</v>
      </c>
      <c r="C3471" s="2">
        <v>15</v>
      </c>
      <c r="D3471" s="2">
        <v>17393</v>
      </c>
      <c r="E3471" s="17">
        <v>34063.769999999997</v>
      </c>
      <c r="F3471" s="11">
        <v>6.47</v>
      </c>
      <c r="G3471" s="9">
        <v>2661.5</v>
      </c>
      <c r="H3471" s="10">
        <v>0.33300000000000002</v>
      </c>
      <c r="I3471" s="11">
        <v>6.6</v>
      </c>
    </row>
    <row r="3472" spans="1:9" x14ac:dyDescent="0.35">
      <c r="A3472" s="2" t="s">
        <v>335</v>
      </c>
      <c r="B3472" s="3">
        <v>44986</v>
      </c>
      <c r="C3472" s="2">
        <v>21</v>
      </c>
      <c r="D3472" s="2">
        <v>31262</v>
      </c>
      <c r="E3472" s="17">
        <v>65664.97</v>
      </c>
      <c r="F3472" s="11">
        <v>6.5</v>
      </c>
      <c r="G3472" s="9">
        <v>4811.7</v>
      </c>
      <c r="H3472" s="10">
        <v>0.33300000000000002</v>
      </c>
      <c r="I3472" s="11">
        <v>6.1</v>
      </c>
    </row>
    <row r="3473" spans="1:9" x14ac:dyDescent="0.35">
      <c r="A3473" s="2" t="s">
        <v>335</v>
      </c>
      <c r="B3473" s="3">
        <v>45017</v>
      </c>
      <c r="C3473" s="2">
        <v>22</v>
      </c>
      <c r="D3473" s="2">
        <v>26749</v>
      </c>
      <c r="E3473" s="17">
        <v>59625.74</v>
      </c>
      <c r="F3473" s="11">
        <v>6.6</v>
      </c>
      <c r="G3473" s="9">
        <v>4053.8</v>
      </c>
      <c r="H3473" s="10">
        <v>0.45500000000000002</v>
      </c>
      <c r="I3473" s="11">
        <v>6.3</v>
      </c>
    </row>
    <row r="3474" spans="1:9" x14ac:dyDescent="0.35">
      <c r="A3474" s="2" t="s">
        <v>335</v>
      </c>
      <c r="B3474" s="3">
        <v>45047</v>
      </c>
      <c r="C3474" s="2">
        <v>17</v>
      </c>
      <c r="D3474" s="2">
        <v>24769</v>
      </c>
      <c r="E3474" s="17">
        <v>58673.62</v>
      </c>
      <c r="F3474" s="11">
        <v>6.65</v>
      </c>
      <c r="G3474" s="9">
        <v>3689.3</v>
      </c>
      <c r="H3474" s="10">
        <v>0.17599999999999999</v>
      </c>
      <c r="I3474" s="11">
        <v>7.6</v>
      </c>
    </row>
    <row r="3475" spans="1:9" x14ac:dyDescent="0.35">
      <c r="A3475" s="2" t="s">
        <v>335</v>
      </c>
      <c r="B3475" s="3">
        <v>45078</v>
      </c>
      <c r="C3475" s="2">
        <v>17</v>
      </c>
      <c r="D3475" s="2">
        <v>25349</v>
      </c>
      <c r="E3475" s="17">
        <v>57682.74</v>
      </c>
      <c r="F3475" s="11">
        <v>6.6</v>
      </c>
      <c r="G3475" s="9">
        <v>3784.7</v>
      </c>
      <c r="H3475" s="10">
        <v>0.41199999999999998</v>
      </c>
      <c r="I3475" s="11">
        <v>6.6</v>
      </c>
    </row>
    <row r="3476" spans="1:9" x14ac:dyDescent="0.35">
      <c r="A3476" s="2" t="s">
        <v>335</v>
      </c>
      <c r="B3476" s="3">
        <v>45108</v>
      </c>
      <c r="C3476" s="2">
        <v>14</v>
      </c>
      <c r="D3476" s="2">
        <v>15122</v>
      </c>
      <c r="E3476" s="17">
        <v>31009.35</v>
      </c>
      <c r="F3476" s="11">
        <v>6.71</v>
      </c>
      <c r="G3476" s="9">
        <v>2216.6</v>
      </c>
      <c r="H3476" s="10">
        <v>0.5</v>
      </c>
      <c r="I3476" s="11">
        <v>6.6</v>
      </c>
    </row>
    <row r="3477" spans="1:9" x14ac:dyDescent="0.35">
      <c r="A3477" s="2" t="s">
        <v>335</v>
      </c>
      <c r="B3477" s="3">
        <v>45139</v>
      </c>
      <c r="C3477" s="2">
        <v>20</v>
      </c>
      <c r="D3477" s="2">
        <v>23492</v>
      </c>
      <c r="E3477" s="17">
        <v>50883.44</v>
      </c>
      <c r="F3477" s="11">
        <v>6.53</v>
      </c>
      <c r="G3477" s="9">
        <v>3656.5</v>
      </c>
      <c r="H3477" s="10">
        <v>0.4</v>
      </c>
      <c r="I3477" s="11">
        <v>6.4</v>
      </c>
    </row>
    <row r="3478" spans="1:9" x14ac:dyDescent="0.35">
      <c r="A3478" s="2" t="s">
        <v>335</v>
      </c>
      <c r="B3478" s="3">
        <v>45170</v>
      </c>
      <c r="C3478" s="2">
        <v>22</v>
      </c>
      <c r="D3478" s="2">
        <v>25365</v>
      </c>
      <c r="E3478" s="17">
        <v>51708.160000000003</v>
      </c>
      <c r="F3478" s="11">
        <v>6.43</v>
      </c>
      <c r="G3478" s="9">
        <v>4019.4</v>
      </c>
      <c r="H3478" s="10">
        <v>0.45500000000000002</v>
      </c>
      <c r="I3478" s="11">
        <v>6.6</v>
      </c>
    </row>
    <row r="3479" spans="1:9" x14ac:dyDescent="0.35">
      <c r="A3479" s="2" t="s">
        <v>335</v>
      </c>
      <c r="B3479" s="3">
        <v>45200</v>
      </c>
      <c r="C3479" s="2">
        <v>18</v>
      </c>
      <c r="D3479" s="2">
        <v>24767</v>
      </c>
      <c r="E3479" s="17">
        <v>55394.58</v>
      </c>
      <c r="F3479" s="11">
        <v>6.42</v>
      </c>
      <c r="G3479" s="9">
        <v>3873.2</v>
      </c>
      <c r="H3479" s="10">
        <v>0.38900000000000001</v>
      </c>
      <c r="I3479" s="11">
        <v>7.5</v>
      </c>
    </row>
    <row r="3480" spans="1:9" x14ac:dyDescent="0.35">
      <c r="A3480" s="2" t="s">
        <v>335</v>
      </c>
      <c r="B3480" s="3">
        <v>45231</v>
      </c>
      <c r="C3480" s="2">
        <v>18</v>
      </c>
      <c r="D3480" s="2">
        <v>22993</v>
      </c>
      <c r="E3480" s="17">
        <v>51115.97</v>
      </c>
      <c r="F3480" s="11">
        <v>6.7</v>
      </c>
      <c r="G3480" s="9">
        <v>3497.2</v>
      </c>
      <c r="H3480" s="10">
        <v>0.55600000000000005</v>
      </c>
      <c r="I3480" s="11">
        <v>7.4</v>
      </c>
    </row>
    <row r="3481" spans="1:9" x14ac:dyDescent="0.35">
      <c r="A3481" s="2" t="s">
        <v>335</v>
      </c>
      <c r="B3481" s="3">
        <v>45261</v>
      </c>
      <c r="C3481" s="2">
        <v>16</v>
      </c>
      <c r="D3481" s="2">
        <v>18477</v>
      </c>
      <c r="E3481" s="17">
        <v>36954.44</v>
      </c>
      <c r="F3481" s="11">
        <v>6.4</v>
      </c>
      <c r="G3481" s="9">
        <v>2916.3</v>
      </c>
      <c r="H3481" s="10">
        <v>6.2E-2</v>
      </c>
      <c r="I3481" s="11">
        <v>9.1</v>
      </c>
    </row>
    <row r="3482" spans="1:9" x14ac:dyDescent="0.35">
      <c r="A3482" s="2" t="s">
        <v>335</v>
      </c>
      <c r="B3482" s="3">
        <v>45292</v>
      </c>
      <c r="C3482" s="2">
        <v>22</v>
      </c>
      <c r="D3482" s="2">
        <v>36262</v>
      </c>
      <c r="E3482" s="17">
        <v>77457.36</v>
      </c>
      <c r="F3482" s="11">
        <v>6.54</v>
      </c>
      <c r="G3482" s="9">
        <v>5639.5</v>
      </c>
      <c r="H3482" s="10">
        <v>0.45500000000000002</v>
      </c>
      <c r="I3482" s="11">
        <v>7.2</v>
      </c>
    </row>
    <row r="3483" spans="1:9" x14ac:dyDescent="0.35">
      <c r="A3483" s="2" t="s">
        <v>335</v>
      </c>
      <c r="B3483" s="3">
        <v>45323</v>
      </c>
      <c r="C3483" s="2">
        <v>20</v>
      </c>
      <c r="D3483" s="2">
        <v>29757</v>
      </c>
      <c r="E3483" s="17">
        <v>67319.460000000006</v>
      </c>
      <c r="F3483" s="11">
        <v>6.61</v>
      </c>
      <c r="G3483" s="9">
        <v>4606</v>
      </c>
      <c r="H3483" s="10">
        <v>0.55000000000000004</v>
      </c>
      <c r="I3483" s="11">
        <v>6.4</v>
      </c>
    </row>
    <row r="3484" spans="1:9" x14ac:dyDescent="0.35">
      <c r="A3484" s="2" t="s">
        <v>335</v>
      </c>
      <c r="B3484" s="3">
        <v>45352</v>
      </c>
      <c r="C3484" s="2">
        <v>15</v>
      </c>
      <c r="D3484" s="2">
        <v>25886</v>
      </c>
      <c r="E3484" s="17">
        <v>54512.39</v>
      </c>
      <c r="F3484" s="11">
        <v>6.36</v>
      </c>
      <c r="G3484" s="9">
        <v>4099.8999999999996</v>
      </c>
      <c r="H3484" s="10">
        <v>0.46700000000000003</v>
      </c>
      <c r="I3484" s="11">
        <v>7.9</v>
      </c>
    </row>
    <row r="3485" spans="1:9" x14ac:dyDescent="0.35">
      <c r="A3485" s="2" t="s">
        <v>335</v>
      </c>
      <c r="B3485" s="3">
        <v>45383</v>
      </c>
      <c r="C3485" s="2">
        <v>23</v>
      </c>
      <c r="D3485" s="2">
        <v>37744</v>
      </c>
      <c r="E3485" s="17">
        <v>88995.07</v>
      </c>
      <c r="F3485" s="11">
        <v>6.42</v>
      </c>
      <c r="G3485" s="9">
        <v>5883.5</v>
      </c>
      <c r="H3485" s="10">
        <v>0.435</v>
      </c>
      <c r="I3485" s="11">
        <v>7.1</v>
      </c>
    </row>
    <row r="3486" spans="1:9" x14ac:dyDescent="0.35">
      <c r="A3486" s="2" t="s">
        <v>335</v>
      </c>
      <c r="B3486" s="3">
        <v>45413</v>
      </c>
      <c r="C3486" s="2">
        <v>7</v>
      </c>
      <c r="D3486" s="2">
        <v>7641</v>
      </c>
      <c r="E3486" s="17">
        <v>15794.37</v>
      </c>
      <c r="F3486" s="11">
        <v>6.32</v>
      </c>
      <c r="G3486" s="9">
        <v>1251</v>
      </c>
      <c r="H3486" s="10">
        <v>0.42899999999999999</v>
      </c>
      <c r="I3486" s="11">
        <v>7.4</v>
      </c>
    </row>
    <row r="3487" spans="1:9" x14ac:dyDescent="0.35">
      <c r="A3487" s="2" t="s">
        <v>335</v>
      </c>
      <c r="B3487" s="3">
        <v>45444</v>
      </c>
      <c r="C3487" s="2">
        <v>19</v>
      </c>
      <c r="D3487" s="2">
        <v>23212</v>
      </c>
      <c r="E3487" s="17">
        <v>47435.57</v>
      </c>
      <c r="F3487" s="11">
        <v>6.57</v>
      </c>
      <c r="G3487" s="9">
        <v>3504.6</v>
      </c>
      <c r="H3487" s="10">
        <v>0.26300000000000001</v>
      </c>
      <c r="I3487" s="11">
        <v>6.7</v>
      </c>
    </row>
    <row r="3488" spans="1:9" x14ac:dyDescent="0.35">
      <c r="A3488" s="2" t="s">
        <v>335</v>
      </c>
      <c r="B3488" s="3">
        <v>45474</v>
      </c>
      <c r="C3488" s="2">
        <v>15</v>
      </c>
      <c r="D3488" s="2">
        <v>24478</v>
      </c>
      <c r="E3488" s="17">
        <v>49990.84</v>
      </c>
      <c r="F3488" s="11">
        <v>6.45</v>
      </c>
      <c r="G3488" s="9">
        <v>3779</v>
      </c>
      <c r="H3488" s="10">
        <v>0.26700000000000002</v>
      </c>
      <c r="I3488" s="11">
        <v>6.2</v>
      </c>
    </row>
    <row r="3489" spans="1:9" x14ac:dyDescent="0.35">
      <c r="A3489" s="2" t="s">
        <v>335</v>
      </c>
      <c r="B3489" s="3">
        <v>45505</v>
      </c>
      <c r="C3489" s="2">
        <v>26</v>
      </c>
      <c r="D3489" s="2">
        <v>39219</v>
      </c>
      <c r="E3489" s="17">
        <v>83737.960000000006</v>
      </c>
      <c r="F3489" s="11">
        <v>6.63</v>
      </c>
      <c r="G3489" s="9">
        <v>6034</v>
      </c>
      <c r="H3489" s="10">
        <v>0.46200000000000002</v>
      </c>
      <c r="I3489" s="11">
        <v>8.4</v>
      </c>
    </row>
    <row r="3490" spans="1:9" x14ac:dyDescent="0.35">
      <c r="A3490" s="2" t="s">
        <v>335</v>
      </c>
      <c r="B3490" s="3">
        <v>45536</v>
      </c>
      <c r="C3490" s="2">
        <v>12</v>
      </c>
      <c r="D3490" s="2">
        <v>20304</v>
      </c>
      <c r="E3490" s="17">
        <v>45327.88</v>
      </c>
      <c r="F3490" s="11">
        <v>6.62</v>
      </c>
      <c r="G3490" s="9">
        <v>3086.4</v>
      </c>
      <c r="H3490" s="10">
        <v>0.66700000000000004</v>
      </c>
      <c r="I3490" s="11">
        <v>7.6</v>
      </c>
    </row>
    <row r="3491" spans="1:9" x14ac:dyDescent="0.35">
      <c r="A3491" s="2" t="s">
        <v>335</v>
      </c>
      <c r="B3491" s="3">
        <v>45566</v>
      </c>
      <c r="C3491" s="2">
        <v>18</v>
      </c>
      <c r="D3491" s="2">
        <v>28608</v>
      </c>
      <c r="E3491" s="17">
        <v>63540.86</v>
      </c>
      <c r="F3491" s="11">
        <v>6.52</v>
      </c>
      <c r="G3491" s="9">
        <v>4396.3999999999996</v>
      </c>
      <c r="H3491" s="10">
        <v>0.38900000000000001</v>
      </c>
      <c r="I3491" s="11">
        <v>7.4</v>
      </c>
    </row>
    <row r="3492" spans="1:9" x14ac:dyDescent="0.35">
      <c r="A3492" s="2" t="s">
        <v>335</v>
      </c>
      <c r="B3492" s="3">
        <v>45597</v>
      </c>
      <c r="C3492" s="2">
        <v>22</v>
      </c>
      <c r="D3492" s="2">
        <v>35669</v>
      </c>
      <c r="E3492" s="17">
        <v>77886.23</v>
      </c>
      <c r="F3492" s="11">
        <v>6.57</v>
      </c>
      <c r="G3492" s="9">
        <v>5500.9</v>
      </c>
      <c r="H3492" s="10">
        <v>0.5</v>
      </c>
      <c r="I3492" s="11">
        <v>7.5</v>
      </c>
    </row>
    <row r="3493" spans="1:9" x14ac:dyDescent="0.35">
      <c r="A3493" s="2" t="s">
        <v>335</v>
      </c>
      <c r="B3493" s="3">
        <v>45627</v>
      </c>
      <c r="C3493" s="2">
        <v>17</v>
      </c>
      <c r="D3493" s="2">
        <v>24412</v>
      </c>
      <c r="E3493" s="17">
        <v>53202.85</v>
      </c>
      <c r="F3493" s="11">
        <v>6.63</v>
      </c>
      <c r="G3493" s="9">
        <v>3740</v>
      </c>
      <c r="H3493" s="10">
        <v>0.41199999999999998</v>
      </c>
      <c r="I3493" s="11">
        <v>8.3000000000000007</v>
      </c>
    </row>
    <row r="3494" spans="1:9" x14ac:dyDescent="0.35">
      <c r="A3494" s="2" t="s">
        <v>337</v>
      </c>
      <c r="B3494" s="3">
        <v>44562</v>
      </c>
      <c r="C3494" s="2">
        <v>25</v>
      </c>
      <c r="D3494" s="2">
        <v>35809</v>
      </c>
      <c r="E3494" s="17">
        <v>77037.850000000006</v>
      </c>
      <c r="F3494" s="11">
        <v>6.55</v>
      </c>
      <c r="G3494" s="9">
        <v>5571.2</v>
      </c>
      <c r="H3494" s="10">
        <v>0.52</v>
      </c>
      <c r="I3494" s="11">
        <v>7.3</v>
      </c>
    </row>
    <row r="3495" spans="1:9" x14ac:dyDescent="0.35">
      <c r="A3495" s="2" t="s">
        <v>337</v>
      </c>
      <c r="B3495" s="3">
        <v>44593</v>
      </c>
      <c r="C3495" s="2">
        <v>16</v>
      </c>
      <c r="D3495" s="2">
        <v>18526</v>
      </c>
      <c r="E3495" s="17">
        <v>40056.5</v>
      </c>
      <c r="F3495" s="11">
        <v>6.64</v>
      </c>
      <c r="G3495" s="9">
        <v>2823.3</v>
      </c>
      <c r="H3495" s="10">
        <v>0.75</v>
      </c>
      <c r="I3495" s="11">
        <v>7.1</v>
      </c>
    </row>
    <row r="3496" spans="1:9" x14ac:dyDescent="0.35">
      <c r="A3496" s="2" t="s">
        <v>337</v>
      </c>
      <c r="B3496" s="3">
        <v>44621</v>
      </c>
      <c r="C3496" s="2">
        <v>15</v>
      </c>
      <c r="D3496" s="2">
        <v>23731</v>
      </c>
      <c r="E3496" s="17">
        <v>50160.19</v>
      </c>
      <c r="F3496" s="11">
        <v>6.41</v>
      </c>
      <c r="G3496" s="9">
        <v>3666.1</v>
      </c>
      <c r="H3496" s="10">
        <v>0.53300000000000003</v>
      </c>
      <c r="I3496" s="11">
        <v>7.9</v>
      </c>
    </row>
    <row r="3497" spans="1:9" x14ac:dyDescent="0.35">
      <c r="A3497" s="2" t="s">
        <v>337</v>
      </c>
      <c r="B3497" s="3">
        <v>44652</v>
      </c>
      <c r="C3497" s="2">
        <v>16</v>
      </c>
      <c r="D3497" s="2">
        <v>26530</v>
      </c>
      <c r="E3497" s="17">
        <v>58652.38</v>
      </c>
      <c r="F3497" s="11">
        <v>6.46</v>
      </c>
      <c r="G3497" s="9">
        <v>4127.1000000000004</v>
      </c>
      <c r="H3497" s="10">
        <v>0.5</v>
      </c>
      <c r="I3497" s="11">
        <v>7.1</v>
      </c>
    </row>
    <row r="3498" spans="1:9" x14ac:dyDescent="0.35">
      <c r="A3498" s="2" t="s">
        <v>337</v>
      </c>
      <c r="B3498" s="3">
        <v>44682</v>
      </c>
      <c r="C3498" s="2">
        <v>17</v>
      </c>
      <c r="D3498" s="2">
        <v>21431</v>
      </c>
      <c r="E3498" s="17">
        <v>46473.97</v>
      </c>
      <c r="F3498" s="11">
        <v>6.64</v>
      </c>
      <c r="G3498" s="9">
        <v>3220.2</v>
      </c>
      <c r="H3498" s="10">
        <v>0.58799999999999997</v>
      </c>
      <c r="I3498" s="11">
        <v>6</v>
      </c>
    </row>
    <row r="3499" spans="1:9" x14ac:dyDescent="0.35">
      <c r="A3499" s="2" t="s">
        <v>337</v>
      </c>
      <c r="B3499" s="3">
        <v>44713</v>
      </c>
      <c r="C3499" s="2">
        <v>11</v>
      </c>
      <c r="D3499" s="2">
        <v>14262</v>
      </c>
      <c r="E3499" s="17">
        <v>32837.9</v>
      </c>
      <c r="F3499" s="11">
        <v>6.47</v>
      </c>
      <c r="G3499" s="9">
        <v>2213.8000000000002</v>
      </c>
      <c r="H3499" s="10">
        <v>0.63600000000000001</v>
      </c>
      <c r="I3499" s="11">
        <v>5.5</v>
      </c>
    </row>
    <row r="3500" spans="1:9" x14ac:dyDescent="0.35">
      <c r="A3500" s="2" t="s">
        <v>337</v>
      </c>
      <c r="B3500" s="3">
        <v>44743</v>
      </c>
      <c r="C3500" s="2">
        <v>14</v>
      </c>
      <c r="D3500" s="2">
        <v>17784</v>
      </c>
      <c r="E3500" s="17">
        <v>39092.36</v>
      </c>
      <c r="F3500" s="11">
        <v>6.66</v>
      </c>
      <c r="G3500" s="9">
        <v>2706.2</v>
      </c>
      <c r="H3500" s="10">
        <v>0.42899999999999999</v>
      </c>
      <c r="I3500" s="11">
        <v>6.8</v>
      </c>
    </row>
    <row r="3501" spans="1:9" x14ac:dyDescent="0.35">
      <c r="A3501" s="2" t="s">
        <v>337</v>
      </c>
      <c r="B3501" s="3">
        <v>44774</v>
      </c>
      <c r="C3501" s="2">
        <v>16</v>
      </c>
      <c r="D3501" s="2">
        <v>19832</v>
      </c>
      <c r="E3501" s="17">
        <v>41133.4</v>
      </c>
      <c r="F3501" s="11">
        <v>6.53</v>
      </c>
      <c r="G3501" s="9">
        <v>3085.4</v>
      </c>
      <c r="H3501" s="10">
        <v>0.25</v>
      </c>
      <c r="I3501" s="11">
        <v>6.3</v>
      </c>
    </row>
    <row r="3502" spans="1:9" x14ac:dyDescent="0.35">
      <c r="A3502" s="2" t="s">
        <v>337</v>
      </c>
      <c r="B3502" s="3">
        <v>44805</v>
      </c>
      <c r="C3502" s="2">
        <v>19</v>
      </c>
      <c r="D3502" s="2">
        <v>30127</v>
      </c>
      <c r="E3502" s="17">
        <v>63527.93</v>
      </c>
      <c r="F3502" s="11">
        <v>6.57</v>
      </c>
      <c r="G3502" s="9">
        <v>4673.6000000000004</v>
      </c>
      <c r="H3502" s="10">
        <v>0.47399999999999998</v>
      </c>
      <c r="I3502" s="11">
        <v>8.1</v>
      </c>
    </row>
    <row r="3503" spans="1:9" x14ac:dyDescent="0.35">
      <c r="A3503" s="2" t="s">
        <v>337</v>
      </c>
      <c r="B3503" s="3">
        <v>44835</v>
      </c>
      <c r="C3503" s="2">
        <v>12</v>
      </c>
      <c r="D3503" s="2">
        <v>17267</v>
      </c>
      <c r="E3503" s="17">
        <v>36635.1</v>
      </c>
      <c r="F3503" s="11">
        <v>6.76</v>
      </c>
      <c r="G3503" s="9">
        <v>2534.6999999999998</v>
      </c>
      <c r="H3503" s="10">
        <v>0.58299999999999996</v>
      </c>
      <c r="I3503" s="11">
        <v>8</v>
      </c>
    </row>
    <row r="3504" spans="1:9" x14ac:dyDescent="0.35">
      <c r="A3504" s="2" t="s">
        <v>337</v>
      </c>
      <c r="B3504" s="3">
        <v>44866</v>
      </c>
      <c r="C3504" s="2">
        <v>16</v>
      </c>
      <c r="D3504" s="2">
        <v>22749</v>
      </c>
      <c r="E3504" s="17">
        <v>50775.24</v>
      </c>
      <c r="F3504" s="11">
        <v>6.34</v>
      </c>
      <c r="G3504" s="9">
        <v>3570.2</v>
      </c>
      <c r="H3504" s="10">
        <v>0.5</v>
      </c>
      <c r="I3504" s="11">
        <v>6.6</v>
      </c>
    </row>
    <row r="3505" spans="1:9" x14ac:dyDescent="0.35">
      <c r="A3505" s="2" t="s">
        <v>337</v>
      </c>
      <c r="B3505" s="3">
        <v>44896</v>
      </c>
      <c r="C3505" s="2">
        <v>19</v>
      </c>
      <c r="D3505" s="2">
        <v>29340</v>
      </c>
      <c r="E3505" s="17">
        <v>62569.66</v>
      </c>
      <c r="F3505" s="11">
        <v>6.61</v>
      </c>
      <c r="G3505" s="9">
        <v>4517.6000000000004</v>
      </c>
      <c r="H3505" s="10">
        <v>0.36799999999999999</v>
      </c>
      <c r="I3505" s="11">
        <v>7.9</v>
      </c>
    </row>
    <row r="3506" spans="1:9" x14ac:dyDescent="0.35">
      <c r="A3506" s="2" t="s">
        <v>337</v>
      </c>
      <c r="B3506" s="3">
        <v>44927</v>
      </c>
      <c r="C3506" s="2">
        <v>20</v>
      </c>
      <c r="D3506" s="2">
        <v>28310</v>
      </c>
      <c r="E3506" s="17">
        <v>60580.73</v>
      </c>
      <c r="F3506" s="11">
        <v>6.34</v>
      </c>
      <c r="G3506" s="9">
        <v>4554.3</v>
      </c>
      <c r="H3506" s="10">
        <v>0.45</v>
      </c>
      <c r="I3506" s="11">
        <v>6.1</v>
      </c>
    </row>
    <row r="3507" spans="1:9" x14ac:dyDescent="0.35">
      <c r="A3507" s="2" t="s">
        <v>337</v>
      </c>
      <c r="B3507" s="3">
        <v>44958</v>
      </c>
      <c r="C3507" s="2">
        <v>19</v>
      </c>
      <c r="D3507" s="2">
        <v>29800</v>
      </c>
      <c r="E3507" s="17">
        <v>61440.23</v>
      </c>
      <c r="F3507" s="11">
        <v>6.33</v>
      </c>
      <c r="G3507" s="9">
        <v>4639.3</v>
      </c>
      <c r="H3507" s="10">
        <v>0.316</v>
      </c>
      <c r="I3507" s="11">
        <v>6.9</v>
      </c>
    </row>
    <row r="3508" spans="1:9" x14ac:dyDescent="0.35">
      <c r="A3508" s="2" t="s">
        <v>337</v>
      </c>
      <c r="B3508" s="3">
        <v>44986</v>
      </c>
      <c r="C3508" s="2">
        <v>11</v>
      </c>
      <c r="D3508" s="2">
        <v>14366</v>
      </c>
      <c r="E3508" s="17">
        <v>31389.8</v>
      </c>
      <c r="F3508" s="11">
        <v>6.4</v>
      </c>
      <c r="G3508" s="9">
        <v>2247.1</v>
      </c>
      <c r="H3508" s="10">
        <v>0.45500000000000002</v>
      </c>
      <c r="I3508" s="11">
        <v>8</v>
      </c>
    </row>
    <row r="3509" spans="1:9" x14ac:dyDescent="0.35">
      <c r="A3509" s="2" t="s">
        <v>337</v>
      </c>
      <c r="B3509" s="3">
        <v>45017</v>
      </c>
      <c r="C3509" s="2">
        <v>14</v>
      </c>
      <c r="D3509" s="2">
        <v>20480</v>
      </c>
      <c r="E3509" s="17">
        <v>48257.63</v>
      </c>
      <c r="F3509" s="11">
        <v>6.65</v>
      </c>
      <c r="G3509" s="9">
        <v>3108.1</v>
      </c>
      <c r="H3509" s="10">
        <v>0.35699999999999998</v>
      </c>
      <c r="I3509" s="11">
        <v>7.1</v>
      </c>
    </row>
    <row r="3510" spans="1:9" x14ac:dyDescent="0.35">
      <c r="A3510" s="2" t="s">
        <v>337</v>
      </c>
      <c r="B3510" s="3">
        <v>45047</v>
      </c>
      <c r="C3510" s="2">
        <v>16</v>
      </c>
      <c r="D3510" s="2">
        <v>20100</v>
      </c>
      <c r="E3510" s="17">
        <v>45368.2</v>
      </c>
      <c r="F3510" s="11">
        <v>6.67</v>
      </c>
      <c r="G3510" s="9">
        <v>3068.1</v>
      </c>
      <c r="H3510" s="10">
        <v>0.375</v>
      </c>
      <c r="I3510" s="11">
        <v>8.1</v>
      </c>
    </row>
    <row r="3511" spans="1:9" x14ac:dyDescent="0.35">
      <c r="A3511" s="2" t="s">
        <v>337</v>
      </c>
      <c r="B3511" s="3">
        <v>45078</v>
      </c>
      <c r="C3511" s="2">
        <v>21</v>
      </c>
      <c r="D3511" s="2">
        <v>33891</v>
      </c>
      <c r="E3511" s="17">
        <v>72538.259999999995</v>
      </c>
      <c r="F3511" s="11">
        <v>6.53</v>
      </c>
      <c r="G3511" s="9">
        <v>5135.8</v>
      </c>
      <c r="H3511" s="10">
        <v>0.47599999999999998</v>
      </c>
      <c r="I3511" s="11">
        <v>7.2</v>
      </c>
    </row>
    <row r="3512" spans="1:9" x14ac:dyDescent="0.35">
      <c r="A3512" s="2" t="s">
        <v>337</v>
      </c>
      <c r="B3512" s="3">
        <v>45108</v>
      </c>
      <c r="C3512" s="2">
        <v>22</v>
      </c>
      <c r="D3512" s="2">
        <v>23782</v>
      </c>
      <c r="E3512" s="17">
        <v>48473.05</v>
      </c>
      <c r="F3512" s="11">
        <v>6.45</v>
      </c>
      <c r="G3512" s="9">
        <v>3748.6</v>
      </c>
      <c r="H3512" s="10">
        <v>0.36399999999999999</v>
      </c>
      <c r="I3512" s="11">
        <v>8.1999999999999993</v>
      </c>
    </row>
    <row r="3513" spans="1:9" x14ac:dyDescent="0.35">
      <c r="A3513" s="2" t="s">
        <v>337</v>
      </c>
      <c r="B3513" s="3">
        <v>45139</v>
      </c>
      <c r="C3513" s="2">
        <v>14</v>
      </c>
      <c r="D3513" s="2">
        <v>23226</v>
      </c>
      <c r="E3513" s="17">
        <v>53627.64</v>
      </c>
      <c r="F3513" s="11">
        <v>6.37</v>
      </c>
      <c r="G3513" s="9">
        <v>3638.9</v>
      </c>
      <c r="H3513" s="10">
        <v>0.35699999999999998</v>
      </c>
      <c r="I3513" s="11">
        <v>7.4</v>
      </c>
    </row>
    <row r="3514" spans="1:9" x14ac:dyDescent="0.35">
      <c r="A3514" s="2" t="s">
        <v>337</v>
      </c>
      <c r="B3514" s="3">
        <v>45170</v>
      </c>
      <c r="C3514" s="2">
        <v>21</v>
      </c>
      <c r="D3514" s="2">
        <v>34268</v>
      </c>
      <c r="E3514" s="17">
        <v>70536.039999999994</v>
      </c>
      <c r="F3514" s="11">
        <v>6.6</v>
      </c>
      <c r="G3514" s="9">
        <v>5230.8</v>
      </c>
      <c r="H3514" s="10">
        <v>0.52400000000000002</v>
      </c>
      <c r="I3514" s="11">
        <v>7.3</v>
      </c>
    </row>
    <row r="3515" spans="1:9" x14ac:dyDescent="0.35">
      <c r="A3515" s="2" t="s">
        <v>337</v>
      </c>
      <c r="B3515" s="3">
        <v>45200</v>
      </c>
      <c r="C3515" s="2">
        <v>26</v>
      </c>
      <c r="D3515" s="2">
        <v>33158</v>
      </c>
      <c r="E3515" s="17">
        <v>74447.179999999993</v>
      </c>
      <c r="F3515" s="11">
        <v>6.52</v>
      </c>
      <c r="G3515" s="9">
        <v>5079.5</v>
      </c>
      <c r="H3515" s="10">
        <v>0.38500000000000001</v>
      </c>
      <c r="I3515" s="11">
        <v>6</v>
      </c>
    </row>
    <row r="3516" spans="1:9" x14ac:dyDescent="0.35">
      <c r="A3516" s="2" t="s">
        <v>337</v>
      </c>
      <c r="B3516" s="3">
        <v>45231</v>
      </c>
      <c r="C3516" s="2">
        <v>19</v>
      </c>
      <c r="D3516" s="2">
        <v>20650</v>
      </c>
      <c r="E3516" s="17">
        <v>43632.71</v>
      </c>
      <c r="F3516" s="11">
        <v>6.56</v>
      </c>
      <c r="G3516" s="9">
        <v>3146.4</v>
      </c>
      <c r="H3516" s="10">
        <v>0.21099999999999999</v>
      </c>
      <c r="I3516" s="11">
        <v>6.7</v>
      </c>
    </row>
    <row r="3517" spans="1:9" x14ac:dyDescent="0.35">
      <c r="A3517" s="2" t="s">
        <v>337</v>
      </c>
      <c r="B3517" s="3">
        <v>45261</v>
      </c>
      <c r="C3517" s="2">
        <v>16</v>
      </c>
      <c r="D3517" s="2">
        <v>23947</v>
      </c>
      <c r="E3517" s="17">
        <v>50338.81</v>
      </c>
      <c r="F3517" s="11">
        <v>6.51</v>
      </c>
      <c r="G3517" s="9">
        <v>3653.8</v>
      </c>
      <c r="H3517" s="10">
        <v>0.125</v>
      </c>
      <c r="I3517" s="11">
        <v>8.5</v>
      </c>
    </row>
    <row r="3518" spans="1:9" x14ac:dyDescent="0.35">
      <c r="A3518" s="2" t="s">
        <v>337</v>
      </c>
      <c r="B3518" s="3">
        <v>45292</v>
      </c>
      <c r="C3518" s="2">
        <v>19</v>
      </c>
      <c r="D3518" s="2">
        <v>24928</v>
      </c>
      <c r="E3518" s="17">
        <v>55582.83</v>
      </c>
      <c r="F3518" s="11">
        <v>6.44</v>
      </c>
      <c r="G3518" s="9">
        <v>3909.6</v>
      </c>
      <c r="H3518" s="10">
        <v>0.47399999999999998</v>
      </c>
      <c r="I3518" s="11">
        <v>7</v>
      </c>
    </row>
    <row r="3519" spans="1:9" x14ac:dyDescent="0.35">
      <c r="A3519" s="2" t="s">
        <v>337</v>
      </c>
      <c r="B3519" s="3">
        <v>45323</v>
      </c>
      <c r="C3519" s="2">
        <v>17</v>
      </c>
      <c r="D3519" s="2">
        <v>28006</v>
      </c>
      <c r="E3519" s="17">
        <v>62058.06</v>
      </c>
      <c r="F3519" s="11">
        <v>6.42</v>
      </c>
      <c r="G3519" s="9">
        <v>4420.1000000000004</v>
      </c>
      <c r="H3519" s="10">
        <v>0.41199999999999998</v>
      </c>
      <c r="I3519" s="11">
        <v>7</v>
      </c>
    </row>
    <row r="3520" spans="1:9" x14ac:dyDescent="0.35">
      <c r="A3520" s="2" t="s">
        <v>337</v>
      </c>
      <c r="B3520" s="3">
        <v>45352</v>
      </c>
      <c r="C3520" s="2">
        <v>13</v>
      </c>
      <c r="D3520" s="2">
        <v>20338</v>
      </c>
      <c r="E3520" s="17">
        <v>43933.11</v>
      </c>
      <c r="F3520" s="11">
        <v>6.27</v>
      </c>
      <c r="G3520" s="9">
        <v>3375.8</v>
      </c>
      <c r="H3520" s="10">
        <v>0.23100000000000001</v>
      </c>
      <c r="I3520" s="11">
        <v>6.8</v>
      </c>
    </row>
    <row r="3521" spans="1:9" x14ac:dyDescent="0.35">
      <c r="A3521" s="2" t="s">
        <v>337</v>
      </c>
      <c r="B3521" s="3">
        <v>45383</v>
      </c>
      <c r="C3521" s="2">
        <v>23</v>
      </c>
      <c r="D3521" s="2">
        <v>28118</v>
      </c>
      <c r="E3521" s="17">
        <v>61172.46</v>
      </c>
      <c r="F3521" s="11">
        <v>6.5</v>
      </c>
      <c r="G3521" s="9">
        <v>4355</v>
      </c>
      <c r="H3521" s="10">
        <v>0.435</v>
      </c>
      <c r="I3521" s="11">
        <v>6.8</v>
      </c>
    </row>
    <row r="3522" spans="1:9" x14ac:dyDescent="0.35">
      <c r="A3522" s="2" t="s">
        <v>337</v>
      </c>
      <c r="B3522" s="3">
        <v>45413</v>
      </c>
      <c r="C3522" s="2">
        <v>15</v>
      </c>
      <c r="D3522" s="2">
        <v>21236</v>
      </c>
      <c r="E3522" s="17">
        <v>46100.38</v>
      </c>
      <c r="F3522" s="11">
        <v>6.76</v>
      </c>
      <c r="G3522" s="9">
        <v>3163.7</v>
      </c>
      <c r="H3522" s="10">
        <v>0.6</v>
      </c>
      <c r="I3522" s="11">
        <v>6.9</v>
      </c>
    </row>
    <row r="3523" spans="1:9" x14ac:dyDescent="0.35">
      <c r="A3523" s="2" t="s">
        <v>337</v>
      </c>
      <c r="B3523" s="3">
        <v>45444</v>
      </c>
      <c r="C3523" s="2">
        <v>15</v>
      </c>
      <c r="D3523" s="2">
        <v>20408</v>
      </c>
      <c r="E3523" s="17">
        <v>48291.67</v>
      </c>
      <c r="F3523" s="11">
        <v>6.16</v>
      </c>
      <c r="G3523" s="9">
        <v>3363.2</v>
      </c>
      <c r="H3523" s="10">
        <v>0.4</v>
      </c>
      <c r="I3523" s="11">
        <v>8.4</v>
      </c>
    </row>
    <row r="3524" spans="1:9" x14ac:dyDescent="0.35">
      <c r="A3524" s="2" t="s">
        <v>337</v>
      </c>
      <c r="B3524" s="3">
        <v>45474</v>
      </c>
      <c r="C3524" s="2">
        <v>22</v>
      </c>
      <c r="D3524" s="2">
        <v>38338</v>
      </c>
      <c r="E3524" s="17">
        <v>78996.800000000003</v>
      </c>
      <c r="F3524" s="11">
        <v>6.49</v>
      </c>
      <c r="G3524" s="9">
        <v>5953.2</v>
      </c>
      <c r="H3524" s="10">
        <v>0.36399999999999999</v>
      </c>
      <c r="I3524" s="11">
        <v>7</v>
      </c>
    </row>
    <row r="3525" spans="1:9" x14ac:dyDescent="0.35">
      <c r="A3525" s="2" t="s">
        <v>337</v>
      </c>
      <c r="B3525" s="3">
        <v>45505</v>
      </c>
      <c r="C3525" s="2">
        <v>20</v>
      </c>
      <c r="D3525" s="2">
        <v>28172</v>
      </c>
      <c r="E3525" s="17">
        <v>61283.85</v>
      </c>
      <c r="F3525" s="11">
        <v>6.74</v>
      </c>
      <c r="G3525" s="9">
        <v>4212.7</v>
      </c>
      <c r="H3525" s="10">
        <v>0.45</v>
      </c>
      <c r="I3525" s="11">
        <v>5.8</v>
      </c>
    </row>
    <row r="3526" spans="1:9" x14ac:dyDescent="0.35">
      <c r="A3526" s="2" t="s">
        <v>337</v>
      </c>
      <c r="B3526" s="3">
        <v>45536</v>
      </c>
      <c r="C3526" s="2">
        <v>20</v>
      </c>
      <c r="D3526" s="2">
        <v>28688</v>
      </c>
      <c r="E3526" s="17">
        <v>57419.7</v>
      </c>
      <c r="F3526" s="11">
        <v>6.38</v>
      </c>
      <c r="G3526" s="9">
        <v>4556.8999999999996</v>
      </c>
      <c r="H3526" s="10">
        <v>0.4</v>
      </c>
      <c r="I3526" s="11">
        <v>6.8</v>
      </c>
    </row>
    <row r="3527" spans="1:9" x14ac:dyDescent="0.35">
      <c r="A3527" s="2" t="s">
        <v>337</v>
      </c>
      <c r="B3527" s="3">
        <v>45566</v>
      </c>
      <c r="C3527" s="2">
        <v>24</v>
      </c>
      <c r="D3527" s="2">
        <v>26973</v>
      </c>
      <c r="E3527" s="17">
        <v>57951.25</v>
      </c>
      <c r="F3527" s="11">
        <v>6.54</v>
      </c>
      <c r="G3527" s="9">
        <v>4096.3999999999996</v>
      </c>
      <c r="H3527" s="10">
        <v>0.66700000000000004</v>
      </c>
      <c r="I3527" s="11">
        <v>8.3000000000000007</v>
      </c>
    </row>
    <row r="3528" spans="1:9" x14ac:dyDescent="0.35">
      <c r="A3528" s="2" t="s">
        <v>337</v>
      </c>
      <c r="B3528" s="3">
        <v>45597</v>
      </c>
      <c r="C3528" s="2">
        <v>22</v>
      </c>
      <c r="D3528" s="2">
        <v>30347</v>
      </c>
      <c r="E3528" s="17">
        <v>69010.89</v>
      </c>
      <c r="F3528" s="11">
        <v>6.67</v>
      </c>
      <c r="G3528" s="9">
        <v>4592.3</v>
      </c>
      <c r="H3528" s="10">
        <v>0.318</v>
      </c>
      <c r="I3528" s="11">
        <v>6.4</v>
      </c>
    </row>
    <row r="3529" spans="1:9" x14ac:dyDescent="0.35">
      <c r="A3529" s="2" t="s">
        <v>337</v>
      </c>
      <c r="B3529" s="3">
        <v>45627</v>
      </c>
      <c r="C3529" s="2">
        <v>23</v>
      </c>
      <c r="D3529" s="2">
        <v>30785</v>
      </c>
      <c r="E3529" s="17">
        <v>64227.94</v>
      </c>
      <c r="F3529" s="11">
        <v>6.49</v>
      </c>
      <c r="G3529" s="9">
        <v>4848.1000000000004</v>
      </c>
      <c r="H3529" s="10">
        <v>0.435</v>
      </c>
      <c r="I3529" s="11">
        <v>5.8</v>
      </c>
    </row>
    <row r="3530" spans="1:9" x14ac:dyDescent="0.35">
      <c r="A3530" s="2" t="s">
        <v>339</v>
      </c>
      <c r="B3530" s="3">
        <v>44562</v>
      </c>
      <c r="C3530" s="2">
        <v>12</v>
      </c>
      <c r="D3530" s="2">
        <v>20722</v>
      </c>
      <c r="E3530" s="17">
        <v>45449.760000000002</v>
      </c>
      <c r="F3530" s="11">
        <v>6.47</v>
      </c>
      <c r="G3530" s="9">
        <v>3265.5</v>
      </c>
      <c r="H3530" s="10">
        <v>0.58299999999999996</v>
      </c>
      <c r="I3530" s="11">
        <v>7.1</v>
      </c>
    </row>
    <row r="3531" spans="1:9" x14ac:dyDescent="0.35">
      <c r="A3531" s="2" t="s">
        <v>339</v>
      </c>
      <c r="B3531" s="3">
        <v>44593</v>
      </c>
      <c r="C3531" s="2">
        <v>15</v>
      </c>
      <c r="D3531" s="2">
        <v>20298</v>
      </c>
      <c r="E3531" s="17">
        <v>44829.8</v>
      </c>
      <c r="F3531" s="11">
        <v>6.52</v>
      </c>
      <c r="G3531" s="9">
        <v>3117.2</v>
      </c>
      <c r="H3531" s="10">
        <v>0.46700000000000003</v>
      </c>
      <c r="I3531" s="11">
        <v>5.9</v>
      </c>
    </row>
    <row r="3532" spans="1:9" x14ac:dyDescent="0.35">
      <c r="A3532" s="2" t="s">
        <v>339</v>
      </c>
      <c r="B3532" s="3">
        <v>44621</v>
      </c>
      <c r="C3532" s="2">
        <v>19</v>
      </c>
      <c r="D3532" s="2">
        <v>28279</v>
      </c>
      <c r="E3532" s="17">
        <v>61847.22</v>
      </c>
      <c r="F3532" s="11">
        <v>6.56</v>
      </c>
      <c r="G3532" s="9">
        <v>4380.6000000000004</v>
      </c>
      <c r="H3532" s="10">
        <v>0.52600000000000002</v>
      </c>
      <c r="I3532" s="11">
        <v>7.8</v>
      </c>
    </row>
    <row r="3533" spans="1:9" x14ac:dyDescent="0.35">
      <c r="A3533" s="2" t="s">
        <v>339</v>
      </c>
      <c r="B3533" s="3">
        <v>44652</v>
      </c>
      <c r="C3533" s="2">
        <v>30</v>
      </c>
      <c r="D3533" s="2">
        <v>35708</v>
      </c>
      <c r="E3533" s="17">
        <v>74356.320000000007</v>
      </c>
      <c r="F3533" s="11">
        <v>6.4</v>
      </c>
      <c r="G3533" s="9">
        <v>5612.4</v>
      </c>
      <c r="H3533" s="10">
        <v>0.36699999999999999</v>
      </c>
      <c r="I3533" s="11">
        <v>7.7</v>
      </c>
    </row>
    <row r="3534" spans="1:9" x14ac:dyDescent="0.35">
      <c r="A3534" s="2" t="s">
        <v>339</v>
      </c>
      <c r="B3534" s="3">
        <v>44682</v>
      </c>
      <c r="C3534" s="2">
        <v>19</v>
      </c>
      <c r="D3534" s="2">
        <v>22746</v>
      </c>
      <c r="E3534" s="17">
        <v>42387.44</v>
      </c>
      <c r="F3534" s="11">
        <v>6.51</v>
      </c>
      <c r="G3534" s="9">
        <v>3495.4</v>
      </c>
      <c r="H3534" s="10">
        <v>0.52600000000000002</v>
      </c>
      <c r="I3534" s="11">
        <v>8.1999999999999993</v>
      </c>
    </row>
    <row r="3535" spans="1:9" x14ac:dyDescent="0.35">
      <c r="A3535" s="2" t="s">
        <v>339</v>
      </c>
      <c r="B3535" s="3">
        <v>44713</v>
      </c>
      <c r="C3535" s="2">
        <v>20</v>
      </c>
      <c r="D3535" s="2">
        <v>23065</v>
      </c>
      <c r="E3535" s="17">
        <v>47505.62</v>
      </c>
      <c r="F3535" s="11">
        <v>6.72</v>
      </c>
      <c r="G3535" s="9">
        <v>3527.2</v>
      </c>
      <c r="H3535" s="10">
        <v>0.5</v>
      </c>
      <c r="I3535" s="11">
        <v>8.1999999999999993</v>
      </c>
    </row>
    <row r="3536" spans="1:9" x14ac:dyDescent="0.35">
      <c r="A3536" s="2" t="s">
        <v>339</v>
      </c>
      <c r="B3536" s="3">
        <v>44743</v>
      </c>
      <c r="C3536" s="2">
        <v>23</v>
      </c>
      <c r="D3536" s="2">
        <v>37046</v>
      </c>
      <c r="E3536" s="17">
        <v>74778.460000000006</v>
      </c>
      <c r="F3536" s="11">
        <v>6.48</v>
      </c>
      <c r="G3536" s="9">
        <v>5800</v>
      </c>
      <c r="H3536" s="10">
        <v>0.52200000000000002</v>
      </c>
      <c r="I3536" s="11">
        <v>7.3</v>
      </c>
    </row>
    <row r="3537" spans="1:9" x14ac:dyDescent="0.35">
      <c r="A3537" s="2" t="s">
        <v>339</v>
      </c>
      <c r="B3537" s="3">
        <v>44774</v>
      </c>
      <c r="C3537" s="2">
        <v>26</v>
      </c>
      <c r="D3537" s="2">
        <v>33273</v>
      </c>
      <c r="E3537" s="17">
        <v>67571.13</v>
      </c>
      <c r="F3537" s="11">
        <v>6.41</v>
      </c>
      <c r="G3537" s="9">
        <v>5137.7</v>
      </c>
      <c r="H3537" s="10">
        <v>0.5</v>
      </c>
      <c r="I3537" s="11">
        <v>6.9</v>
      </c>
    </row>
    <row r="3538" spans="1:9" x14ac:dyDescent="0.35">
      <c r="A3538" s="2" t="s">
        <v>339</v>
      </c>
      <c r="B3538" s="3">
        <v>44805</v>
      </c>
      <c r="C3538" s="2">
        <v>23</v>
      </c>
      <c r="D3538" s="2">
        <v>33881</v>
      </c>
      <c r="E3538" s="17">
        <v>74896.61</v>
      </c>
      <c r="F3538" s="11">
        <v>6.44</v>
      </c>
      <c r="G3538" s="9">
        <v>5354.1</v>
      </c>
      <c r="H3538" s="10">
        <v>0.56499999999999995</v>
      </c>
      <c r="I3538" s="11">
        <v>6.7</v>
      </c>
    </row>
    <row r="3539" spans="1:9" x14ac:dyDescent="0.35">
      <c r="A3539" s="2" t="s">
        <v>339</v>
      </c>
      <c r="B3539" s="3">
        <v>44835</v>
      </c>
      <c r="C3539" s="2">
        <v>17</v>
      </c>
      <c r="D3539" s="2">
        <v>20842</v>
      </c>
      <c r="E3539" s="17">
        <v>41063.29</v>
      </c>
      <c r="F3539" s="11">
        <v>6.58</v>
      </c>
      <c r="G3539" s="9">
        <v>3182.2</v>
      </c>
      <c r="H3539" s="10">
        <v>0.52900000000000003</v>
      </c>
      <c r="I3539" s="11">
        <v>6.6</v>
      </c>
    </row>
    <row r="3540" spans="1:9" x14ac:dyDescent="0.35">
      <c r="A3540" s="2" t="s">
        <v>339</v>
      </c>
      <c r="B3540" s="3">
        <v>44866</v>
      </c>
      <c r="C3540" s="2">
        <v>19</v>
      </c>
      <c r="D3540" s="2">
        <v>26546</v>
      </c>
      <c r="E3540" s="17">
        <v>57161.48</v>
      </c>
      <c r="F3540" s="11">
        <v>6.29</v>
      </c>
      <c r="G3540" s="9">
        <v>4204.5</v>
      </c>
      <c r="H3540" s="10">
        <v>0.47399999999999998</v>
      </c>
      <c r="I3540" s="11">
        <v>7.4</v>
      </c>
    </row>
    <row r="3541" spans="1:9" x14ac:dyDescent="0.35">
      <c r="A3541" s="2" t="s">
        <v>339</v>
      </c>
      <c r="B3541" s="3">
        <v>44896</v>
      </c>
      <c r="C3541" s="2">
        <v>15</v>
      </c>
      <c r="D3541" s="2">
        <v>15107</v>
      </c>
      <c r="E3541" s="17">
        <v>31606.95</v>
      </c>
      <c r="F3541" s="11">
        <v>6.35</v>
      </c>
      <c r="G3541" s="9">
        <v>2386.5</v>
      </c>
      <c r="H3541" s="10">
        <v>0.6</v>
      </c>
      <c r="I3541" s="11">
        <v>6.5</v>
      </c>
    </row>
    <row r="3542" spans="1:9" x14ac:dyDescent="0.35">
      <c r="A3542" s="2" t="s">
        <v>339</v>
      </c>
      <c r="B3542" s="3">
        <v>44927</v>
      </c>
      <c r="C3542" s="2">
        <v>15</v>
      </c>
      <c r="D3542" s="2">
        <v>22925</v>
      </c>
      <c r="E3542" s="17">
        <v>46465.97</v>
      </c>
      <c r="F3542" s="11">
        <v>6.5</v>
      </c>
      <c r="G3542" s="9">
        <v>3552.2</v>
      </c>
      <c r="H3542" s="10">
        <v>0.53300000000000003</v>
      </c>
      <c r="I3542" s="11">
        <v>6.6</v>
      </c>
    </row>
    <row r="3543" spans="1:9" x14ac:dyDescent="0.35">
      <c r="A3543" s="2" t="s">
        <v>339</v>
      </c>
      <c r="B3543" s="3">
        <v>44958</v>
      </c>
      <c r="C3543" s="2">
        <v>25</v>
      </c>
      <c r="D3543" s="2">
        <v>36331</v>
      </c>
      <c r="E3543" s="17">
        <v>78288.78</v>
      </c>
      <c r="F3543" s="11">
        <v>6.4</v>
      </c>
      <c r="G3543" s="9">
        <v>5802.8</v>
      </c>
      <c r="H3543" s="10">
        <v>0.44</v>
      </c>
      <c r="I3543" s="11">
        <v>7.8</v>
      </c>
    </row>
    <row r="3544" spans="1:9" x14ac:dyDescent="0.35">
      <c r="A3544" s="2" t="s">
        <v>339</v>
      </c>
      <c r="B3544" s="3">
        <v>44986</v>
      </c>
      <c r="C3544" s="2">
        <v>20</v>
      </c>
      <c r="D3544" s="2">
        <v>23737</v>
      </c>
      <c r="E3544" s="17">
        <v>53454.7</v>
      </c>
      <c r="F3544" s="11">
        <v>6.48</v>
      </c>
      <c r="G3544" s="9">
        <v>3664</v>
      </c>
      <c r="H3544" s="10">
        <v>0.55000000000000004</v>
      </c>
      <c r="I3544" s="11">
        <v>6.5</v>
      </c>
    </row>
    <row r="3545" spans="1:9" x14ac:dyDescent="0.35">
      <c r="A3545" s="2" t="s">
        <v>339</v>
      </c>
      <c r="B3545" s="3">
        <v>45017</v>
      </c>
      <c r="C3545" s="2">
        <v>16</v>
      </c>
      <c r="D3545" s="2">
        <v>27279</v>
      </c>
      <c r="E3545" s="17">
        <v>54279.31</v>
      </c>
      <c r="F3545" s="11">
        <v>6.76</v>
      </c>
      <c r="G3545" s="9">
        <v>4029</v>
      </c>
      <c r="H3545" s="10">
        <v>0.56200000000000006</v>
      </c>
      <c r="I3545" s="11">
        <v>6.8</v>
      </c>
    </row>
    <row r="3546" spans="1:9" x14ac:dyDescent="0.35">
      <c r="A3546" s="2" t="s">
        <v>339</v>
      </c>
      <c r="B3546" s="3">
        <v>45047</v>
      </c>
      <c r="C3546" s="2">
        <v>18</v>
      </c>
      <c r="D3546" s="2">
        <v>26271</v>
      </c>
      <c r="E3546" s="17">
        <v>52748.01</v>
      </c>
      <c r="F3546" s="11">
        <v>6.64</v>
      </c>
      <c r="G3546" s="9">
        <v>3950.1</v>
      </c>
      <c r="H3546" s="10">
        <v>0.44400000000000001</v>
      </c>
      <c r="I3546" s="11">
        <v>6.5</v>
      </c>
    </row>
    <row r="3547" spans="1:9" x14ac:dyDescent="0.35">
      <c r="A3547" s="2" t="s">
        <v>339</v>
      </c>
      <c r="B3547" s="3">
        <v>45078</v>
      </c>
      <c r="C3547" s="2">
        <v>16</v>
      </c>
      <c r="D3547" s="2">
        <v>24563</v>
      </c>
      <c r="E3547" s="17">
        <v>55293.75</v>
      </c>
      <c r="F3547" s="11">
        <v>6.51</v>
      </c>
      <c r="G3547" s="9">
        <v>3837.6</v>
      </c>
      <c r="H3547" s="10">
        <v>0.312</v>
      </c>
      <c r="I3547" s="11">
        <v>6.7</v>
      </c>
    </row>
    <row r="3548" spans="1:9" x14ac:dyDescent="0.35">
      <c r="A3548" s="2" t="s">
        <v>339</v>
      </c>
      <c r="B3548" s="3">
        <v>45108</v>
      </c>
      <c r="C3548" s="2">
        <v>18</v>
      </c>
      <c r="D3548" s="2">
        <v>31422</v>
      </c>
      <c r="E3548" s="17">
        <v>71938.320000000007</v>
      </c>
      <c r="F3548" s="11">
        <v>6.42</v>
      </c>
      <c r="G3548" s="9">
        <v>4928.3</v>
      </c>
      <c r="H3548" s="10">
        <v>0.5</v>
      </c>
      <c r="I3548" s="11">
        <v>6.3</v>
      </c>
    </row>
    <row r="3549" spans="1:9" x14ac:dyDescent="0.35">
      <c r="A3549" s="2" t="s">
        <v>339</v>
      </c>
      <c r="B3549" s="3">
        <v>45139</v>
      </c>
      <c r="C3549" s="2">
        <v>20</v>
      </c>
      <c r="D3549" s="2">
        <v>30189</v>
      </c>
      <c r="E3549" s="17">
        <v>63585.05</v>
      </c>
      <c r="F3549" s="11">
        <v>6.61</v>
      </c>
      <c r="G3549" s="9">
        <v>4510.1000000000004</v>
      </c>
      <c r="H3549" s="10">
        <v>0.75</v>
      </c>
      <c r="I3549" s="11">
        <v>7.4</v>
      </c>
    </row>
    <row r="3550" spans="1:9" x14ac:dyDescent="0.35">
      <c r="A3550" s="2" t="s">
        <v>339</v>
      </c>
      <c r="B3550" s="3">
        <v>45170</v>
      </c>
      <c r="C3550" s="2">
        <v>12</v>
      </c>
      <c r="D3550" s="2">
        <v>13815</v>
      </c>
      <c r="E3550" s="17">
        <v>33320.339999999997</v>
      </c>
      <c r="F3550" s="11">
        <v>6.52</v>
      </c>
      <c r="G3550" s="9">
        <v>2144.1</v>
      </c>
      <c r="H3550" s="10">
        <v>0.25</v>
      </c>
      <c r="I3550" s="11">
        <v>7.1</v>
      </c>
    </row>
    <row r="3551" spans="1:9" x14ac:dyDescent="0.35">
      <c r="A3551" s="2" t="s">
        <v>339</v>
      </c>
      <c r="B3551" s="3">
        <v>45200</v>
      </c>
      <c r="C3551" s="2">
        <v>12</v>
      </c>
      <c r="D3551" s="2">
        <v>18043</v>
      </c>
      <c r="E3551" s="17">
        <v>39266.5</v>
      </c>
      <c r="F3551" s="11">
        <v>6.52</v>
      </c>
      <c r="G3551" s="9">
        <v>2790</v>
      </c>
      <c r="H3551" s="10">
        <v>0.66700000000000004</v>
      </c>
      <c r="I3551" s="11">
        <v>7.7</v>
      </c>
    </row>
    <row r="3552" spans="1:9" x14ac:dyDescent="0.35">
      <c r="A3552" s="2" t="s">
        <v>339</v>
      </c>
      <c r="B3552" s="3">
        <v>45231</v>
      </c>
      <c r="C3552" s="2">
        <v>16</v>
      </c>
      <c r="D3552" s="2">
        <v>20389</v>
      </c>
      <c r="E3552" s="17">
        <v>45166.81</v>
      </c>
      <c r="F3552" s="11">
        <v>6.46</v>
      </c>
      <c r="G3552" s="9">
        <v>3166.4</v>
      </c>
      <c r="H3552" s="10">
        <v>0.312</v>
      </c>
      <c r="I3552" s="11">
        <v>7.4</v>
      </c>
    </row>
    <row r="3553" spans="1:9" x14ac:dyDescent="0.35">
      <c r="A3553" s="2" t="s">
        <v>339</v>
      </c>
      <c r="B3553" s="3">
        <v>45261</v>
      </c>
      <c r="C3553" s="2">
        <v>15</v>
      </c>
      <c r="D3553" s="2">
        <v>16906</v>
      </c>
      <c r="E3553" s="17">
        <v>36225.14</v>
      </c>
      <c r="F3553" s="11">
        <v>6.5</v>
      </c>
      <c r="G3553" s="9">
        <v>2631.1</v>
      </c>
      <c r="H3553" s="10">
        <v>0.6</v>
      </c>
      <c r="I3553" s="11">
        <v>7</v>
      </c>
    </row>
    <row r="3554" spans="1:9" x14ac:dyDescent="0.35">
      <c r="A3554" s="2" t="s">
        <v>339</v>
      </c>
      <c r="B3554" s="3">
        <v>45292</v>
      </c>
      <c r="C3554" s="2">
        <v>20</v>
      </c>
      <c r="D3554" s="2">
        <v>26435</v>
      </c>
      <c r="E3554" s="17">
        <v>55381.52</v>
      </c>
      <c r="F3554" s="11">
        <v>6.53</v>
      </c>
      <c r="G3554" s="9">
        <v>3973.4</v>
      </c>
      <c r="H3554" s="10">
        <v>0.45</v>
      </c>
      <c r="I3554" s="11">
        <v>6.2</v>
      </c>
    </row>
    <row r="3555" spans="1:9" x14ac:dyDescent="0.35">
      <c r="A3555" s="2" t="s">
        <v>339</v>
      </c>
      <c r="B3555" s="3">
        <v>45323</v>
      </c>
      <c r="C3555" s="2">
        <v>23</v>
      </c>
      <c r="D3555" s="2">
        <v>35579</v>
      </c>
      <c r="E3555" s="17">
        <v>73391.259999999995</v>
      </c>
      <c r="F3555" s="11">
        <v>6.53</v>
      </c>
      <c r="G3555" s="9">
        <v>5503</v>
      </c>
      <c r="H3555" s="10">
        <v>0.56499999999999995</v>
      </c>
      <c r="I3555" s="11">
        <v>5.8</v>
      </c>
    </row>
    <row r="3556" spans="1:9" x14ac:dyDescent="0.35">
      <c r="A3556" s="2" t="s">
        <v>339</v>
      </c>
      <c r="B3556" s="3">
        <v>45352</v>
      </c>
      <c r="C3556" s="2">
        <v>25</v>
      </c>
      <c r="D3556" s="2">
        <v>33157</v>
      </c>
      <c r="E3556" s="17">
        <v>70866.78</v>
      </c>
      <c r="F3556" s="11">
        <v>6.54</v>
      </c>
      <c r="G3556" s="9">
        <v>5088.7</v>
      </c>
      <c r="H3556" s="10">
        <v>0.48</v>
      </c>
      <c r="I3556" s="11">
        <v>7.1</v>
      </c>
    </row>
    <row r="3557" spans="1:9" x14ac:dyDescent="0.35">
      <c r="A3557" s="2" t="s">
        <v>339</v>
      </c>
      <c r="B3557" s="3">
        <v>45383</v>
      </c>
      <c r="C3557" s="2">
        <v>12</v>
      </c>
      <c r="D3557" s="2">
        <v>16140</v>
      </c>
      <c r="E3557" s="17">
        <v>34159.72</v>
      </c>
      <c r="F3557" s="11">
        <v>6.58</v>
      </c>
      <c r="G3557" s="9">
        <v>2496.6</v>
      </c>
      <c r="H3557" s="10">
        <v>0.83299999999999996</v>
      </c>
      <c r="I3557" s="11">
        <v>5.8</v>
      </c>
    </row>
    <row r="3558" spans="1:9" x14ac:dyDescent="0.35">
      <c r="A3558" s="2" t="s">
        <v>339</v>
      </c>
      <c r="B3558" s="3">
        <v>45413</v>
      </c>
      <c r="C3558" s="2">
        <v>12</v>
      </c>
      <c r="D3558" s="2">
        <v>17404</v>
      </c>
      <c r="E3558" s="17">
        <v>39807.129999999997</v>
      </c>
      <c r="F3558" s="11">
        <v>6.33</v>
      </c>
      <c r="G3558" s="9">
        <v>2799.1</v>
      </c>
      <c r="H3558" s="10">
        <v>0.41699999999999998</v>
      </c>
      <c r="I3558" s="11">
        <v>5.8</v>
      </c>
    </row>
    <row r="3559" spans="1:9" x14ac:dyDescent="0.35">
      <c r="A3559" s="2" t="s">
        <v>339</v>
      </c>
      <c r="B3559" s="3">
        <v>45444</v>
      </c>
      <c r="C3559" s="2">
        <v>15</v>
      </c>
      <c r="D3559" s="2">
        <v>22414</v>
      </c>
      <c r="E3559" s="17">
        <v>55777.14</v>
      </c>
      <c r="F3559" s="11">
        <v>6.75</v>
      </c>
      <c r="G3559" s="9">
        <v>3322.4</v>
      </c>
      <c r="H3559" s="10">
        <v>0.33300000000000002</v>
      </c>
      <c r="I3559" s="11">
        <v>7.8</v>
      </c>
    </row>
    <row r="3560" spans="1:9" x14ac:dyDescent="0.35">
      <c r="A3560" s="2" t="s">
        <v>339</v>
      </c>
      <c r="B3560" s="3">
        <v>45474</v>
      </c>
      <c r="C3560" s="2">
        <v>16</v>
      </c>
      <c r="D3560" s="2">
        <v>29083</v>
      </c>
      <c r="E3560" s="17">
        <v>62571.46</v>
      </c>
      <c r="F3560" s="11">
        <v>6.69</v>
      </c>
      <c r="G3560" s="9">
        <v>4318.8999999999996</v>
      </c>
      <c r="H3560" s="10">
        <v>0.438</v>
      </c>
      <c r="I3560" s="11">
        <v>7.1</v>
      </c>
    </row>
    <row r="3561" spans="1:9" x14ac:dyDescent="0.35">
      <c r="A3561" s="2" t="s">
        <v>339</v>
      </c>
      <c r="B3561" s="3">
        <v>45505</v>
      </c>
      <c r="C3561" s="2">
        <v>12</v>
      </c>
      <c r="D3561" s="2">
        <v>14205</v>
      </c>
      <c r="E3561" s="17">
        <v>31253.58</v>
      </c>
      <c r="F3561" s="11">
        <v>6.61</v>
      </c>
      <c r="G3561" s="9">
        <v>2181.1</v>
      </c>
      <c r="H3561" s="10">
        <v>0.75</v>
      </c>
      <c r="I3561" s="11">
        <v>5.7</v>
      </c>
    </row>
    <row r="3562" spans="1:9" x14ac:dyDescent="0.35">
      <c r="A3562" s="2" t="s">
        <v>339</v>
      </c>
      <c r="B3562" s="3">
        <v>45536</v>
      </c>
      <c r="C3562" s="2">
        <v>21</v>
      </c>
      <c r="D3562" s="2">
        <v>31506</v>
      </c>
      <c r="E3562" s="17">
        <v>73270.350000000006</v>
      </c>
      <c r="F3562" s="11">
        <v>6.71</v>
      </c>
      <c r="G3562" s="9">
        <v>4723.5</v>
      </c>
      <c r="H3562" s="10">
        <v>0.38100000000000001</v>
      </c>
      <c r="I3562" s="11">
        <v>6.8</v>
      </c>
    </row>
    <row r="3563" spans="1:9" x14ac:dyDescent="0.35">
      <c r="A3563" s="2" t="s">
        <v>339</v>
      </c>
      <c r="B3563" s="3">
        <v>45566</v>
      </c>
      <c r="C3563" s="2">
        <v>15</v>
      </c>
      <c r="D3563" s="2">
        <v>19646</v>
      </c>
      <c r="E3563" s="17">
        <v>46162.06</v>
      </c>
      <c r="F3563" s="11">
        <v>6.43</v>
      </c>
      <c r="G3563" s="9">
        <v>3091.4</v>
      </c>
      <c r="H3563" s="10">
        <v>0.6</v>
      </c>
      <c r="I3563" s="11">
        <v>6</v>
      </c>
    </row>
    <row r="3564" spans="1:9" x14ac:dyDescent="0.35">
      <c r="A3564" s="2" t="s">
        <v>339</v>
      </c>
      <c r="B3564" s="3">
        <v>45597</v>
      </c>
      <c r="C3564" s="2">
        <v>20</v>
      </c>
      <c r="D3564" s="2">
        <v>28423</v>
      </c>
      <c r="E3564" s="17">
        <v>61163.97</v>
      </c>
      <c r="F3564" s="11">
        <v>6.41</v>
      </c>
      <c r="G3564" s="9">
        <v>4420.3999999999996</v>
      </c>
      <c r="H3564" s="10">
        <v>0.45</v>
      </c>
      <c r="I3564" s="11">
        <v>6.9</v>
      </c>
    </row>
    <row r="3565" spans="1:9" x14ac:dyDescent="0.35">
      <c r="A3565" s="2" t="s">
        <v>339</v>
      </c>
      <c r="B3565" s="3">
        <v>45627</v>
      </c>
      <c r="C3565" s="2">
        <v>14</v>
      </c>
      <c r="D3565" s="2">
        <v>26614</v>
      </c>
      <c r="E3565" s="17">
        <v>58498.98</v>
      </c>
      <c r="F3565" s="11">
        <v>6.36</v>
      </c>
      <c r="G3565" s="9">
        <v>4224</v>
      </c>
      <c r="H3565" s="10">
        <v>0.5</v>
      </c>
      <c r="I3565" s="11">
        <v>5.8</v>
      </c>
    </row>
    <row r="3566" spans="1:9" x14ac:dyDescent="0.35">
      <c r="A3566" s="2" t="s">
        <v>341</v>
      </c>
      <c r="B3566" s="3">
        <v>44562</v>
      </c>
      <c r="C3566" s="2">
        <v>11</v>
      </c>
      <c r="D3566" s="2">
        <v>13564</v>
      </c>
      <c r="E3566" s="17">
        <v>32355.62</v>
      </c>
      <c r="F3566" s="11">
        <v>6.53</v>
      </c>
      <c r="G3566" s="9">
        <v>2104</v>
      </c>
      <c r="H3566" s="10">
        <v>0.36399999999999999</v>
      </c>
      <c r="I3566" s="11">
        <v>7.1</v>
      </c>
    </row>
    <row r="3567" spans="1:9" x14ac:dyDescent="0.35">
      <c r="A3567" s="2" t="s">
        <v>341</v>
      </c>
      <c r="B3567" s="3">
        <v>44593</v>
      </c>
      <c r="C3567" s="2">
        <v>18</v>
      </c>
      <c r="D3567" s="2">
        <v>20406</v>
      </c>
      <c r="E3567" s="17">
        <v>46958.63</v>
      </c>
      <c r="F3567" s="11">
        <v>6.46</v>
      </c>
      <c r="G3567" s="9">
        <v>3164.8</v>
      </c>
      <c r="H3567" s="10">
        <v>0.55600000000000005</v>
      </c>
      <c r="I3567" s="11">
        <v>6.6</v>
      </c>
    </row>
    <row r="3568" spans="1:9" x14ac:dyDescent="0.35">
      <c r="A3568" s="2" t="s">
        <v>341</v>
      </c>
      <c r="B3568" s="3">
        <v>44621</v>
      </c>
      <c r="C3568" s="2">
        <v>16</v>
      </c>
      <c r="D3568" s="2">
        <v>28017</v>
      </c>
      <c r="E3568" s="17">
        <v>60626.69</v>
      </c>
      <c r="F3568" s="11">
        <v>6.53</v>
      </c>
      <c r="G3568" s="9">
        <v>4325.5</v>
      </c>
      <c r="H3568" s="10">
        <v>0.312</v>
      </c>
      <c r="I3568" s="11">
        <v>6.8</v>
      </c>
    </row>
    <row r="3569" spans="1:9" x14ac:dyDescent="0.35">
      <c r="A3569" s="2" t="s">
        <v>341</v>
      </c>
      <c r="B3569" s="3">
        <v>44652</v>
      </c>
      <c r="C3569" s="2">
        <v>25</v>
      </c>
      <c r="D3569" s="2">
        <v>30466</v>
      </c>
      <c r="E3569" s="17">
        <v>63931.92</v>
      </c>
      <c r="F3569" s="11">
        <v>6.76</v>
      </c>
      <c r="G3569" s="9">
        <v>4521.6000000000004</v>
      </c>
      <c r="H3569" s="10">
        <v>0.6</v>
      </c>
      <c r="I3569" s="11">
        <v>6.9</v>
      </c>
    </row>
    <row r="3570" spans="1:9" x14ac:dyDescent="0.35">
      <c r="A3570" s="2" t="s">
        <v>341</v>
      </c>
      <c r="B3570" s="3">
        <v>44682</v>
      </c>
      <c r="C3570" s="2">
        <v>22</v>
      </c>
      <c r="D3570" s="2">
        <v>39184</v>
      </c>
      <c r="E3570" s="17">
        <v>94027.61</v>
      </c>
      <c r="F3570" s="11">
        <v>6.43</v>
      </c>
      <c r="G3570" s="9">
        <v>6140.7</v>
      </c>
      <c r="H3570" s="10">
        <v>0.54500000000000004</v>
      </c>
      <c r="I3570" s="11">
        <v>7.6</v>
      </c>
    </row>
    <row r="3571" spans="1:9" x14ac:dyDescent="0.35">
      <c r="A3571" s="2" t="s">
        <v>341</v>
      </c>
      <c r="B3571" s="3">
        <v>44713</v>
      </c>
      <c r="C3571" s="2">
        <v>19</v>
      </c>
      <c r="D3571" s="2">
        <v>25170</v>
      </c>
      <c r="E3571" s="17">
        <v>50885.29</v>
      </c>
      <c r="F3571" s="11">
        <v>6.61</v>
      </c>
      <c r="G3571" s="9">
        <v>3918.4</v>
      </c>
      <c r="H3571" s="10">
        <v>0.57899999999999996</v>
      </c>
      <c r="I3571" s="11">
        <v>6.9</v>
      </c>
    </row>
    <row r="3572" spans="1:9" x14ac:dyDescent="0.35">
      <c r="A3572" s="2" t="s">
        <v>341</v>
      </c>
      <c r="B3572" s="3">
        <v>44743</v>
      </c>
      <c r="C3572" s="2">
        <v>16</v>
      </c>
      <c r="D3572" s="2">
        <v>24186</v>
      </c>
      <c r="E3572" s="17">
        <v>52033.11</v>
      </c>
      <c r="F3572" s="11">
        <v>6.26</v>
      </c>
      <c r="G3572" s="9">
        <v>3853.3</v>
      </c>
      <c r="H3572" s="10">
        <v>0.312</v>
      </c>
      <c r="I3572" s="11">
        <v>7.4</v>
      </c>
    </row>
    <row r="3573" spans="1:9" x14ac:dyDescent="0.35">
      <c r="A3573" s="2" t="s">
        <v>341</v>
      </c>
      <c r="B3573" s="3">
        <v>44774</v>
      </c>
      <c r="C3573" s="2">
        <v>20</v>
      </c>
      <c r="D3573" s="2">
        <v>29704</v>
      </c>
      <c r="E3573" s="17">
        <v>64170.05</v>
      </c>
      <c r="F3573" s="11">
        <v>6.65</v>
      </c>
      <c r="G3573" s="9">
        <v>4543.5</v>
      </c>
      <c r="H3573" s="10">
        <v>0.15</v>
      </c>
      <c r="I3573" s="11">
        <v>7.5</v>
      </c>
    </row>
    <row r="3574" spans="1:9" x14ac:dyDescent="0.35">
      <c r="A3574" s="2" t="s">
        <v>341</v>
      </c>
      <c r="B3574" s="3">
        <v>44805</v>
      </c>
      <c r="C3574" s="2">
        <v>11</v>
      </c>
      <c r="D3574" s="2">
        <v>15159</v>
      </c>
      <c r="E3574" s="17">
        <v>32745.95</v>
      </c>
      <c r="F3574" s="11">
        <v>6.56</v>
      </c>
      <c r="G3574" s="9">
        <v>2374.8000000000002</v>
      </c>
      <c r="H3574" s="10">
        <v>0.45500000000000002</v>
      </c>
      <c r="I3574" s="11">
        <v>7.5</v>
      </c>
    </row>
    <row r="3575" spans="1:9" x14ac:dyDescent="0.35">
      <c r="A3575" s="2" t="s">
        <v>341</v>
      </c>
      <c r="B3575" s="3">
        <v>44835</v>
      </c>
      <c r="C3575" s="2">
        <v>26</v>
      </c>
      <c r="D3575" s="2">
        <v>33257</v>
      </c>
      <c r="E3575" s="17">
        <v>70018.83</v>
      </c>
      <c r="F3575" s="11">
        <v>6.56</v>
      </c>
      <c r="G3575" s="9">
        <v>5086.1000000000004</v>
      </c>
      <c r="H3575" s="10">
        <v>0.46200000000000002</v>
      </c>
      <c r="I3575" s="11">
        <v>7.7</v>
      </c>
    </row>
    <row r="3576" spans="1:9" x14ac:dyDescent="0.35">
      <c r="A3576" s="2" t="s">
        <v>341</v>
      </c>
      <c r="B3576" s="3">
        <v>44866</v>
      </c>
      <c r="C3576" s="2">
        <v>23</v>
      </c>
      <c r="D3576" s="2">
        <v>36810</v>
      </c>
      <c r="E3576" s="17">
        <v>75163.509999999995</v>
      </c>
      <c r="F3576" s="11">
        <v>6.37</v>
      </c>
      <c r="G3576" s="9">
        <v>5937.1</v>
      </c>
      <c r="H3576" s="10">
        <v>0.435</v>
      </c>
      <c r="I3576" s="11">
        <v>7.2</v>
      </c>
    </row>
    <row r="3577" spans="1:9" x14ac:dyDescent="0.35">
      <c r="A3577" s="2" t="s">
        <v>341</v>
      </c>
      <c r="B3577" s="3">
        <v>44896</v>
      </c>
      <c r="C3577" s="2">
        <v>15</v>
      </c>
      <c r="D3577" s="2">
        <v>22848</v>
      </c>
      <c r="E3577" s="17">
        <v>52343.48</v>
      </c>
      <c r="F3577" s="11">
        <v>6.53</v>
      </c>
      <c r="G3577" s="9">
        <v>3445.2</v>
      </c>
      <c r="H3577" s="10">
        <v>0.33300000000000002</v>
      </c>
      <c r="I3577" s="11">
        <v>6.2</v>
      </c>
    </row>
    <row r="3578" spans="1:9" x14ac:dyDescent="0.35">
      <c r="A3578" s="2" t="s">
        <v>341</v>
      </c>
      <c r="B3578" s="3">
        <v>44927</v>
      </c>
      <c r="C3578" s="2">
        <v>13</v>
      </c>
      <c r="D3578" s="2">
        <v>23909</v>
      </c>
      <c r="E3578" s="17">
        <v>51891.1</v>
      </c>
      <c r="F3578" s="11">
        <v>6.54</v>
      </c>
      <c r="G3578" s="9">
        <v>3608.9</v>
      </c>
      <c r="H3578" s="10">
        <v>0.46200000000000002</v>
      </c>
      <c r="I3578" s="11">
        <v>7.6</v>
      </c>
    </row>
    <row r="3579" spans="1:9" x14ac:dyDescent="0.35">
      <c r="A3579" s="2" t="s">
        <v>341</v>
      </c>
      <c r="B3579" s="3">
        <v>44958</v>
      </c>
      <c r="C3579" s="2">
        <v>17</v>
      </c>
      <c r="D3579" s="2">
        <v>26831</v>
      </c>
      <c r="E3579" s="17">
        <v>60462.74</v>
      </c>
      <c r="F3579" s="11">
        <v>6.72</v>
      </c>
      <c r="G3579" s="9">
        <v>4079.7</v>
      </c>
      <c r="H3579" s="10">
        <v>0.41199999999999998</v>
      </c>
      <c r="I3579" s="11">
        <v>6</v>
      </c>
    </row>
    <row r="3580" spans="1:9" x14ac:dyDescent="0.35">
      <c r="A3580" s="2" t="s">
        <v>341</v>
      </c>
      <c r="B3580" s="3">
        <v>44986</v>
      </c>
      <c r="C3580" s="2">
        <v>17</v>
      </c>
      <c r="D3580" s="2">
        <v>22091</v>
      </c>
      <c r="E3580" s="17">
        <v>45793.440000000002</v>
      </c>
      <c r="F3580" s="11">
        <v>6.5</v>
      </c>
      <c r="G3580" s="9">
        <v>3412.6</v>
      </c>
      <c r="H3580" s="10">
        <v>0.23499999999999999</v>
      </c>
      <c r="I3580" s="11">
        <v>6.5</v>
      </c>
    </row>
    <row r="3581" spans="1:9" x14ac:dyDescent="0.35">
      <c r="A3581" s="2" t="s">
        <v>341</v>
      </c>
      <c r="B3581" s="3">
        <v>45017</v>
      </c>
      <c r="C3581" s="2">
        <v>21</v>
      </c>
      <c r="D3581" s="2">
        <v>28862</v>
      </c>
      <c r="E3581" s="17">
        <v>65950.69</v>
      </c>
      <c r="F3581" s="11">
        <v>6.44</v>
      </c>
      <c r="G3581" s="9">
        <v>4484.5</v>
      </c>
      <c r="H3581" s="10">
        <v>0.52400000000000002</v>
      </c>
      <c r="I3581" s="11">
        <v>5.9</v>
      </c>
    </row>
    <row r="3582" spans="1:9" x14ac:dyDescent="0.35">
      <c r="A3582" s="2" t="s">
        <v>341</v>
      </c>
      <c r="B3582" s="3">
        <v>45047</v>
      </c>
      <c r="C3582" s="2">
        <v>18</v>
      </c>
      <c r="D3582" s="2">
        <v>28338</v>
      </c>
      <c r="E3582" s="17">
        <v>66225.05</v>
      </c>
      <c r="F3582" s="11">
        <v>6.49</v>
      </c>
      <c r="G3582" s="9">
        <v>4359.8</v>
      </c>
      <c r="H3582" s="10">
        <v>0.33300000000000002</v>
      </c>
      <c r="I3582" s="11">
        <v>6.9</v>
      </c>
    </row>
    <row r="3583" spans="1:9" x14ac:dyDescent="0.35">
      <c r="A3583" s="2" t="s">
        <v>341</v>
      </c>
      <c r="B3583" s="3">
        <v>45078</v>
      </c>
      <c r="C3583" s="2">
        <v>15</v>
      </c>
      <c r="D3583" s="2">
        <v>21726</v>
      </c>
      <c r="E3583" s="17">
        <v>44984.82</v>
      </c>
      <c r="F3583" s="11">
        <v>6.2</v>
      </c>
      <c r="G3583" s="9">
        <v>3601.8</v>
      </c>
      <c r="H3583" s="10">
        <v>0.46700000000000003</v>
      </c>
      <c r="I3583" s="11">
        <v>6.4</v>
      </c>
    </row>
    <row r="3584" spans="1:9" x14ac:dyDescent="0.35">
      <c r="A3584" s="2" t="s">
        <v>341</v>
      </c>
      <c r="B3584" s="3">
        <v>45108</v>
      </c>
      <c r="C3584" s="2">
        <v>15</v>
      </c>
      <c r="D3584" s="2">
        <v>25191</v>
      </c>
      <c r="E3584" s="17">
        <v>55029.24</v>
      </c>
      <c r="F3584" s="11">
        <v>6.42</v>
      </c>
      <c r="G3584" s="9">
        <v>3975.5</v>
      </c>
      <c r="H3584" s="10">
        <v>0.4</v>
      </c>
      <c r="I3584" s="11">
        <v>7.2</v>
      </c>
    </row>
    <row r="3585" spans="1:9" x14ac:dyDescent="0.35">
      <c r="A3585" s="2" t="s">
        <v>341</v>
      </c>
      <c r="B3585" s="3">
        <v>45139</v>
      </c>
      <c r="C3585" s="2">
        <v>18</v>
      </c>
      <c r="D3585" s="2">
        <v>28378</v>
      </c>
      <c r="E3585" s="17">
        <v>61033.72</v>
      </c>
      <c r="F3585" s="11">
        <v>6.33</v>
      </c>
      <c r="G3585" s="9">
        <v>4482.8</v>
      </c>
      <c r="H3585" s="10">
        <v>0.222</v>
      </c>
      <c r="I3585" s="11">
        <v>7.4</v>
      </c>
    </row>
    <row r="3586" spans="1:9" x14ac:dyDescent="0.35">
      <c r="A3586" s="2" t="s">
        <v>341</v>
      </c>
      <c r="B3586" s="3">
        <v>45170</v>
      </c>
      <c r="C3586" s="2">
        <v>19</v>
      </c>
      <c r="D3586" s="2">
        <v>19605</v>
      </c>
      <c r="E3586" s="17">
        <v>42163.12</v>
      </c>
      <c r="F3586" s="11">
        <v>6.37</v>
      </c>
      <c r="G3586" s="9">
        <v>3130.6</v>
      </c>
      <c r="H3586" s="10">
        <v>0.47399999999999998</v>
      </c>
      <c r="I3586" s="11">
        <v>6.7</v>
      </c>
    </row>
    <row r="3587" spans="1:9" x14ac:dyDescent="0.35">
      <c r="A3587" s="2" t="s">
        <v>341</v>
      </c>
      <c r="B3587" s="3">
        <v>45200</v>
      </c>
      <c r="C3587" s="2">
        <v>24</v>
      </c>
      <c r="D3587" s="2">
        <v>37033</v>
      </c>
      <c r="E3587" s="17">
        <v>73206.759999999995</v>
      </c>
      <c r="F3587" s="11">
        <v>6.49</v>
      </c>
      <c r="G3587" s="9">
        <v>5688</v>
      </c>
      <c r="H3587" s="10">
        <v>0.58299999999999996</v>
      </c>
      <c r="I3587" s="11">
        <v>6.9</v>
      </c>
    </row>
    <row r="3588" spans="1:9" x14ac:dyDescent="0.35">
      <c r="A3588" s="2" t="s">
        <v>341</v>
      </c>
      <c r="B3588" s="3">
        <v>45231</v>
      </c>
      <c r="C3588" s="2">
        <v>15</v>
      </c>
      <c r="D3588" s="2">
        <v>21990</v>
      </c>
      <c r="E3588" s="17">
        <v>48208.05</v>
      </c>
      <c r="F3588" s="11">
        <v>6.27</v>
      </c>
      <c r="G3588" s="9">
        <v>3481.4</v>
      </c>
      <c r="H3588" s="10">
        <v>0.46700000000000003</v>
      </c>
      <c r="I3588" s="11">
        <v>7.1</v>
      </c>
    </row>
    <row r="3589" spans="1:9" x14ac:dyDescent="0.35">
      <c r="A3589" s="2" t="s">
        <v>341</v>
      </c>
      <c r="B3589" s="3">
        <v>45261</v>
      </c>
      <c r="C3589" s="2">
        <v>17</v>
      </c>
      <c r="D3589" s="2">
        <v>27377</v>
      </c>
      <c r="E3589" s="17">
        <v>59081.38</v>
      </c>
      <c r="F3589" s="11">
        <v>6.28</v>
      </c>
      <c r="G3589" s="9">
        <v>4308.1000000000004</v>
      </c>
      <c r="H3589" s="10">
        <v>0.41199999999999998</v>
      </c>
      <c r="I3589" s="11">
        <v>7.8</v>
      </c>
    </row>
    <row r="3590" spans="1:9" x14ac:dyDescent="0.35">
      <c r="A3590" s="2" t="s">
        <v>341</v>
      </c>
      <c r="B3590" s="3">
        <v>45292</v>
      </c>
      <c r="C3590" s="2">
        <v>25</v>
      </c>
      <c r="D3590" s="2">
        <v>42755</v>
      </c>
      <c r="E3590" s="17">
        <v>88946.32</v>
      </c>
      <c r="F3590" s="11">
        <v>6.31</v>
      </c>
      <c r="G3590" s="9">
        <v>6781.6</v>
      </c>
      <c r="H3590" s="10">
        <v>0.32</v>
      </c>
      <c r="I3590" s="11">
        <v>6.8</v>
      </c>
    </row>
    <row r="3591" spans="1:9" x14ac:dyDescent="0.35">
      <c r="A3591" s="2" t="s">
        <v>341</v>
      </c>
      <c r="B3591" s="3">
        <v>45323</v>
      </c>
      <c r="C3591" s="2">
        <v>16</v>
      </c>
      <c r="D3591" s="2">
        <v>17323</v>
      </c>
      <c r="E3591" s="17">
        <v>39549.339999999997</v>
      </c>
      <c r="F3591" s="11">
        <v>6.52</v>
      </c>
      <c r="G3591" s="9">
        <v>2597.3000000000002</v>
      </c>
      <c r="H3591" s="10">
        <v>0.5</v>
      </c>
      <c r="I3591" s="11">
        <v>6.9</v>
      </c>
    </row>
    <row r="3592" spans="1:9" x14ac:dyDescent="0.35">
      <c r="A3592" s="2" t="s">
        <v>341</v>
      </c>
      <c r="B3592" s="3">
        <v>45352</v>
      </c>
      <c r="C3592" s="2">
        <v>19</v>
      </c>
      <c r="D3592" s="2">
        <v>24495</v>
      </c>
      <c r="E3592" s="17">
        <v>48885.9</v>
      </c>
      <c r="F3592" s="11">
        <v>6.45</v>
      </c>
      <c r="G3592" s="9">
        <v>3734.8</v>
      </c>
      <c r="H3592" s="10">
        <v>0.57899999999999996</v>
      </c>
      <c r="I3592" s="11">
        <v>7.3</v>
      </c>
    </row>
    <row r="3593" spans="1:9" x14ac:dyDescent="0.35">
      <c r="A3593" s="2" t="s">
        <v>341</v>
      </c>
      <c r="B3593" s="3">
        <v>45383</v>
      </c>
      <c r="C3593" s="2">
        <v>16</v>
      </c>
      <c r="D3593" s="2">
        <v>26012</v>
      </c>
      <c r="E3593" s="17">
        <v>54935.54</v>
      </c>
      <c r="F3593" s="11">
        <v>6.49</v>
      </c>
      <c r="G3593" s="9">
        <v>4125.8999999999996</v>
      </c>
      <c r="H3593" s="10">
        <v>0.438</v>
      </c>
      <c r="I3593" s="11">
        <v>7.2</v>
      </c>
    </row>
    <row r="3594" spans="1:9" x14ac:dyDescent="0.35">
      <c r="A3594" s="2" t="s">
        <v>341</v>
      </c>
      <c r="B3594" s="3">
        <v>45413</v>
      </c>
      <c r="C3594" s="2">
        <v>19</v>
      </c>
      <c r="D3594" s="2">
        <v>25749</v>
      </c>
      <c r="E3594" s="17">
        <v>52168.63</v>
      </c>
      <c r="F3594" s="11">
        <v>6.36</v>
      </c>
      <c r="G3594" s="9">
        <v>4042.1</v>
      </c>
      <c r="H3594" s="10">
        <v>0.47399999999999998</v>
      </c>
      <c r="I3594" s="11">
        <v>8.1999999999999993</v>
      </c>
    </row>
    <row r="3595" spans="1:9" x14ac:dyDescent="0.35">
      <c r="A3595" s="2" t="s">
        <v>341</v>
      </c>
      <c r="B3595" s="3">
        <v>45444</v>
      </c>
      <c r="C3595" s="2">
        <v>18</v>
      </c>
      <c r="D3595" s="2">
        <v>25776</v>
      </c>
      <c r="E3595" s="17">
        <v>56835.11</v>
      </c>
      <c r="F3595" s="11">
        <v>6.42</v>
      </c>
      <c r="G3595" s="9">
        <v>4023.1</v>
      </c>
      <c r="H3595" s="10">
        <v>0.5</v>
      </c>
      <c r="I3595" s="11">
        <v>7</v>
      </c>
    </row>
    <row r="3596" spans="1:9" x14ac:dyDescent="0.35">
      <c r="A3596" s="2" t="s">
        <v>341</v>
      </c>
      <c r="B3596" s="3">
        <v>45474</v>
      </c>
      <c r="C3596" s="2">
        <v>15</v>
      </c>
      <c r="D3596" s="2">
        <v>25091</v>
      </c>
      <c r="E3596" s="17">
        <v>52435.18</v>
      </c>
      <c r="F3596" s="11">
        <v>6.53</v>
      </c>
      <c r="G3596" s="9">
        <v>3844.8</v>
      </c>
      <c r="H3596" s="10">
        <v>0.6</v>
      </c>
      <c r="I3596" s="11">
        <v>7.9</v>
      </c>
    </row>
    <row r="3597" spans="1:9" x14ac:dyDescent="0.35">
      <c r="A3597" s="2" t="s">
        <v>341</v>
      </c>
      <c r="B3597" s="3">
        <v>45505</v>
      </c>
      <c r="C3597" s="2">
        <v>15</v>
      </c>
      <c r="D3597" s="2">
        <v>23232</v>
      </c>
      <c r="E3597" s="17">
        <v>50394.91</v>
      </c>
      <c r="F3597" s="11">
        <v>6.56</v>
      </c>
      <c r="G3597" s="9">
        <v>3521.4</v>
      </c>
      <c r="H3597" s="10">
        <v>0.33300000000000002</v>
      </c>
      <c r="I3597" s="11">
        <v>7.7</v>
      </c>
    </row>
    <row r="3598" spans="1:9" x14ac:dyDescent="0.35">
      <c r="A3598" s="2" t="s">
        <v>341</v>
      </c>
      <c r="B3598" s="3">
        <v>45536</v>
      </c>
      <c r="C3598" s="2">
        <v>24</v>
      </c>
      <c r="D3598" s="2">
        <v>25777</v>
      </c>
      <c r="E3598" s="17">
        <v>57296.67</v>
      </c>
      <c r="F3598" s="11">
        <v>6.67</v>
      </c>
      <c r="G3598" s="9">
        <v>3864.2</v>
      </c>
      <c r="H3598" s="10">
        <v>0.5</v>
      </c>
      <c r="I3598" s="11">
        <v>6.7</v>
      </c>
    </row>
    <row r="3599" spans="1:9" x14ac:dyDescent="0.35">
      <c r="A3599" s="2" t="s">
        <v>341</v>
      </c>
      <c r="B3599" s="3">
        <v>45566</v>
      </c>
      <c r="C3599" s="2">
        <v>26</v>
      </c>
      <c r="D3599" s="2">
        <v>39122</v>
      </c>
      <c r="E3599" s="17">
        <v>79804</v>
      </c>
      <c r="F3599" s="11">
        <v>6.55</v>
      </c>
      <c r="G3599" s="9">
        <v>6105.6</v>
      </c>
      <c r="H3599" s="10">
        <v>0.46200000000000002</v>
      </c>
      <c r="I3599" s="11">
        <v>6.5</v>
      </c>
    </row>
    <row r="3600" spans="1:9" x14ac:dyDescent="0.35">
      <c r="A3600" s="2" t="s">
        <v>341</v>
      </c>
      <c r="B3600" s="3">
        <v>45597</v>
      </c>
      <c r="C3600" s="2">
        <v>25</v>
      </c>
      <c r="D3600" s="2">
        <v>38745</v>
      </c>
      <c r="E3600" s="17">
        <v>80290.34</v>
      </c>
      <c r="F3600" s="11">
        <v>6.64</v>
      </c>
      <c r="G3600" s="9">
        <v>5844.9</v>
      </c>
      <c r="H3600" s="10">
        <v>0.52</v>
      </c>
      <c r="I3600" s="11">
        <v>6.1</v>
      </c>
    </row>
    <row r="3601" spans="1:9" x14ac:dyDescent="0.35">
      <c r="A3601" s="2" t="s">
        <v>341</v>
      </c>
      <c r="B3601" s="3">
        <v>45627</v>
      </c>
      <c r="C3601" s="2">
        <v>19</v>
      </c>
      <c r="D3601" s="2">
        <v>30564</v>
      </c>
      <c r="E3601" s="17">
        <v>72254.570000000007</v>
      </c>
      <c r="F3601" s="11">
        <v>6.41</v>
      </c>
      <c r="G3601" s="9">
        <v>4826</v>
      </c>
      <c r="H3601" s="10">
        <v>0.52600000000000002</v>
      </c>
      <c r="I3601" s="11">
        <v>6.1</v>
      </c>
    </row>
    <row r="3602" spans="1:9" x14ac:dyDescent="0.35">
      <c r="A3602" s="2" t="s">
        <v>343</v>
      </c>
      <c r="B3602" s="3">
        <v>44562</v>
      </c>
      <c r="C3602" s="2">
        <v>24</v>
      </c>
      <c r="D3602" s="2">
        <v>37522</v>
      </c>
      <c r="E3602" s="17">
        <v>83518.320000000007</v>
      </c>
      <c r="F3602" s="11">
        <v>6.66</v>
      </c>
      <c r="G3602" s="9">
        <v>5635.3</v>
      </c>
      <c r="H3602" s="10">
        <v>0.29199999999999998</v>
      </c>
      <c r="I3602" s="11">
        <v>7.1</v>
      </c>
    </row>
    <row r="3603" spans="1:9" x14ac:dyDescent="0.35">
      <c r="A3603" s="2" t="s">
        <v>343</v>
      </c>
      <c r="B3603" s="3">
        <v>44593</v>
      </c>
      <c r="C3603" s="2">
        <v>5</v>
      </c>
      <c r="D3603" s="2">
        <v>3310</v>
      </c>
      <c r="E3603" s="17">
        <v>7096.56</v>
      </c>
      <c r="F3603" s="11">
        <v>6.06</v>
      </c>
      <c r="G3603" s="9">
        <v>521.9</v>
      </c>
      <c r="H3603" s="10">
        <v>0.4</v>
      </c>
      <c r="I3603" s="11">
        <v>6.3</v>
      </c>
    </row>
    <row r="3604" spans="1:9" x14ac:dyDescent="0.35">
      <c r="A3604" s="2" t="s">
        <v>343</v>
      </c>
      <c r="B3604" s="3">
        <v>44621</v>
      </c>
      <c r="C3604" s="2">
        <v>11</v>
      </c>
      <c r="D3604" s="2">
        <v>15011</v>
      </c>
      <c r="E3604" s="17">
        <v>34609.24</v>
      </c>
      <c r="F3604" s="11">
        <v>6.56</v>
      </c>
      <c r="G3604" s="9">
        <v>2316.8000000000002</v>
      </c>
      <c r="H3604" s="10">
        <v>0.27300000000000002</v>
      </c>
      <c r="I3604" s="11">
        <v>8.8000000000000007</v>
      </c>
    </row>
    <row r="3605" spans="1:9" x14ac:dyDescent="0.35">
      <c r="A3605" s="2" t="s">
        <v>343</v>
      </c>
      <c r="B3605" s="3">
        <v>44652</v>
      </c>
      <c r="C3605" s="2">
        <v>15</v>
      </c>
      <c r="D3605" s="2">
        <v>21259</v>
      </c>
      <c r="E3605" s="17">
        <v>43122.27</v>
      </c>
      <c r="F3605" s="11">
        <v>6.56</v>
      </c>
      <c r="G3605" s="9">
        <v>3230.7</v>
      </c>
      <c r="H3605" s="10">
        <v>0.46700000000000003</v>
      </c>
      <c r="I3605" s="11">
        <v>6.8</v>
      </c>
    </row>
    <row r="3606" spans="1:9" x14ac:dyDescent="0.35">
      <c r="A3606" s="2" t="s">
        <v>343</v>
      </c>
      <c r="B3606" s="3">
        <v>44682</v>
      </c>
      <c r="C3606" s="2">
        <v>15</v>
      </c>
      <c r="D3606" s="2">
        <v>21971</v>
      </c>
      <c r="E3606" s="17">
        <v>43005.55</v>
      </c>
      <c r="F3606" s="11">
        <v>6.67</v>
      </c>
      <c r="G3606" s="9">
        <v>3235.6</v>
      </c>
      <c r="H3606" s="10">
        <v>0.4</v>
      </c>
      <c r="I3606" s="11">
        <v>6.4</v>
      </c>
    </row>
    <row r="3607" spans="1:9" x14ac:dyDescent="0.35">
      <c r="A3607" s="2" t="s">
        <v>343</v>
      </c>
      <c r="B3607" s="3">
        <v>44713</v>
      </c>
      <c r="C3607" s="2">
        <v>23</v>
      </c>
      <c r="D3607" s="2">
        <v>32868</v>
      </c>
      <c r="E3607" s="17">
        <v>68103.179999999993</v>
      </c>
      <c r="F3607" s="11">
        <v>6.47</v>
      </c>
      <c r="G3607" s="9">
        <v>5071.8999999999996</v>
      </c>
      <c r="H3607" s="10">
        <v>0.60899999999999999</v>
      </c>
      <c r="I3607" s="11">
        <v>6.3</v>
      </c>
    </row>
    <row r="3608" spans="1:9" x14ac:dyDescent="0.35">
      <c r="A3608" s="2" t="s">
        <v>343</v>
      </c>
      <c r="B3608" s="3">
        <v>44743</v>
      </c>
      <c r="C3608" s="2">
        <v>27</v>
      </c>
      <c r="D3608" s="2">
        <v>39157</v>
      </c>
      <c r="E3608" s="17">
        <v>83200.41</v>
      </c>
      <c r="F3608" s="11">
        <v>6.31</v>
      </c>
      <c r="G3608" s="9">
        <v>6321.7</v>
      </c>
      <c r="H3608" s="10">
        <v>0.37</v>
      </c>
      <c r="I3608" s="11">
        <v>6.9</v>
      </c>
    </row>
    <row r="3609" spans="1:9" x14ac:dyDescent="0.35">
      <c r="A3609" s="2" t="s">
        <v>343</v>
      </c>
      <c r="B3609" s="3">
        <v>44774</v>
      </c>
      <c r="C3609" s="2">
        <v>21</v>
      </c>
      <c r="D3609" s="2">
        <v>27850</v>
      </c>
      <c r="E3609" s="17">
        <v>60817.45</v>
      </c>
      <c r="F3609" s="11">
        <v>6.54</v>
      </c>
      <c r="G3609" s="9">
        <v>4344.8999999999996</v>
      </c>
      <c r="H3609" s="10">
        <v>0.33300000000000002</v>
      </c>
      <c r="I3609" s="11">
        <v>6.7</v>
      </c>
    </row>
    <row r="3610" spans="1:9" x14ac:dyDescent="0.35">
      <c r="A3610" s="2" t="s">
        <v>343</v>
      </c>
      <c r="B3610" s="3">
        <v>44805</v>
      </c>
      <c r="C3610" s="2">
        <v>13</v>
      </c>
      <c r="D3610" s="2">
        <v>13975</v>
      </c>
      <c r="E3610" s="17">
        <v>30393.51</v>
      </c>
      <c r="F3610" s="11">
        <v>6.15</v>
      </c>
      <c r="G3610" s="9">
        <v>2259.8000000000002</v>
      </c>
      <c r="H3610" s="10">
        <v>0.46200000000000002</v>
      </c>
      <c r="I3610" s="11">
        <v>6.9</v>
      </c>
    </row>
    <row r="3611" spans="1:9" x14ac:dyDescent="0.35">
      <c r="A3611" s="2" t="s">
        <v>343</v>
      </c>
      <c r="B3611" s="3">
        <v>44835</v>
      </c>
      <c r="C3611" s="2">
        <v>21</v>
      </c>
      <c r="D3611" s="2">
        <v>30039</v>
      </c>
      <c r="E3611" s="17">
        <v>61499.03</v>
      </c>
      <c r="F3611" s="11">
        <v>6.52</v>
      </c>
      <c r="G3611" s="9">
        <v>4727.8</v>
      </c>
      <c r="H3611" s="10">
        <v>0.42899999999999999</v>
      </c>
      <c r="I3611" s="11">
        <v>7.3</v>
      </c>
    </row>
    <row r="3612" spans="1:9" x14ac:dyDescent="0.35">
      <c r="A3612" s="2" t="s">
        <v>343</v>
      </c>
      <c r="B3612" s="3">
        <v>44866</v>
      </c>
      <c r="C3612" s="2">
        <v>19</v>
      </c>
      <c r="D3612" s="2">
        <v>30784</v>
      </c>
      <c r="E3612" s="17">
        <v>65195.56</v>
      </c>
      <c r="F3612" s="11">
        <v>6.21</v>
      </c>
      <c r="G3612" s="9">
        <v>4970.7</v>
      </c>
      <c r="H3612" s="10">
        <v>0.47399999999999998</v>
      </c>
      <c r="I3612" s="11">
        <v>6.8</v>
      </c>
    </row>
    <row r="3613" spans="1:9" x14ac:dyDescent="0.35">
      <c r="A3613" s="2" t="s">
        <v>343</v>
      </c>
      <c r="B3613" s="3">
        <v>44896</v>
      </c>
      <c r="C3613" s="2">
        <v>17</v>
      </c>
      <c r="D3613" s="2">
        <v>23950</v>
      </c>
      <c r="E3613" s="17">
        <v>48406.66</v>
      </c>
      <c r="F3613" s="11">
        <v>6.61</v>
      </c>
      <c r="G3613" s="9">
        <v>3605.2</v>
      </c>
      <c r="H3613" s="10">
        <v>0.41199999999999998</v>
      </c>
      <c r="I3613" s="11">
        <v>6.5</v>
      </c>
    </row>
    <row r="3614" spans="1:9" x14ac:dyDescent="0.35">
      <c r="A3614" s="2" t="s">
        <v>343</v>
      </c>
      <c r="B3614" s="3">
        <v>44927</v>
      </c>
      <c r="C3614" s="2">
        <v>11</v>
      </c>
      <c r="D3614" s="2">
        <v>18251</v>
      </c>
      <c r="E3614" s="17">
        <v>37429.82</v>
      </c>
      <c r="F3614" s="11">
        <v>6.74</v>
      </c>
      <c r="G3614" s="9">
        <v>2667.7</v>
      </c>
      <c r="H3614" s="10">
        <v>0.45500000000000002</v>
      </c>
      <c r="I3614" s="11">
        <v>6.8</v>
      </c>
    </row>
    <row r="3615" spans="1:9" x14ac:dyDescent="0.35">
      <c r="A3615" s="2" t="s">
        <v>343</v>
      </c>
      <c r="B3615" s="3">
        <v>44958</v>
      </c>
      <c r="C3615" s="2">
        <v>16</v>
      </c>
      <c r="D3615" s="2">
        <v>22107</v>
      </c>
      <c r="E3615" s="17">
        <v>46033.23</v>
      </c>
      <c r="F3615" s="11">
        <v>6.58</v>
      </c>
      <c r="G3615" s="9">
        <v>3430</v>
      </c>
      <c r="H3615" s="10">
        <v>0.375</v>
      </c>
      <c r="I3615" s="11">
        <v>6.2</v>
      </c>
    </row>
    <row r="3616" spans="1:9" x14ac:dyDescent="0.35">
      <c r="A3616" s="2" t="s">
        <v>343</v>
      </c>
      <c r="B3616" s="3">
        <v>44986</v>
      </c>
      <c r="C3616" s="2">
        <v>16</v>
      </c>
      <c r="D3616" s="2">
        <v>23947</v>
      </c>
      <c r="E3616" s="17">
        <v>53465.52</v>
      </c>
      <c r="F3616" s="11">
        <v>6.42</v>
      </c>
      <c r="G3616" s="9">
        <v>3737.9</v>
      </c>
      <c r="H3616" s="10">
        <v>0.312</v>
      </c>
      <c r="I3616" s="11">
        <v>5.6</v>
      </c>
    </row>
    <row r="3617" spans="1:9" x14ac:dyDescent="0.35">
      <c r="A3617" s="2" t="s">
        <v>343</v>
      </c>
      <c r="B3617" s="3">
        <v>45017</v>
      </c>
      <c r="C3617" s="2">
        <v>15</v>
      </c>
      <c r="D3617" s="2">
        <v>18531</v>
      </c>
      <c r="E3617" s="17">
        <v>37557.910000000003</v>
      </c>
      <c r="F3617" s="11">
        <v>6.55</v>
      </c>
      <c r="G3617" s="9">
        <v>2881.8</v>
      </c>
      <c r="H3617" s="10">
        <v>0.53300000000000003</v>
      </c>
      <c r="I3617" s="11">
        <v>7.2</v>
      </c>
    </row>
    <row r="3618" spans="1:9" x14ac:dyDescent="0.35">
      <c r="A3618" s="2" t="s">
        <v>343</v>
      </c>
      <c r="B3618" s="3">
        <v>45047</v>
      </c>
      <c r="C3618" s="2">
        <v>20</v>
      </c>
      <c r="D3618" s="2">
        <v>37783</v>
      </c>
      <c r="E3618" s="17">
        <v>82282.289999999994</v>
      </c>
      <c r="F3618" s="11">
        <v>6.53</v>
      </c>
      <c r="G3618" s="9">
        <v>5816</v>
      </c>
      <c r="H3618" s="10">
        <v>0.35</v>
      </c>
      <c r="I3618" s="11">
        <v>7.1</v>
      </c>
    </row>
    <row r="3619" spans="1:9" x14ac:dyDescent="0.35">
      <c r="A3619" s="2" t="s">
        <v>343</v>
      </c>
      <c r="B3619" s="3">
        <v>45078</v>
      </c>
      <c r="C3619" s="2">
        <v>12</v>
      </c>
      <c r="D3619" s="2">
        <v>15559</v>
      </c>
      <c r="E3619" s="17">
        <v>31946.44</v>
      </c>
      <c r="F3619" s="11">
        <v>6.64</v>
      </c>
      <c r="G3619" s="9">
        <v>2349.3000000000002</v>
      </c>
      <c r="H3619" s="10">
        <v>0.5</v>
      </c>
      <c r="I3619" s="11">
        <v>6.5</v>
      </c>
    </row>
    <row r="3620" spans="1:9" x14ac:dyDescent="0.35">
      <c r="A3620" s="2" t="s">
        <v>343</v>
      </c>
      <c r="B3620" s="3">
        <v>45108</v>
      </c>
      <c r="C3620" s="2">
        <v>15</v>
      </c>
      <c r="D3620" s="2">
        <v>19393</v>
      </c>
      <c r="E3620" s="17">
        <v>40552.26</v>
      </c>
      <c r="F3620" s="11">
        <v>6.55</v>
      </c>
      <c r="G3620" s="9">
        <v>2922.9</v>
      </c>
      <c r="H3620" s="10">
        <v>0.8</v>
      </c>
      <c r="I3620" s="11">
        <v>6.6</v>
      </c>
    </row>
    <row r="3621" spans="1:9" x14ac:dyDescent="0.35">
      <c r="A3621" s="2" t="s">
        <v>343</v>
      </c>
      <c r="B3621" s="3">
        <v>45139</v>
      </c>
      <c r="C3621" s="2">
        <v>17</v>
      </c>
      <c r="D3621" s="2">
        <v>18025</v>
      </c>
      <c r="E3621" s="17">
        <v>33725.620000000003</v>
      </c>
      <c r="F3621" s="11">
        <v>6.3</v>
      </c>
      <c r="G3621" s="9">
        <v>2934.6</v>
      </c>
      <c r="H3621" s="10">
        <v>0.41199999999999998</v>
      </c>
      <c r="I3621" s="11">
        <v>6.8</v>
      </c>
    </row>
    <row r="3622" spans="1:9" x14ac:dyDescent="0.35">
      <c r="A3622" s="2" t="s">
        <v>343</v>
      </c>
      <c r="B3622" s="3">
        <v>45170</v>
      </c>
      <c r="C3622" s="2">
        <v>18</v>
      </c>
      <c r="D3622" s="2">
        <v>28097</v>
      </c>
      <c r="E3622" s="17">
        <v>62923.41</v>
      </c>
      <c r="F3622" s="11">
        <v>6.45</v>
      </c>
      <c r="G3622" s="9">
        <v>4502.7</v>
      </c>
      <c r="H3622" s="10">
        <v>0.222</v>
      </c>
      <c r="I3622" s="11">
        <v>7.9</v>
      </c>
    </row>
    <row r="3623" spans="1:9" x14ac:dyDescent="0.35">
      <c r="A3623" s="2" t="s">
        <v>343</v>
      </c>
      <c r="B3623" s="3">
        <v>45200</v>
      </c>
      <c r="C3623" s="2">
        <v>16</v>
      </c>
      <c r="D3623" s="2">
        <v>21327</v>
      </c>
      <c r="E3623" s="17">
        <v>45288.74</v>
      </c>
      <c r="F3623" s="11">
        <v>6.48</v>
      </c>
      <c r="G3623" s="9">
        <v>3340</v>
      </c>
      <c r="H3623" s="10">
        <v>0.56200000000000006</v>
      </c>
      <c r="I3623" s="11">
        <v>6.1</v>
      </c>
    </row>
    <row r="3624" spans="1:9" x14ac:dyDescent="0.35">
      <c r="A3624" s="2" t="s">
        <v>343</v>
      </c>
      <c r="B3624" s="3">
        <v>45231</v>
      </c>
      <c r="C3624" s="2">
        <v>15</v>
      </c>
      <c r="D3624" s="2">
        <v>21343</v>
      </c>
      <c r="E3624" s="17">
        <v>39517.980000000003</v>
      </c>
      <c r="F3624" s="11">
        <v>6.31</v>
      </c>
      <c r="G3624" s="9">
        <v>3413.6</v>
      </c>
      <c r="H3624" s="10">
        <v>0.6</v>
      </c>
      <c r="I3624" s="11">
        <v>7.2</v>
      </c>
    </row>
    <row r="3625" spans="1:9" x14ac:dyDescent="0.35">
      <c r="A3625" s="2" t="s">
        <v>343</v>
      </c>
      <c r="B3625" s="3">
        <v>45261</v>
      </c>
      <c r="C3625" s="2">
        <v>19</v>
      </c>
      <c r="D3625" s="2">
        <v>31182</v>
      </c>
      <c r="E3625" s="17">
        <v>67922.880000000005</v>
      </c>
      <c r="F3625" s="11">
        <v>6.36</v>
      </c>
      <c r="G3625" s="9">
        <v>4924.6000000000004</v>
      </c>
      <c r="H3625" s="10">
        <v>0.42099999999999999</v>
      </c>
      <c r="I3625" s="11">
        <v>7.5</v>
      </c>
    </row>
    <row r="3626" spans="1:9" x14ac:dyDescent="0.35">
      <c r="A3626" s="2" t="s">
        <v>343</v>
      </c>
      <c r="B3626" s="3">
        <v>45292</v>
      </c>
      <c r="C3626" s="2">
        <v>11</v>
      </c>
      <c r="D3626" s="2">
        <v>15552</v>
      </c>
      <c r="E3626" s="17">
        <v>33747.519999999997</v>
      </c>
      <c r="F3626" s="11">
        <v>6.64</v>
      </c>
      <c r="G3626" s="9">
        <v>2426.1999999999998</v>
      </c>
      <c r="H3626" s="10">
        <v>0.45500000000000002</v>
      </c>
      <c r="I3626" s="11">
        <v>4.4000000000000004</v>
      </c>
    </row>
    <row r="3627" spans="1:9" x14ac:dyDescent="0.35">
      <c r="A3627" s="2" t="s">
        <v>343</v>
      </c>
      <c r="B3627" s="3">
        <v>45323</v>
      </c>
      <c r="C3627" s="2">
        <v>14</v>
      </c>
      <c r="D3627" s="2">
        <v>16779</v>
      </c>
      <c r="E3627" s="17">
        <v>30817.27</v>
      </c>
      <c r="F3627" s="11">
        <v>6.44</v>
      </c>
      <c r="G3627" s="9">
        <v>2618.8000000000002</v>
      </c>
      <c r="H3627" s="10">
        <v>0.57099999999999995</v>
      </c>
      <c r="I3627" s="11">
        <v>7.2</v>
      </c>
    </row>
    <row r="3628" spans="1:9" x14ac:dyDescent="0.35">
      <c r="A3628" s="2" t="s">
        <v>343</v>
      </c>
      <c r="B3628" s="3">
        <v>45352</v>
      </c>
      <c r="C3628" s="2">
        <v>10</v>
      </c>
      <c r="D3628" s="2">
        <v>15087</v>
      </c>
      <c r="E3628" s="17">
        <v>30562.34</v>
      </c>
      <c r="F3628" s="11">
        <v>7</v>
      </c>
      <c r="G3628" s="9">
        <v>2165.1999999999998</v>
      </c>
      <c r="H3628" s="10">
        <v>0.1</v>
      </c>
      <c r="I3628" s="11">
        <v>6.9</v>
      </c>
    </row>
    <row r="3629" spans="1:9" x14ac:dyDescent="0.35">
      <c r="A3629" s="2" t="s">
        <v>343</v>
      </c>
      <c r="B3629" s="3">
        <v>45383</v>
      </c>
      <c r="C3629" s="2">
        <v>14</v>
      </c>
      <c r="D3629" s="2">
        <v>29564</v>
      </c>
      <c r="E3629" s="17">
        <v>67115.37</v>
      </c>
      <c r="F3629" s="11">
        <v>6.46</v>
      </c>
      <c r="G3629" s="9">
        <v>4597.1000000000004</v>
      </c>
      <c r="H3629" s="10">
        <v>0.28599999999999998</v>
      </c>
      <c r="I3629" s="11">
        <v>6.7</v>
      </c>
    </row>
    <row r="3630" spans="1:9" x14ac:dyDescent="0.35">
      <c r="A3630" s="2" t="s">
        <v>343</v>
      </c>
      <c r="B3630" s="3">
        <v>45413</v>
      </c>
      <c r="C3630" s="2">
        <v>26</v>
      </c>
      <c r="D3630" s="2">
        <v>33836</v>
      </c>
      <c r="E3630" s="17">
        <v>73211.240000000005</v>
      </c>
      <c r="F3630" s="11">
        <v>6.3</v>
      </c>
      <c r="G3630" s="9">
        <v>5390.6</v>
      </c>
      <c r="H3630" s="10">
        <v>0.42299999999999999</v>
      </c>
      <c r="I3630" s="11">
        <v>7.3</v>
      </c>
    </row>
    <row r="3631" spans="1:9" x14ac:dyDescent="0.35">
      <c r="A3631" s="2" t="s">
        <v>343</v>
      </c>
      <c r="B3631" s="3">
        <v>45444</v>
      </c>
      <c r="C3631" s="2">
        <v>16</v>
      </c>
      <c r="D3631" s="2">
        <v>26411</v>
      </c>
      <c r="E3631" s="17">
        <v>58414.97</v>
      </c>
      <c r="F3631" s="11">
        <v>6.39</v>
      </c>
      <c r="G3631" s="9">
        <v>4210.8</v>
      </c>
      <c r="H3631" s="10">
        <v>0.5</v>
      </c>
      <c r="I3631" s="11">
        <v>6.2</v>
      </c>
    </row>
    <row r="3632" spans="1:9" x14ac:dyDescent="0.35">
      <c r="A3632" s="2" t="s">
        <v>343</v>
      </c>
      <c r="B3632" s="3">
        <v>45474</v>
      </c>
      <c r="C3632" s="2">
        <v>21</v>
      </c>
      <c r="D3632" s="2">
        <v>33505</v>
      </c>
      <c r="E3632" s="17">
        <v>73114.23</v>
      </c>
      <c r="F3632" s="11">
        <v>6.49</v>
      </c>
      <c r="G3632" s="9">
        <v>5224.8</v>
      </c>
      <c r="H3632" s="10">
        <v>0.33300000000000002</v>
      </c>
      <c r="I3632" s="11">
        <v>6.7</v>
      </c>
    </row>
    <row r="3633" spans="1:9" x14ac:dyDescent="0.35">
      <c r="A3633" s="2" t="s">
        <v>343</v>
      </c>
      <c r="B3633" s="3">
        <v>45505</v>
      </c>
      <c r="C3633" s="2">
        <v>17</v>
      </c>
      <c r="D3633" s="2">
        <v>27892</v>
      </c>
      <c r="E3633" s="17">
        <v>63381.88</v>
      </c>
      <c r="F3633" s="11">
        <v>6.46</v>
      </c>
      <c r="G3633" s="9">
        <v>4411.1000000000004</v>
      </c>
      <c r="H3633" s="10">
        <v>0.47099999999999997</v>
      </c>
      <c r="I3633" s="11">
        <v>6.7</v>
      </c>
    </row>
    <row r="3634" spans="1:9" x14ac:dyDescent="0.35">
      <c r="A3634" s="2" t="s">
        <v>343</v>
      </c>
      <c r="B3634" s="3">
        <v>45536</v>
      </c>
      <c r="C3634" s="2">
        <v>21</v>
      </c>
      <c r="D3634" s="2">
        <v>31849</v>
      </c>
      <c r="E3634" s="17">
        <v>71872.759999999995</v>
      </c>
      <c r="F3634" s="11">
        <v>6.39</v>
      </c>
      <c r="G3634" s="9">
        <v>5032.8999999999996</v>
      </c>
      <c r="H3634" s="10">
        <v>0.38100000000000001</v>
      </c>
      <c r="I3634" s="11">
        <v>6.9</v>
      </c>
    </row>
    <row r="3635" spans="1:9" x14ac:dyDescent="0.35">
      <c r="A3635" s="2" t="s">
        <v>343</v>
      </c>
      <c r="B3635" s="3">
        <v>45566</v>
      </c>
      <c r="C3635" s="2">
        <v>16</v>
      </c>
      <c r="D3635" s="2">
        <v>20415</v>
      </c>
      <c r="E3635" s="17">
        <v>44254.78</v>
      </c>
      <c r="F3635" s="11">
        <v>6.61</v>
      </c>
      <c r="G3635" s="9">
        <v>3132.6</v>
      </c>
      <c r="H3635" s="10">
        <v>0.438</v>
      </c>
      <c r="I3635" s="11">
        <v>7.8</v>
      </c>
    </row>
    <row r="3636" spans="1:9" x14ac:dyDescent="0.35">
      <c r="A3636" s="2" t="s">
        <v>343</v>
      </c>
      <c r="B3636" s="3">
        <v>45597</v>
      </c>
      <c r="C3636" s="2">
        <v>20</v>
      </c>
      <c r="D3636" s="2">
        <v>22112</v>
      </c>
      <c r="E3636" s="17">
        <v>46236.68</v>
      </c>
      <c r="F3636" s="11">
        <v>6.43</v>
      </c>
      <c r="G3636" s="9">
        <v>3502.3</v>
      </c>
      <c r="H3636" s="10">
        <v>0.55000000000000004</v>
      </c>
      <c r="I3636" s="11">
        <v>5.8</v>
      </c>
    </row>
    <row r="3637" spans="1:9" x14ac:dyDescent="0.35">
      <c r="A3637" s="2" t="s">
        <v>343</v>
      </c>
      <c r="B3637" s="3">
        <v>45627</v>
      </c>
      <c r="C3637" s="2">
        <v>17</v>
      </c>
      <c r="D3637" s="2">
        <v>27952</v>
      </c>
      <c r="E3637" s="17">
        <v>63481.16</v>
      </c>
      <c r="F3637" s="11">
        <v>6.52</v>
      </c>
      <c r="G3637" s="9">
        <v>4264</v>
      </c>
      <c r="H3637" s="10">
        <v>0.47099999999999997</v>
      </c>
      <c r="I3637" s="11">
        <v>6</v>
      </c>
    </row>
    <row r="3638" spans="1:9" x14ac:dyDescent="0.35">
      <c r="A3638" s="2" t="s">
        <v>345</v>
      </c>
      <c r="B3638" s="3">
        <v>44562</v>
      </c>
      <c r="C3638" s="2">
        <v>16</v>
      </c>
      <c r="D3638" s="2">
        <v>26327</v>
      </c>
      <c r="E3638" s="17">
        <v>54588.44</v>
      </c>
      <c r="F3638" s="11">
        <v>6.62</v>
      </c>
      <c r="G3638" s="9">
        <v>4026.9</v>
      </c>
      <c r="H3638" s="10">
        <v>0.5</v>
      </c>
      <c r="I3638" s="11">
        <v>7.5</v>
      </c>
    </row>
    <row r="3639" spans="1:9" x14ac:dyDescent="0.35">
      <c r="A3639" s="2" t="s">
        <v>345</v>
      </c>
      <c r="B3639" s="3">
        <v>44593</v>
      </c>
      <c r="C3639" s="2">
        <v>16</v>
      </c>
      <c r="D3639" s="2">
        <v>24162</v>
      </c>
      <c r="E3639" s="17">
        <v>49067.93</v>
      </c>
      <c r="F3639" s="11">
        <v>6.43</v>
      </c>
      <c r="G3639" s="9">
        <v>3882.6</v>
      </c>
      <c r="H3639" s="10">
        <v>0.5</v>
      </c>
      <c r="I3639" s="11">
        <v>7.5</v>
      </c>
    </row>
    <row r="3640" spans="1:9" x14ac:dyDescent="0.35">
      <c r="A3640" s="2" t="s">
        <v>345</v>
      </c>
      <c r="B3640" s="3">
        <v>44621</v>
      </c>
      <c r="C3640" s="2">
        <v>23</v>
      </c>
      <c r="D3640" s="2">
        <v>30027</v>
      </c>
      <c r="E3640" s="17">
        <v>63938.32</v>
      </c>
      <c r="F3640" s="11">
        <v>6.58</v>
      </c>
      <c r="G3640" s="9">
        <v>4609</v>
      </c>
      <c r="H3640" s="10">
        <v>0.34799999999999998</v>
      </c>
      <c r="I3640" s="11">
        <v>6.9</v>
      </c>
    </row>
    <row r="3641" spans="1:9" x14ac:dyDescent="0.35">
      <c r="A3641" s="2" t="s">
        <v>345</v>
      </c>
      <c r="B3641" s="3">
        <v>44652</v>
      </c>
      <c r="C3641" s="2">
        <v>14</v>
      </c>
      <c r="D3641" s="2">
        <v>18942</v>
      </c>
      <c r="E3641" s="17">
        <v>44822.54</v>
      </c>
      <c r="F3641" s="11">
        <v>6.33</v>
      </c>
      <c r="G3641" s="9">
        <v>3034.3</v>
      </c>
      <c r="H3641" s="10">
        <v>0.5</v>
      </c>
      <c r="I3641" s="11">
        <v>8.1999999999999993</v>
      </c>
    </row>
    <row r="3642" spans="1:9" x14ac:dyDescent="0.35">
      <c r="A3642" s="2" t="s">
        <v>345</v>
      </c>
      <c r="B3642" s="3">
        <v>44682</v>
      </c>
      <c r="C3642" s="2">
        <v>16</v>
      </c>
      <c r="D3642" s="2">
        <v>23611</v>
      </c>
      <c r="E3642" s="17">
        <v>51334.65</v>
      </c>
      <c r="F3642" s="11">
        <v>6.6</v>
      </c>
      <c r="G3642" s="9">
        <v>3583.2</v>
      </c>
      <c r="H3642" s="10">
        <v>0.188</v>
      </c>
      <c r="I3642" s="11">
        <v>7.8</v>
      </c>
    </row>
    <row r="3643" spans="1:9" x14ac:dyDescent="0.35">
      <c r="A3643" s="2" t="s">
        <v>345</v>
      </c>
      <c r="B3643" s="3">
        <v>44713</v>
      </c>
      <c r="C3643" s="2">
        <v>17</v>
      </c>
      <c r="D3643" s="2">
        <v>26135</v>
      </c>
      <c r="E3643" s="17">
        <v>53254.82</v>
      </c>
      <c r="F3643" s="11">
        <v>6.35</v>
      </c>
      <c r="G3643" s="9">
        <v>4202.6000000000004</v>
      </c>
      <c r="H3643" s="10">
        <v>0.35299999999999998</v>
      </c>
      <c r="I3643" s="11">
        <v>7.8</v>
      </c>
    </row>
    <row r="3644" spans="1:9" x14ac:dyDescent="0.35">
      <c r="A3644" s="2" t="s">
        <v>345</v>
      </c>
      <c r="B3644" s="3">
        <v>44743</v>
      </c>
      <c r="C3644" s="2">
        <v>17</v>
      </c>
      <c r="D3644" s="2">
        <v>19084</v>
      </c>
      <c r="E3644" s="17">
        <v>39633.49</v>
      </c>
      <c r="F3644" s="11">
        <v>6.51</v>
      </c>
      <c r="G3644" s="9">
        <v>2942.6</v>
      </c>
      <c r="H3644" s="10">
        <v>0.11799999999999999</v>
      </c>
      <c r="I3644" s="11">
        <v>6.7</v>
      </c>
    </row>
    <row r="3645" spans="1:9" x14ac:dyDescent="0.35">
      <c r="A3645" s="2" t="s">
        <v>345</v>
      </c>
      <c r="B3645" s="3">
        <v>44774</v>
      </c>
      <c r="C3645" s="2">
        <v>20</v>
      </c>
      <c r="D3645" s="2">
        <v>28988</v>
      </c>
      <c r="E3645" s="17">
        <v>63083.66</v>
      </c>
      <c r="F3645" s="11">
        <v>6.62</v>
      </c>
      <c r="G3645" s="9">
        <v>4454.8999999999996</v>
      </c>
      <c r="H3645" s="10">
        <v>0.25</v>
      </c>
      <c r="I3645" s="11">
        <v>6.5</v>
      </c>
    </row>
    <row r="3646" spans="1:9" x14ac:dyDescent="0.35">
      <c r="A3646" s="2" t="s">
        <v>345</v>
      </c>
      <c r="B3646" s="3">
        <v>44805</v>
      </c>
      <c r="C3646" s="2">
        <v>17</v>
      </c>
      <c r="D3646" s="2">
        <v>25197</v>
      </c>
      <c r="E3646" s="17">
        <v>54487.56</v>
      </c>
      <c r="F3646" s="11">
        <v>6.34</v>
      </c>
      <c r="G3646" s="9">
        <v>4020.9</v>
      </c>
      <c r="H3646" s="10">
        <v>0.29399999999999998</v>
      </c>
      <c r="I3646" s="11">
        <v>7</v>
      </c>
    </row>
    <row r="3647" spans="1:9" x14ac:dyDescent="0.35">
      <c r="A3647" s="2" t="s">
        <v>345</v>
      </c>
      <c r="B3647" s="3">
        <v>44835</v>
      </c>
      <c r="C3647" s="2">
        <v>16</v>
      </c>
      <c r="D3647" s="2">
        <v>19026</v>
      </c>
      <c r="E3647" s="17">
        <v>41605.99</v>
      </c>
      <c r="F3647" s="11">
        <v>6.65</v>
      </c>
      <c r="G3647" s="9">
        <v>2852.2</v>
      </c>
      <c r="H3647" s="10">
        <v>0.375</v>
      </c>
      <c r="I3647" s="11">
        <v>7</v>
      </c>
    </row>
    <row r="3648" spans="1:9" x14ac:dyDescent="0.35">
      <c r="A3648" s="2" t="s">
        <v>345</v>
      </c>
      <c r="B3648" s="3">
        <v>44866</v>
      </c>
      <c r="C3648" s="2">
        <v>16</v>
      </c>
      <c r="D3648" s="2">
        <v>23531</v>
      </c>
      <c r="E3648" s="17">
        <v>54839.61</v>
      </c>
      <c r="F3648" s="11">
        <v>6.46</v>
      </c>
      <c r="G3648" s="9">
        <v>3701.4</v>
      </c>
      <c r="H3648" s="10">
        <v>0.5</v>
      </c>
      <c r="I3648" s="11">
        <v>5.5</v>
      </c>
    </row>
    <row r="3649" spans="1:9" x14ac:dyDescent="0.35">
      <c r="A3649" s="2" t="s">
        <v>345</v>
      </c>
      <c r="B3649" s="3">
        <v>44896</v>
      </c>
      <c r="C3649" s="2">
        <v>21</v>
      </c>
      <c r="D3649" s="2">
        <v>30076</v>
      </c>
      <c r="E3649" s="17">
        <v>56650.49</v>
      </c>
      <c r="F3649" s="11">
        <v>6.67</v>
      </c>
      <c r="G3649" s="9">
        <v>4529.3999999999996</v>
      </c>
      <c r="H3649" s="10">
        <v>0.28599999999999998</v>
      </c>
      <c r="I3649" s="11">
        <v>7.8</v>
      </c>
    </row>
    <row r="3650" spans="1:9" x14ac:dyDescent="0.35">
      <c r="A3650" s="2" t="s">
        <v>345</v>
      </c>
      <c r="B3650" s="3">
        <v>44927</v>
      </c>
      <c r="C3650" s="2">
        <v>16</v>
      </c>
      <c r="D3650" s="2">
        <v>22698</v>
      </c>
      <c r="E3650" s="17">
        <v>47037.11</v>
      </c>
      <c r="F3650" s="11">
        <v>6.19</v>
      </c>
      <c r="G3650" s="9">
        <v>3678.8</v>
      </c>
      <c r="H3650" s="10">
        <v>0.81200000000000006</v>
      </c>
      <c r="I3650" s="11">
        <v>7.3</v>
      </c>
    </row>
    <row r="3651" spans="1:9" x14ac:dyDescent="0.35">
      <c r="A3651" s="2" t="s">
        <v>345</v>
      </c>
      <c r="B3651" s="3">
        <v>44958</v>
      </c>
      <c r="C3651" s="2">
        <v>15</v>
      </c>
      <c r="D3651" s="2">
        <v>27094</v>
      </c>
      <c r="E3651" s="17">
        <v>53675.39</v>
      </c>
      <c r="F3651" s="11">
        <v>6.55</v>
      </c>
      <c r="G3651" s="9">
        <v>4193.5</v>
      </c>
      <c r="H3651" s="10">
        <v>0.66700000000000004</v>
      </c>
      <c r="I3651" s="11">
        <v>6.3</v>
      </c>
    </row>
    <row r="3652" spans="1:9" x14ac:dyDescent="0.35">
      <c r="A3652" s="2" t="s">
        <v>345</v>
      </c>
      <c r="B3652" s="3">
        <v>44986</v>
      </c>
      <c r="C3652" s="2">
        <v>16</v>
      </c>
      <c r="D3652" s="2">
        <v>22078</v>
      </c>
      <c r="E3652" s="17">
        <v>51203.4</v>
      </c>
      <c r="F3652" s="11">
        <v>6.51</v>
      </c>
      <c r="G3652" s="9">
        <v>3422.9</v>
      </c>
      <c r="H3652" s="10">
        <v>0.5</v>
      </c>
      <c r="I3652" s="11">
        <v>8.6</v>
      </c>
    </row>
    <row r="3653" spans="1:9" x14ac:dyDescent="0.35">
      <c r="A3653" s="2" t="s">
        <v>345</v>
      </c>
      <c r="B3653" s="3">
        <v>45017</v>
      </c>
      <c r="C3653" s="2">
        <v>17</v>
      </c>
      <c r="D3653" s="2">
        <v>27635</v>
      </c>
      <c r="E3653" s="17">
        <v>61176.14</v>
      </c>
      <c r="F3653" s="11">
        <v>6.46</v>
      </c>
      <c r="G3653" s="9">
        <v>4350.8</v>
      </c>
      <c r="H3653" s="10">
        <v>0.41199999999999998</v>
      </c>
      <c r="I3653" s="11">
        <v>7.3</v>
      </c>
    </row>
    <row r="3654" spans="1:9" x14ac:dyDescent="0.35">
      <c r="A3654" s="2" t="s">
        <v>345</v>
      </c>
      <c r="B3654" s="3">
        <v>45047</v>
      </c>
      <c r="C3654" s="2">
        <v>17</v>
      </c>
      <c r="D3654" s="2">
        <v>29094</v>
      </c>
      <c r="E3654" s="17">
        <v>55540.31</v>
      </c>
      <c r="F3654" s="11">
        <v>6.67</v>
      </c>
      <c r="G3654" s="9">
        <v>4448.3</v>
      </c>
      <c r="H3654" s="10">
        <v>0.41199999999999998</v>
      </c>
      <c r="I3654" s="11">
        <v>7.4</v>
      </c>
    </row>
    <row r="3655" spans="1:9" x14ac:dyDescent="0.35">
      <c r="A3655" s="2" t="s">
        <v>345</v>
      </c>
      <c r="B3655" s="3">
        <v>45078</v>
      </c>
      <c r="C3655" s="2">
        <v>21</v>
      </c>
      <c r="D3655" s="2">
        <v>32707</v>
      </c>
      <c r="E3655" s="17">
        <v>73900.800000000003</v>
      </c>
      <c r="F3655" s="11">
        <v>6.36</v>
      </c>
      <c r="G3655" s="9">
        <v>5100.8</v>
      </c>
      <c r="H3655" s="10">
        <v>0.57099999999999995</v>
      </c>
      <c r="I3655" s="11">
        <v>7.3</v>
      </c>
    </row>
    <row r="3656" spans="1:9" x14ac:dyDescent="0.35">
      <c r="A3656" s="2" t="s">
        <v>345</v>
      </c>
      <c r="B3656" s="3">
        <v>45108</v>
      </c>
      <c r="C3656" s="2">
        <v>18</v>
      </c>
      <c r="D3656" s="2">
        <v>26065</v>
      </c>
      <c r="E3656" s="17">
        <v>60463</v>
      </c>
      <c r="F3656" s="11">
        <v>6.52</v>
      </c>
      <c r="G3656" s="9">
        <v>3999.6</v>
      </c>
      <c r="H3656" s="10">
        <v>0.5</v>
      </c>
      <c r="I3656" s="11">
        <v>7.1</v>
      </c>
    </row>
    <row r="3657" spans="1:9" x14ac:dyDescent="0.35">
      <c r="A3657" s="2" t="s">
        <v>345</v>
      </c>
      <c r="B3657" s="3">
        <v>45139</v>
      </c>
      <c r="C3657" s="2">
        <v>20</v>
      </c>
      <c r="D3657" s="2">
        <v>34497</v>
      </c>
      <c r="E3657" s="17">
        <v>75498.47</v>
      </c>
      <c r="F3657" s="11">
        <v>6.48</v>
      </c>
      <c r="G3657" s="9">
        <v>5309.4</v>
      </c>
      <c r="H3657" s="10">
        <v>0.35</v>
      </c>
      <c r="I3657" s="11">
        <v>6.9</v>
      </c>
    </row>
    <row r="3658" spans="1:9" x14ac:dyDescent="0.35">
      <c r="A3658" s="2" t="s">
        <v>345</v>
      </c>
      <c r="B3658" s="3">
        <v>45170</v>
      </c>
      <c r="C3658" s="2">
        <v>21</v>
      </c>
      <c r="D3658" s="2">
        <v>29399</v>
      </c>
      <c r="E3658" s="17">
        <v>65636.66</v>
      </c>
      <c r="F3658" s="11">
        <v>6.5</v>
      </c>
      <c r="G3658" s="9">
        <v>4600.6000000000004</v>
      </c>
      <c r="H3658" s="10">
        <v>0.52400000000000002</v>
      </c>
      <c r="I3658" s="11">
        <v>6.7</v>
      </c>
    </row>
    <row r="3659" spans="1:9" x14ac:dyDescent="0.35">
      <c r="A3659" s="2" t="s">
        <v>345</v>
      </c>
      <c r="B3659" s="3">
        <v>45200</v>
      </c>
      <c r="C3659" s="2">
        <v>18</v>
      </c>
      <c r="D3659" s="2">
        <v>26151</v>
      </c>
      <c r="E3659" s="17">
        <v>56598.11</v>
      </c>
      <c r="F3659" s="11">
        <v>6.43</v>
      </c>
      <c r="G3659" s="9">
        <v>4078</v>
      </c>
      <c r="H3659" s="10">
        <v>0.5</v>
      </c>
      <c r="I3659" s="11">
        <v>7.4</v>
      </c>
    </row>
    <row r="3660" spans="1:9" x14ac:dyDescent="0.35">
      <c r="A3660" s="2" t="s">
        <v>345</v>
      </c>
      <c r="B3660" s="3">
        <v>45231</v>
      </c>
      <c r="C3660" s="2">
        <v>27</v>
      </c>
      <c r="D3660" s="2">
        <v>40694</v>
      </c>
      <c r="E3660" s="17">
        <v>85686.399999999994</v>
      </c>
      <c r="F3660" s="11">
        <v>6.36</v>
      </c>
      <c r="G3660" s="9">
        <v>6423</v>
      </c>
      <c r="H3660" s="10">
        <v>0.51900000000000002</v>
      </c>
      <c r="I3660" s="11">
        <v>6.8</v>
      </c>
    </row>
    <row r="3661" spans="1:9" x14ac:dyDescent="0.35">
      <c r="A3661" s="2" t="s">
        <v>345</v>
      </c>
      <c r="B3661" s="3">
        <v>45261</v>
      </c>
      <c r="C3661" s="2">
        <v>18</v>
      </c>
      <c r="D3661" s="2">
        <v>26054</v>
      </c>
      <c r="E3661" s="17">
        <v>58045.68</v>
      </c>
      <c r="F3661" s="11">
        <v>6.55</v>
      </c>
      <c r="G3661" s="9">
        <v>4025.2</v>
      </c>
      <c r="H3661" s="10">
        <v>0.38900000000000001</v>
      </c>
      <c r="I3661" s="11">
        <v>6.7</v>
      </c>
    </row>
    <row r="3662" spans="1:9" x14ac:dyDescent="0.35">
      <c r="A3662" s="2" t="s">
        <v>345</v>
      </c>
      <c r="B3662" s="3">
        <v>45292</v>
      </c>
      <c r="C3662" s="2">
        <v>26</v>
      </c>
      <c r="D3662" s="2">
        <v>36107</v>
      </c>
      <c r="E3662" s="17">
        <v>79157.100000000006</v>
      </c>
      <c r="F3662" s="11">
        <v>6.61</v>
      </c>
      <c r="G3662" s="9">
        <v>5403</v>
      </c>
      <c r="H3662" s="10">
        <v>0.23100000000000001</v>
      </c>
      <c r="I3662" s="11">
        <v>5.8</v>
      </c>
    </row>
    <row r="3663" spans="1:9" x14ac:dyDescent="0.35">
      <c r="A3663" s="2" t="s">
        <v>345</v>
      </c>
      <c r="B3663" s="3">
        <v>45323</v>
      </c>
      <c r="C3663" s="2">
        <v>20</v>
      </c>
      <c r="D3663" s="2">
        <v>24684</v>
      </c>
      <c r="E3663" s="17">
        <v>53953.91</v>
      </c>
      <c r="F3663" s="11">
        <v>6.6</v>
      </c>
      <c r="G3663" s="9">
        <v>3727.9</v>
      </c>
      <c r="H3663" s="10">
        <v>0.45</v>
      </c>
      <c r="I3663" s="11">
        <v>6.5</v>
      </c>
    </row>
    <row r="3664" spans="1:9" x14ac:dyDescent="0.35">
      <c r="A3664" s="2" t="s">
        <v>345</v>
      </c>
      <c r="B3664" s="3">
        <v>45352</v>
      </c>
      <c r="C3664" s="2">
        <v>15</v>
      </c>
      <c r="D3664" s="2">
        <v>21062</v>
      </c>
      <c r="E3664" s="17">
        <v>42930.1</v>
      </c>
      <c r="F3664" s="11">
        <v>6.44</v>
      </c>
      <c r="G3664" s="9">
        <v>3264.2</v>
      </c>
      <c r="H3664" s="10">
        <v>0.53300000000000003</v>
      </c>
      <c r="I3664" s="11">
        <v>8.3000000000000007</v>
      </c>
    </row>
    <row r="3665" spans="1:9" x14ac:dyDescent="0.35">
      <c r="A3665" s="2" t="s">
        <v>345</v>
      </c>
      <c r="B3665" s="3">
        <v>45383</v>
      </c>
      <c r="C3665" s="2">
        <v>18</v>
      </c>
      <c r="D3665" s="2">
        <v>25211</v>
      </c>
      <c r="E3665" s="17">
        <v>53087.86</v>
      </c>
      <c r="F3665" s="11">
        <v>6.56</v>
      </c>
      <c r="G3665" s="9">
        <v>3805</v>
      </c>
      <c r="H3665" s="10">
        <v>0.66700000000000004</v>
      </c>
      <c r="I3665" s="11">
        <v>6.3</v>
      </c>
    </row>
    <row r="3666" spans="1:9" x14ac:dyDescent="0.35">
      <c r="A3666" s="2" t="s">
        <v>345</v>
      </c>
      <c r="B3666" s="3">
        <v>45413</v>
      </c>
      <c r="C3666" s="2">
        <v>18</v>
      </c>
      <c r="D3666" s="2">
        <v>26952</v>
      </c>
      <c r="E3666" s="17">
        <v>60005.54</v>
      </c>
      <c r="F3666" s="11">
        <v>6.48</v>
      </c>
      <c r="G3666" s="9">
        <v>4212.7</v>
      </c>
      <c r="H3666" s="10">
        <v>0.44400000000000001</v>
      </c>
      <c r="I3666" s="11">
        <v>7.4</v>
      </c>
    </row>
    <row r="3667" spans="1:9" x14ac:dyDescent="0.35">
      <c r="A3667" s="2" t="s">
        <v>345</v>
      </c>
      <c r="B3667" s="3">
        <v>45444</v>
      </c>
      <c r="C3667" s="2">
        <v>15</v>
      </c>
      <c r="D3667" s="2">
        <v>20377</v>
      </c>
      <c r="E3667" s="17">
        <v>40269.99</v>
      </c>
      <c r="F3667" s="11">
        <v>6.49</v>
      </c>
      <c r="G3667" s="9">
        <v>3197.4</v>
      </c>
      <c r="H3667" s="10">
        <v>0.46700000000000003</v>
      </c>
      <c r="I3667" s="11">
        <v>6.7</v>
      </c>
    </row>
    <row r="3668" spans="1:9" x14ac:dyDescent="0.35">
      <c r="A3668" s="2" t="s">
        <v>345</v>
      </c>
      <c r="B3668" s="3">
        <v>45474</v>
      </c>
      <c r="C3668" s="2">
        <v>14</v>
      </c>
      <c r="D3668" s="2">
        <v>18096</v>
      </c>
      <c r="E3668" s="17">
        <v>41506.58</v>
      </c>
      <c r="F3668" s="11">
        <v>6.63</v>
      </c>
      <c r="G3668" s="9">
        <v>2715.1</v>
      </c>
      <c r="H3668" s="10">
        <v>0.35699999999999998</v>
      </c>
      <c r="I3668" s="11">
        <v>7.5</v>
      </c>
    </row>
    <row r="3669" spans="1:9" x14ac:dyDescent="0.35">
      <c r="A3669" s="2" t="s">
        <v>345</v>
      </c>
      <c r="B3669" s="3">
        <v>45505</v>
      </c>
      <c r="C3669" s="2">
        <v>16</v>
      </c>
      <c r="D3669" s="2">
        <v>23171</v>
      </c>
      <c r="E3669" s="17">
        <v>53691.51</v>
      </c>
      <c r="F3669" s="11">
        <v>6.09</v>
      </c>
      <c r="G3669" s="9">
        <v>3837.3</v>
      </c>
      <c r="H3669" s="10">
        <v>0.312</v>
      </c>
      <c r="I3669" s="11">
        <v>7.4</v>
      </c>
    </row>
    <row r="3670" spans="1:9" x14ac:dyDescent="0.35">
      <c r="A3670" s="2" t="s">
        <v>345</v>
      </c>
      <c r="B3670" s="3">
        <v>45536</v>
      </c>
      <c r="C3670" s="2">
        <v>26</v>
      </c>
      <c r="D3670" s="2">
        <v>37842</v>
      </c>
      <c r="E3670" s="17">
        <v>83645.41</v>
      </c>
      <c r="F3670" s="11">
        <v>6.55</v>
      </c>
      <c r="G3670" s="9">
        <v>5735.6</v>
      </c>
      <c r="H3670" s="10">
        <v>0.53800000000000003</v>
      </c>
      <c r="I3670" s="11">
        <v>7.2</v>
      </c>
    </row>
    <row r="3671" spans="1:9" x14ac:dyDescent="0.35">
      <c r="A3671" s="2" t="s">
        <v>345</v>
      </c>
      <c r="B3671" s="3">
        <v>45566</v>
      </c>
      <c r="C3671" s="2">
        <v>21</v>
      </c>
      <c r="D3671" s="2">
        <v>23698</v>
      </c>
      <c r="E3671" s="17">
        <v>54654.74</v>
      </c>
      <c r="F3671" s="11">
        <v>6.27</v>
      </c>
      <c r="G3671" s="9">
        <v>3748.8</v>
      </c>
      <c r="H3671" s="10">
        <v>0.33300000000000002</v>
      </c>
      <c r="I3671" s="11">
        <v>7.5</v>
      </c>
    </row>
    <row r="3672" spans="1:9" x14ac:dyDescent="0.35">
      <c r="A3672" s="2" t="s">
        <v>345</v>
      </c>
      <c r="B3672" s="3">
        <v>45597</v>
      </c>
      <c r="C3672" s="2">
        <v>14</v>
      </c>
      <c r="D3672" s="2">
        <v>18984</v>
      </c>
      <c r="E3672" s="17">
        <v>43503.62</v>
      </c>
      <c r="F3672" s="11">
        <v>6.52</v>
      </c>
      <c r="G3672" s="9">
        <v>2967.7</v>
      </c>
      <c r="H3672" s="10">
        <v>0.42899999999999999</v>
      </c>
      <c r="I3672" s="11">
        <v>6</v>
      </c>
    </row>
    <row r="3673" spans="1:9" x14ac:dyDescent="0.35">
      <c r="A3673" s="2" t="s">
        <v>345</v>
      </c>
      <c r="B3673" s="3">
        <v>45627</v>
      </c>
      <c r="C3673" s="2">
        <v>21</v>
      </c>
      <c r="D3673" s="2">
        <v>32031</v>
      </c>
      <c r="E3673" s="17">
        <v>69017.39</v>
      </c>
      <c r="F3673" s="11">
        <v>6.47</v>
      </c>
      <c r="G3673" s="9">
        <v>4974.1000000000004</v>
      </c>
      <c r="H3673" s="10">
        <v>0.47599999999999998</v>
      </c>
      <c r="I3673" s="11">
        <v>6.5</v>
      </c>
    </row>
    <row r="3674" spans="1:9" x14ac:dyDescent="0.35">
      <c r="A3674" s="2" t="s">
        <v>347</v>
      </c>
      <c r="B3674" s="3">
        <v>44562</v>
      </c>
      <c r="C3674" s="2">
        <v>23</v>
      </c>
      <c r="D3674" s="2">
        <v>34689</v>
      </c>
      <c r="E3674" s="17">
        <v>75339.83</v>
      </c>
      <c r="F3674" s="11">
        <v>6.38</v>
      </c>
      <c r="G3674" s="9">
        <v>5472</v>
      </c>
      <c r="H3674" s="10">
        <v>0.435</v>
      </c>
      <c r="I3674" s="11">
        <v>7.5</v>
      </c>
    </row>
    <row r="3675" spans="1:9" x14ac:dyDescent="0.35">
      <c r="A3675" s="2" t="s">
        <v>347</v>
      </c>
      <c r="B3675" s="3">
        <v>44593</v>
      </c>
      <c r="C3675" s="2">
        <v>18</v>
      </c>
      <c r="D3675" s="2">
        <v>22043</v>
      </c>
      <c r="E3675" s="17">
        <v>46592.32</v>
      </c>
      <c r="F3675" s="11">
        <v>6.64</v>
      </c>
      <c r="G3675" s="9">
        <v>3429.3</v>
      </c>
      <c r="H3675" s="10">
        <v>0.16700000000000001</v>
      </c>
      <c r="I3675" s="11">
        <v>5.9</v>
      </c>
    </row>
    <row r="3676" spans="1:9" x14ac:dyDescent="0.35">
      <c r="A3676" s="2" t="s">
        <v>347</v>
      </c>
      <c r="B3676" s="3">
        <v>44621</v>
      </c>
      <c r="C3676" s="2">
        <v>24</v>
      </c>
      <c r="D3676" s="2">
        <v>40945</v>
      </c>
      <c r="E3676" s="17">
        <v>87889.3</v>
      </c>
      <c r="F3676" s="11">
        <v>6.48</v>
      </c>
      <c r="G3676" s="9">
        <v>6351.1</v>
      </c>
      <c r="H3676" s="10">
        <v>0.625</v>
      </c>
      <c r="I3676" s="11">
        <v>7.9</v>
      </c>
    </row>
    <row r="3677" spans="1:9" x14ac:dyDescent="0.35">
      <c r="A3677" s="2" t="s">
        <v>347</v>
      </c>
      <c r="B3677" s="3">
        <v>44652</v>
      </c>
      <c r="C3677" s="2">
        <v>16</v>
      </c>
      <c r="D3677" s="2">
        <v>15261</v>
      </c>
      <c r="E3677" s="17">
        <v>33207.21</v>
      </c>
      <c r="F3677" s="11">
        <v>6.5</v>
      </c>
      <c r="G3677" s="9">
        <v>2331.8000000000002</v>
      </c>
      <c r="H3677" s="10">
        <v>0.375</v>
      </c>
      <c r="I3677" s="11">
        <v>6.8</v>
      </c>
    </row>
    <row r="3678" spans="1:9" x14ac:dyDescent="0.35">
      <c r="A3678" s="2" t="s">
        <v>347</v>
      </c>
      <c r="B3678" s="3">
        <v>44682</v>
      </c>
      <c r="C3678" s="2">
        <v>23</v>
      </c>
      <c r="D3678" s="2">
        <v>27215</v>
      </c>
      <c r="E3678" s="17">
        <v>57267.61</v>
      </c>
      <c r="F3678" s="11">
        <v>6.28</v>
      </c>
      <c r="G3678" s="9">
        <v>4338.3</v>
      </c>
      <c r="H3678" s="10">
        <v>0.56499999999999995</v>
      </c>
      <c r="I3678" s="11">
        <v>6.7</v>
      </c>
    </row>
    <row r="3679" spans="1:9" x14ac:dyDescent="0.35">
      <c r="A3679" s="2" t="s">
        <v>347</v>
      </c>
      <c r="B3679" s="3">
        <v>44713</v>
      </c>
      <c r="C3679" s="2">
        <v>23</v>
      </c>
      <c r="D3679" s="2">
        <v>35605</v>
      </c>
      <c r="E3679" s="17">
        <v>71832.83</v>
      </c>
      <c r="F3679" s="11">
        <v>6.62</v>
      </c>
      <c r="G3679" s="9">
        <v>5542.1</v>
      </c>
      <c r="H3679" s="10">
        <v>0.34799999999999998</v>
      </c>
      <c r="I3679" s="11">
        <v>7.1</v>
      </c>
    </row>
    <row r="3680" spans="1:9" x14ac:dyDescent="0.35">
      <c r="A3680" s="2" t="s">
        <v>347</v>
      </c>
      <c r="B3680" s="3">
        <v>44743</v>
      </c>
      <c r="C3680" s="2">
        <v>13</v>
      </c>
      <c r="D3680" s="2">
        <v>22821</v>
      </c>
      <c r="E3680" s="17">
        <v>48930.44</v>
      </c>
      <c r="F3680" s="11">
        <v>6.41</v>
      </c>
      <c r="G3680" s="9">
        <v>3611</v>
      </c>
      <c r="H3680" s="10">
        <v>0.38500000000000001</v>
      </c>
      <c r="I3680" s="11">
        <v>7.9</v>
      </c>
    </row>
    <row r="3681" spans="1:9" x14ac:dyDescent="0.35">
      <c r="A3681" s="2" t="s">
        <v>347</v>
      </c>
      <c r="B3681" s="3">
        <v>44774</v>
      </c>
      <c r="C3681" s="2">
        <v>17</v>
      </c>
      <c r="D3681" s="2">
        <v>25122</v>
      </c>
      <c r="E3681" s="17">
        <v>52350.91</v>
      </c>
      <c r="F3681" s="11">
        <v>6.64</v>
      </c>
      <c r="G3681" s="9">
        <v>3785.9</v>
      </c>
      <c r="H3681" s="10">
        <v>0.23499999999999999</v>
      </c>
      <c r="I3681" s="11">
        <v>7.5</v>
      </c>
    </row>
    <row r="3682" spans="1:9" x14ac:dyDescent="0.35">
      <c r="A3682" s="2" t="s">
        <v>347</v>
      </c>
      <c r="B3682" s="3">
        <v>44805</v>
      </c>
      <c r="C3682" s="2">
        <v>18</v>
      </c>
      <c r="D3682" s="2">
        <v>29793</v>
      </c>
      <c r="E3682" s="17">
        <v>55213.58</v>
      </c>
      <c r="F3682" s="11">
        <v>6.74</v>
      </c>
      <c r="G3682" s="9">
        <v>4418.8</v>
      </c>
      <c r="H3682" s="10">
        <v>0.222</v>
      </c>
      <c r="I3682" s="11">
        <v>6.7</v>
      </c>
    </row>
    <row r="3683" spans="1:9" x14ac:dyDescent="0.35">
      <c r="A3683" s="2" t="s">
        <v>347</v>
      </c>
      <c r="B3683" s="3">
        <v>44835</v>
      </c>
      <c r="C3683" s="2">
        <v>17</v>
      </c>
      <c r="D3683" s="2">
        <v>20690</v>
      </c>
      <c r="E3683" s="17">
        <v>42963.7</v>
      </c>
      <c r="F3683" s="11">
        <v>6.65</v>
      </c>
      <c r="G3683" s="9">
        <v>3112.6</v>
      </c>
      <c r="H3683" s="10">
        <v>0.58799999999999997</v>
      </c>
      <c r="I3683" s="11">
        <v>5.6</v>
      </c>
    </row>
    <row r="3684" spans="1:9" x14ac:dyDescent="0.35">
      <c r="A3684" s="2" t="s">
        <v>347</v>
      </c>
      <c r="B3684" s="3">
        <v>44866</v>
      </c>
      <c r="C3684" s="2">
        <v>20</v>
      </c>
      <c r="D3684" s="2">
        <v>27486</v>
      </c>
      <c r="E3684" s="17">
        <v>59682.42</v>
      </c>
      <c r="F3684" s="11">
        <v>6.48</v>
      </c>
      <c r="G3684" s="9">
        <v>4326.8</v>
      </c>
      <c r="H3684" s="10">
        <v>0.4</v>
      </c>
      <c r="I3684" s="11">
        <v>6.2</v>
      </c>
    </row>
    <row r="3685" spans="1:9" x14ac:dyDescent="0.35">
      <c r="A3685" s="2" t="s">
        <v>347</v>
      </c>
      <c r="B3685" s="3">
        <v>44896</v>
      </c>
      <c r="C3685" s="2">
        <v>16</v>
      </c>
      <c r="D3685" s="2">
        <v>25679</v>
      </c>
      <c r="E3685" s="17">
        <v>52975.14</v>
      </c>
      <c r="F3685" s="11">
        <v>6.53</v>
      </c>
      <c r="G3685" s="9">
        <v>4018.5</v>
      </c>
      <c r="H3685" s="10">
        <v>0.25</v>
      </c>
      <c r="I3685" s="11">
        <v>6</v>
      </c>
    </row>
    <row r="3686" spans="1:9" x14ac:dyDescent="0.35">
      <c r="A3686" s="2" t="s">
        <v>347</v>
      </c>
      <c r="B3686" s="3">
        <v>44927</v>
      </c>
      <c r="C3686" s="2">
        <v>25</v>
      </c>
      <c r="D3686" s="2">
        <v>32912</v>
      </c>
      <c r="E3686" s="17">
        <v>67899.149999999994</v>
      </c>
      <c r="F3686" s="11">
        <v>6.49</v>
      </c>
      <c r="G3686" s="9">
        <v>4967.8999999999996</v>
      </c>
      <c r="H3686" s="10">
        <v>0.68</v>
      </c>
      <c r="I3686" s="11">
        <v>7.3</v>
      </c>
    </row>
    <row r="3687" spans="1:9" x14ac:dyDescent="0.35">
      <c r="A3687" s="2" t="s">
        <v>347</v>
      </c>
      <c r="B3687" s="3">
        <v>44958</v>
      </c>
      <c r="C3687" s="2">
        <v>19</v>
      </c>
      <c r="D3687" s="2">
        <v>28251</v>
      </c>
      <c r="E3687" s="17">
        <v>54812.160000000003</v>
      </c>
      <c r="F3687" s="11">
        <v>6.25</v>
      </c>
      <c r="G3687" s="9">
        <v>4540.1000000000004</v>
      </c>
      <c r="H3687" s="10">
        <v>0.42099999999999999</v>
      </c>
      <c r="I3687" s="11">
        <v>7.2</v>
      </c>
    </row>
    <row r="3688" spans="1:9" x14ac:dyDescent="0.35">
      <c r="A3688" s="2" t="s">
        <v>347</v>
      </c>
      <c r="B3688" s="3">
        <v>44986</v>
      </c>
      <c r="C3688" s="2">
        <v>24</v>
      </c>
      <c r="D3688" s="2">
        <v>33431</v>
      </c>
      <c r="E3688" s="17">
        <v>77767.649999999994</v>
      </c>
      <c r="F3688" s="11">
        <v>6.51</v>
      </c>
      <c r="G3688" s="9">
        <v>5175.7</v>
      </c>
      <c r="H3688" s="10">
        <v>0.375</v>
      </c>
      <c r="I3688" s="11">
        <v>6.7</v>
      </c>
    </row>
    <row r="3689" spans="1:9" x14ac:dyDescent="0.35">
      <c r="A3689" s="2" t="s">
        <v>347</v>
      </c>
      <c r="B3689" s="3">
        <v>45017</v>
      </c>
      <c r="C3689" s="2">
        <v>21</v>
      </c>
      <c r="D3689" s="2">
        <v>23696</v>
      </c>
      <c r="E3689" s="17">
        <v>51440.04</v>
      </c>
      <c r="F3689" s="11">
        <v>6.51</v>
      </c>
      <c r="G3689" s="9">
        <v>3724.5</v>
      </c>
      <c r="H3689" s="10">
        <v>0.57099999999999995</v>
      </c>
      <c r="I3689" s="11">
        <v>6.5</v>
      </c>
    </row>
    <row r="3690" spans="1:9" x14ac:dyDescent="0.35">
      <c r="A3690" s="2" t="s">
        <v>347</v>
      </c>
      <c r="B3690" s="3">
        <v>45047</v>
      </c>
      <c r="C3690" s="2">
        <v>18</v>
      </c>
      <c r="D3690" s="2">
        <v>24524</v>
      </c>
      <c r="E3690" s="17">
        <v>52129.68</v>
      </c>
      <c r="F3690" s="11">
        <v>6.57</v>
      </c>
      <c r="G3690" s="9">
        <v>3762.8</v>
      </c>
      <c r="H3690" s="10">
        <v>0.33300000000000002</v>
      </c>
      <c r="I3690" s="11">
        <v>6.2</v>
      </c>
    </row>
    <row r="3691" spans="1:9" x14ac:dyDescent="0.35">
      <c r="A3691" s="2" t="s">
        <v>347</v>
      </c>
      <c r="B3691" s="3">
        <v>45078</v>
      </c>
      <c r="C3691" s="2">
        <v>31</v>
      </c>
      <c r="D3691" s="2">
        <v>46748</v>
      </c>
      <c r="E3691" s="17">
        <v>106768.71</v>
      </c>
      <c r="F3691" s="11">
        <v>6.57</v>
      </c>
      <c r="G3691" s="9">
        <v>7095.9</v>
      </c>
      <c r="H3691" s="10">
        <v>0.51600000000000001</v>
      </c>
      <c r="I3691" s="11">
        <v>6.8</v>
      </c>
    </row>
    <row r="3692" spans="1:9" x14ac:dyDescent="0.35">
      <c r="A3692" s="2" t="s">
        <v>347</v>
      </c>
      <c r="B3692" s="3">
        <v>45108</v>
      </c>
      <c r="C3692" s="2">
        <v>26</v>
      </c>
      <c r="D3692" s="2">
        <v>34945</v>
      </c>
      <c r="E3692" s="17">
        <v>76002.25</v>
      </c>
      <c r="F3692" s="11">
        <v>6.52</v>
      </c>
      <c r="G3692" s="9">
        <v>5317.3</v>
      </c>
      <c r="H3692" s="10">
        <v>0.192</v>
      </c>
      <c r="I3692" s="11">
        <v>7.3</v>
      </c>
    </row>
    <row r="3693" spans="1:9" x14ac:dyDescent="0.35">
      <c r="A3693" s="2" t="s">
        <v>347</v>
      </c>
      <c r="B3693" s="3">
        <v>45139</v>
      </c>
      <c r="C3693" s="2">
        <v>20</v>
      </c>
      <c r="D3693" s="2">
        <v>31544</v>
      </c>
      <c r="E3693" s="17">
        <v>66534.59</v>
      </c>
      <c r="F3693" s="11">
        <v>6.35</v>
      </c>
      <c r="G3693" s="9">
        <v>5044.7</v>
      </c>
      <c r="H3693" s="10">
        <v>0.5</v>
      </c>
      <c r="I3693" s="11">
        <v>7.1</v>
      </c>
    </row>
    <row r="3694" spans="1:9" x14ac:dyDescent="0.35">
      <c r="A3694" s="2" t="s">
        <v>347</v>
      </c>
      <c r="B3694" s="3">
        <v>45170</v>
      </c>
      <c r="C3694" s="2">
        <v>12</v>
      </c>
      <c r="D3694" s="2">
        <v>13694</v>
      </c>
      <c r="E3694" s="17">
        <v>27191.39</v>
      </c>
      <c r="F3694" s="11">
        <v>6.3</v>
      </c>
      <c r="G3694" s="9">
        <v>2188.1999999999998</v>
      </c>
      <c r="H3694" s="10">
        <v>0.5</v>
      </c>
      <c r="I3694" s="11">
        <v>7.8</v>
      </c>
    </row>
    <row r="3695" spans="1:9" x14ac:dyDescent="0.35">
      <c r="A3695" s="2" t="s">
        <v>347</v>
      </c>
      <c r="B3695" s="3">
        <v>45200</v>
      </c>
      <c r="C3695" s="2">
        <v>20</v>
      </c>
      <c r="D3695" s="2">
        <v>27289</v>
      </c>
      <c r="E3695" s="17">
        <v>57604.28</v>
      </c>
      <c r="F3695" s="11">
        <v>6.57</v>
      </c>
      <c r="G3695" s="9">
        <v>4298.8999999999996</v>
      </c>
      <c r="H3695" s="10">
        <v>0.5</v>
      </c>
      <c r="I3695" s="11">
        <v>7</v>
      </c>
    </row>
    <row r="3696" spans="1:9" x14ac:dyDescent="0.35">
      <c r="A3696" s="2" t="s">
        <v>347</v>
      </c>
      <c r="B3696" s="3">
        <v>45231</v>
      </c>
      <c r="C3696" s="2">
        <v>19</v>
      </c>
      <c r="D3696" s="2">
        <v>23980</v>
      </c>
      <c r="E3696" s="17">
        <v>53205.36</v>
      </c>
      <c r="F3696" s="11">
        <v>6.5</v>
      </c>
      <c r="G3696" s="9">
        <v>3753.3</v>
      </c>
      <c r="H3696" s="10">
        <v>0.78900000000000003</v>
      </c>
      <c r="I3696" s="11">
        <v>7.3</v>
      </c>
    </row>
    <row r="3697" spans="1:9" x14ac:dyDescent="0.35">
      <c r="A3697" s="2" t="s">
        <v>347</v>
      </c>
      <c r="B3697" s="3">
        <v>45261</v>
      </c>
      <c r="C3697" s="2">
        <v>20</v>
      </c>
      <c r="D3697" s="2">
        <v>29309</v>
      </c>
      <c r="E3697" s="17">
        <v>66274.34</v>
      </c>
      <c r="F3697" s="11">
        <v>6.27</v>
      </c>
      <c r="G3697" s="9">
        <v>4755</v>
      </c>
      <c r="H3697" s="10">
        <v>0.45</v>
      </c>
      <c r="I3697" s="11">
        <v>7</v>
      </c>
    </row>
    <row r="3698" spans="1:9" x14ac:dyDescent="0.35">
      <c r="A3698" s="2" t="s">
        <v>347</v>
      </c>
      <c r="B3698" s="3">
        <v>45292</v>
      </c>
      <c r="C3698" s="2">
        <v>18</v>
      </c>
      <c r="D3698" s="2">
        <v>19432</v>
      </c>
      <c r="E3698" s="17">
        <v>43070.17</v>
      </c>
      <c r="F3698" s="11">
        <v>6.76</v>
      </c>
      <c r="G3698" s="9">
        <v>2896.8</v>
      </c>
      <c r="H3698" s="10">
        <v>0.27800000000000002</v>
      </c>
      <c r="I3698" s="11">
        <v>7.6</v>
      </c>
    </row>
    <row r="3699" spans="1:9" x14ac:dyDescent="0.35">
      <c r="A3699" s="2" t="s">
        <v>347</v>
      </c>
      <c r="B3699" s="3">
        <v>45323</v>
      </c>
      <c r="C3699" s="2">
        <v>17</v>
      </c>
      <c r="D3699" s="2">
        <v>21712</v>
      </c>
      <c r="E3699" s="17">
        <v>46887.07</v>
      </c>
      <c r="F3699" s="11">
        <v>6.57</v>
      </c>
      <c r="G3699" s="9">
        <v>3347.3</v>
      </c>
      <c r="H3699" s="10">
        <v>0.41199999999999998</v>
      </c>
      <c r="I3699" s="11">
        <v>8.1</v>
      </c>
    </row>
    <row r="3700" spans="1:9" x14ac:dyDescent="0.35">
      <c r="A3700" s="2" t="s">
        <v>347</v>
      </c>
      <c r="B3700" s="3">
        <v>45352</v>
      </c>
      <c r="C3700" s="2">
        <v>22</v>
      </c>
      <c r="D3700" s="2">
        <v>25630</v>
      </c>
      <c r="E3700" s="17">
        <v>54604.25</v>
      </c>
      <c r="F3700" s="11">
        <v>6.68</v>
      </c>
      <c r="G3700" s="9">
        <v>3897.5</v>
      </c>
      <c r="H3700" s="10">
        <v>0.36399999999999999</v>
      </c>
      <c r="I3700" s="11">
        <v>7.1</v>
      </c>
    </row>
    <row r="3701" spans="1:9" x14ac:dyDescent="0.35">
      <c r="A3701" s="2" t="s">
        <v>347</v>
      </c>
      <c r="B3701" s="3">
        <v>45383</v>
      </c>
      <c r="C3701" s="2">
        <v>18</v>
      </c>
      <c r="D3701" s="2">
        <v>21771</v>
      </c>
      <c r="E3701" s="17">
        <v>47339.97</v>
      </c>
      <c r="F3701" s="11">
        <v>6.36</v>
      </c>
      <c r="G3701" s="9">
        <v>3493.5</v>
      </c>
      <c r="H3701" s="10">
        <v>0.33300000000000002</v>
      </c>
      <c r="I3701" s="11">
        <v>5.9</v>
      </c>
    </row>
    <row r="3702" spans="1:9" x14ac:dyDescent="0.35">
      <c r="A3702" s="2" t="s">
        <v>347</v>
      </c>
      <c r="B3702" s="3">
        <v>45413</v>
      </c>
      <c r="C3702" s="2">
        <v>19</v>
      </c>
      <c r="D3702" s="2">
        <v>30326</v>
      </c>
      <c r="E3702" s="17">
        <v>73172.97</v>
      </c>
      <c r="F3702" s="11">
        <v>6.5</v>
      </c>
      <c r="G3702" s="9">
        <v>4712.8999999999996</v>
      </c>
      <c r="H3702" s="10">
        <v>0.42099999999999999</v>
      </c>
      <c r="I3702" s="11">
        <v>6.4</v>
      </c>
    </row>
    <row r="3703" spans="1:9" x14ac:dyDescent="0.35">
      <c r="A3703" s="2" t="s">
        <v>347</v>
      </c>
      <c r="B3703" s="3">
        <v>45444</v>
      </c>
      <c r="C3703" s="2">
        <v>21</v>
      </c>
      <c r="D3703" s="2">
        <v>32487</v>
      </c>
      <c r="E3703" s="17">
        <v>70595.06</v>
      </c>
      <c r="F3703" s="11">
        <v>6.86</v>
      </c>
      <c r="G3703" s="9">
        <v>4769.3999999999996</v>
      </c>
      <c r="H3703" s="10">
        <v>0.42899999999999999</v>
      </c>
      <c r="I3703" s="11">
        <v>6.8</v>
      </c>
    </row>
    <row r="3704" spans="1:9" x14ac:dyDescent="0.35">
      <c r="A3704" s="2" t="s">
        <v>347</v>
      </c>
      <c r="B3704" s="3">
        <v>45474</v>
      </c>
      <c r="C3704" s="2">
        <v>17</v>
      </c>
      <c r="D3704" s="2">
        <v>25404</v>
      </c>
      <c r="E3704" s="17">
        <v>57104.89</v>
      </c>
      <c r="F3704" s="11">
        <v>6.62</v>
      </c>
      <c r="G3704" s="9">
        <v>3871.5</v>
      </c>
      <c r="H3704" s="10">
        <v>0.41199999999999998</v>
      </c>
      <c r="I3704" s="11">
        <v>6.7</v>
      </c>
    </row>
    <row r="3705" spans="1:9" x14ac:dyDescent="0.35">
      <c r="A3705" s="2" t="s">
        <v>347</v>
      </c>
      <c r="B3705" s="3">
        <v>45505</v>
      </c>
      <c r="C3705" s="2">
        <v>18</v>
      </c>
      <c r="D3705" s="2">
        <v>28267</v>
      </c>
      <c r="E3705" s="17">
        <v>62054.53</v>
      </c>
      <c r="F3705" s="11">
        <v>6.32</v>
      </c>
      <c r="G3705" s="9">
        <v>4501.3</v>
      </c>
      <c r="H3705" s="10">
        <v>0.33300000000000002</v>
      </c>
      <c r="I3705" s="11">
        <v>6.8</v>
      </c>
    </row>
    <row r="3706" spans="1:9" x14ac:dyDescent="0.35">
      <c r="A3706" s="2" t="s">
        <v>347</v>
      </c>
      <c r="B3706" s="3">
        <v>45536</v>
      </c>
      <c r="C3706" s="2">
        <v>9</v>
      </c>
      <c r="D3706" s="2">
        <v>8400</v>
      </c>
      <c r="E3706" s="17">
        <v>16996.91</v>
      </c>
      <c r="F3706" s="11">
        <v>6.65</v>
      </c>
      <c r="G3706" s="9">
        <v>1254.4000000000001</v>
      </c>
      <c r="H3706" s="10">
        <v>0.33300000000000002</v>
      </c>
      <c r="I3706" s="11">
        <v>9.5</v>
      </c>
    </row>
    <row r="3707" spans="1:9" x14ac:dyDescent="0.35">
      <c r="A3707" s="2" t="s">
        <v>347</v>
      </c>
      <c r="B3707" s="3">
        <v>45566</v>
      </c>
      <c r="C3707" s="2">
        <v>20</v>
      </c>
      <c r="D3707" s="2">
        <v>31805</v>
      </c>
      <c r="E3707" s="17">
        <v>69427.28</v>
      </c>
      <c r="F3707" s="11">
        <v>6.78</v>
      </c>
      <c r="G3707" s="9">
        <v>4708.7</v>
      </c>
      <c r="H3707" s="10">
        <v>0.4</v>
      </c>
      <c r="I3707" s="11">
        <v>7.4</v>
      </c>
    </row>
    <row r="3708" spans="1:9" x14ac:dyDescent="0.35">
      <c r="A3708" s="2" t="s">
        <v>347</v>
      </c>
      <c r="B3708" s="3">
        <v>45597</v>
      </c>
      <c r="C3708" s="2">
        <v>22</v>
      </c>
      <c r="D3708" s="2">
        <v>21699</v>
      </c>
      <c r="E3708" s="17">
        <v>46222.89</v>
      </c>
      <c r="F3708" s="11">
        <v>6.67</v>
      </c>
      <c r="G3708" s="9">
        <v>3271.5</v>
      </c>
      <c r="H3708" s="10">
        <v>0.54500000000000004</v>
      </c>
      <c r="I3708" s="11">
        <v>6.5</v>
      </c>
    </row>
    <row r="3709" spans="1:9" x14ac:dyDescent="0.35">
      <c r="A3709" s="2" t="s">
        <v>347</v>
      </c>
      <c r="B3709" s="3">
        <v>45627</v>
      </c>
      <c r="C3709" s="2">
        <v>18</v>
      </c>
      <c r="D3709" s="2">
        <v>26234</v>
      </c>
      <c r="E3709" s="17">
        <v>55578.96</v>
      </c>
      <c r="F3709" s="11">
        <v>6.29</v>
      </c>
      <c r="G3709" s="9">
        <v>4227.3999999999996</v>
      </c>
      <c r="H3709" s="10">
        <v>0.5</v>
      </c>
      <c r="I3709" s="11">
        <v>6.5</v>
      </c>
    </row>
    <row r="3710" spans="1:9" x14ac:dyDescent="0.35">
      <c r="A3710" s="2" t="s">
        <v>349</v>
      </c>
      <c r="B3710" s="3">
        <v>44562</v>
      </c>
      <c r="C3710" s="2">
        <v>20</v>
      </c>
      <c r="D3710" s="2">
        <v>23284</v>
      </c>
      <c r="E3710" s="17">
        <v>52925.17</v>
      </c>
      <c r="F3710" s="11">
        <v>6.49</v>
      </c>
      <c r="G3710" s="9">
        <v>3644.7</v>
      </c>
      <c r="H3710" s="10">
        <v>0.6</v>
      </c>
      <c r="I3710" s="11">
        <v>6.4</v>
      </c>
    </row>
    <row r="3711" spans="1:9" x14ac:dyDescent="0.35">
      <c r="A3711" s="2" t="s">
        <v>349</v>
      </c>
      <c r="B3711" s="3">
        <v>44593</v>
      </c>
      <c r="C3711" s="2">
        <v>21</v>
      </c>
      <c r="D3711" s="2">
        <v>27156</v>
      </c>
      <c r="E3711" s="17">
        <v>62295.5</v>
      </c>
      <c r="F3711" s="11">
        <v>6.54</v>
      </c>
      <c r="G3711" s="9">
        <v>4228.8</v>
      </c>
      <c r="H3711" s="10">
        <v>0.52400000000000002</v>
      </c>
      <c r="I3711" s="11">
        <v>7.2</v>
      </c>
    </row>
    <row r="3712" spans="1:9" x14ac:dyDescent="0.35">
      <c r="A3712" s="2" t="s">
        <v>349</v>
      </c>
      <c r="B3712" s="3">
        <v>44621</v>
      </c>
      <c r="C3712" s="2">
        <v>19</v>
      </c>
      <c r="D3712" s="2">
        <v>23249</v>
      </c>
      <c r="E3712" s="17">
        <v>51905.5</v>
      </c>
      <c r="F3712" s="11">
        <v>6.68</v>
      </c>
      <c r="G3712" s="9">
        <v>3473.1</v>
      </c>
      <c r="H3712" s="10">
        <v>0.63200000000000001</v>
      </c>
      <c r="I3712" s="11">
        <v>5.9</v>
      </c>
    </row>
    <row r="3713" spans="1:9" x14ac:dyDescent="0.35">
      <c r="A3713" s="2" t="s">
        <v>349</v>
      </c>
      <c r="B3713" s="3">
        <v>44652</v>
      </c>
      <c r="C3713" s="2">
        <v>22</v>
      </c>
      <c r="D3713" s="2">
        <v>28501</v>
      </c>
      <c r="E3713" s="17">
        <v>60988.34</v>
      </c>
      <c r="F3713" s="11">
        <v>6.66</v>
      </c>
      <c r="G3713" s="9">
        <v>4327.5</v>
      </c>
      <c r="H3713" s="10">
        <v>0.40899999999999997</v>
      </c>
      <c r="I3713" s="11">
        <v>6.6</v>
      </c>
    </row>
    <row r="3714" spans="1:9" x14ac:dyDescent="0.35">
      <c r="A3714" s="2" t="s">
        <v>349</v>
      </c>
      <c r="B3714" s="3">
        <v>44682</v>
      </c>
      <c r="C3714" s="2">
        <v>14</v>
      </c>
      <c r="D3714" s="2">
        <v>24499</v>
      </c>
      <c r="E3714" s="17">
        <v>49732.56</v>
      </c>
      <c r="F3714" s="11">
        <v>6.43</v>
      </c>
      <c r="G3714" s="9">
        <v>3723.4</v>
      </c>
      <c r="H3714" s="10">
        <v>0.64300000000000002</v>
      </c>
      <c r="I3714" s="11">
        <v>5.7</v>
      </c>
    </row>
    <row r="3715" spans="1:9" x14ac:dyDescent="0.35">
      <c r="A3715" s="2" t="s">
        <v>349</v>
      </c>
      <c r="B3715" s="3">
        <v>44713</v>
      </c>
      <c r="C3715" s="2">
        <v>28</v>
      </c>
      <c r="D3715" s="2">
        <v>44549</v>
      </c>
      <c r="E3715" s="17">
        <v>91563.83</v>
      </c>
      <c r="F3715" s="11">
        <v>6.6</v>
      </c>
      <c r="G3715" s="9">
        <v>6815.9</v>
      </c>
      <c r="H3715" s="10">
        <v>0.53600000000000003</v>
      </c>
      <c r="I3715" s="11">
        <v>7.6</v>
      </c>
    </row>
    <row r="3716" spans="1:9" x14ac:dyDescent="0.35">
      <c r="A3716" s="2" t="s">
        <v>349</v>
      </c>
      <c r="B3716" s="3">
        <v>44743</v>
      </c>
      <c r="C3716" s="2">
        <v>22</v>
      </c>
      <c r="D3716" s="2">
        <v>35476</v>
      </c>
      <c r="E3716" s="17">
        <v>82715.600000000006</v>
      </c>
      <c r="F3716" s="11">
        <v>6.49</v>
      </c>
      <c r="G3716" s="9">
        <v>5623.9</v>
      </c>
      <c r="H3716" s="10">
        <v>0.40899999999999997</v>
      </c>
      <c r="I3716" s="11">
        <v>8.1</v>
      </c>
    </row>
    <row r="3717" spans="1:9" x14ac:dyDescent="0.35">
      <c r="A3717" s="2" t="s">
        <v>349</v>
      </c>
      <c r="B3717" s="3">
        <v>44774</v>
      </c>
      <c r="C3717" s="2">
        <v>19</v>
      </c>
      <c r="D3717" s="2">
        <v>27312</v>
      </c>
      <c r="E3717" s="17">
        <v>58214.38</v>
      </c>
      <c r="F3717" s="11">
        <v>6.37</v>
      </c>
      <c r="G3717" s="9">
        <v>4316.2</v>
      </c>
      <c r="H3717" s="10">
        <v>0.52600000000000002</v>
      </c>
      <c r="I3717" s="11">
        <v>5.8</v>
      </c>
    </row>
    <row r="3718" spans="1:9" x14ac:dyDescent="0.35">
      <c r="A3718" s="2" t="s">
        <v>349</v>
      </c>
      <c r="B3718" s="3">
        <v>44805</v>
      </c>
      <c r="C3718" s="2">
        <v>20</v>
      </c>
      <c r="D3718" s="2">
        <v>28953</v>
      </c>
      <c r="E3718" s="17">
        <v>64633.81</v>
      </c>
      <c r="F3718" s="11">
        <v>6.51</v>
      </c>
      <c r="G3718" s="9">
        <v>4408.2</v>
      </c>
      <c r="H3718" s="10">
        <v>0.35</v>
      </c>
      <c r="I3718" s="11">
        <v>6.9</v>
      </c>
    </row>
    <row r="3719" spans="1:9" x14ac:dyDescent="0.35">
      <c r="A3719" s="2" t="s">
        <v>349</v>
      </c>
      <c r="B3719" s="3">
        <v>44835</v>
      </c>
      <c r="C3719" s="2">
        <v>20</v>
      </c>
      <c r="D3719" s="2">
        <v>19245</v>
      </c>
      <c r="E3719" s="17">
        <v>41268.51</v>
      </c>
      <c r="F3719" s="11">
        <v>6.54</v>
      </c>
      <c r="G3719" s="9">
        <v>2998.8</v>
      </c>
      <c r="H3719" s="10">
        <v>0.2</v>
      </c>
      <c r="I3719" s="11">
        <v>6.8</v>
      </c>
    </row>
    <row r="3720" spans="1:9" x14ac:dyDescent="0.35">
      <c r="A3720" s="2" t="s">
        <v>349</v>
      </c>
      <c r="B3720" s="3">
        <v>44866</v>
      </c>
      <c r="C3720" s="2">
        <v>20</v>
      </c>
      <c r="D3720" s="2">
        <v>29745</v>
      </c>
      <c r="E3720" s="17">
        <v>59719.6</v>
      </c>
      <c r="F3720" s="11">
        <v>6.43</v>
      </c>
      <c r="G3720" s="9">
        <v>4648.6000000000004</v>
      </c>
      <c r="H3720" s="10">
        <v>0.45</v>
      </c>
      <c r="I3720" s="11">
        <v>6.4</v>
      </c>
    </row>
    <row r="3721" spans="1:9" x14ac:dyDescent="0.35">
      <c r="A3721" s="2" t="s">
        <v>349</v>
      </c>
      <c r="B3721" s="3">
        <v>44896</v>
      </c>
      <c r="C3721" s="2">
        <v>20</v>
      </c>
      <c r="D3721" s="2">
        <v>23133</v>
      </c>
      <c r="E3721" s="17">
        <v>49642.17</v>
      </c>
      <c r="F3721" s="11">
        <v>6.42</v>
      </c>
      <c r="G3721" s="9">
        <v>3600.9</v>
      </c>
      <c r="H3721" s="10">
        <v>0.35</v>
      </c>
      <c r="I3721" s="11">
        <v>7.9</v>
      </c>
    </row>
    <row r="3722" spans="1:9" x14ac:dyDescent="0.35">
      <c r="A3722" s="2" t="s">
        <v>349</v>
      </c>
      <c r="B3722" s="3">
        <v>44927</v>
      </c>
      <c r="C3722" s="2">
        <v>13</v>
      </c>
      <c r="D3722" s="2">
        <v>20859</v>
      </c>
      <c r="E3722" s="17">
        <v>42620.480000000003</v>
      </c>
      <c r="F3722" s="11">
        <v>6.26</v>
      </c>
      <c r="G3722" s="9">
        <v>3345.6</v>
      </c>
      <c r="H3722" s="10">
        <v>0.46200000000000002</v>
      </c>
      <c r="I3722" s="11">
        <v>6.2</v>
      </c>
    </row>
    <row r="3723" spans="1:9" x14ac:dyDescent="0.35">
      <c r="A3723" s="2" t="s">
        <v>349</v>
      </c>
      <c r="B3723" s="3">
        <v>44958</v>
      </c>
      <c r="C3723" s="2">
        <v>21</v>
      </c>
      <c r="D3723" s="2">
        <v>33010</v>
      </c>
      <c r="E3723" s="17">
        <v>71762.09</v>
      </c>
      <c r="F3723" s="11">
        <v>6.17</v>
      </c>
      <c r="G3723" s="9">
        <v>5460.2</v>
      </c>
      <c r="H3723" s="10">
        <v>0.42899999999999999</v>
      </c>
      <c r="I3723" s="11">
        <v>8.8000000000000007</v>
      </c>
    </row>
    <row r="3724" spans="1:9" x14ac:dyDescent="0.35">
      <c r="A3724" s="2" t="s">
        <v>349</v>
      </c>
      <c r="B3724" s="3">
        <v>44986</v>
      </c>
      <c r="C3724" s="2">
        <v>23</v>
      </c>
      <c r="D3724" s="2">
        <v>41211</v>
      </c>
      <c r="E3724" s="17">
        <v>83174.080000000002</v>
      </c>
      <c r="F3724" s="11">
        <v>6.55</v>
      </c>
      <c r="G3724" s="9">
        <v>6410</v>
      </c>
      <c r="H3724" s="10">
        <v>0.39100000000000001</v>
      </c>
      <c r="I3724" s="11">
        <v>7</v>
      </c>
    </row>
    <row r="3725" spans="1:9" x14ac:dyDescent="0.35">
      <c r="A3725" s="2" t="s">
        <v>349</v>
      </c>
      <c r="B3725" s="3">
        <v>45017</v>
      </c>
      <c r="C3725" s="2">
        <v>18</v>
      </c>
      <c r="D3725" s="2">
        <v>33241</v>
      </c>
      <c r="E3725" s="17">
        <v>70384.759999999995</v>
      </c>
      <c r="F3725" s="11">
        <v>6.61</v>
      </c>
      <c r="G3725" s="9">
        <v>5116</v>
      </c>
      <c r="H3725" s="10">
        <v>0.55600000000000005</v>
      </c>
      <c r="I3725" s="11">
        <v>7</v>
      </c>
    </row>
    <row r="3726" spans="1:9" x14ac:dyDescent="0.35">
      <c r="A3726" s="2" t="s">
        <v>349</v>
      </c>
      <c r="B3726" s="3">
        <v>45047</v>
      </c>
      <c r="C3726" s="2">
        <v>11</v>
      </c>
      <c r="D3726" s="2">
        <v>12940</v>
      </c>
      <c r="E3726" s="17">
        <v>28890.84</v>
      </c>
      <c r="F3726" s="11">
        <v>6.28</v>
      </c>
      <c r="G3726" s="9">
        <v>2046.5</v>
      </c>
      <c r="H3726" s="10">
        <v>0.27300000000000002</v>
      </c>
      <c r="I3726" s="11">
        <v>6.9</v>
      </c>
    </row>
    <row r="3727" spans="1:9" x14ac:dyDescent="0.35">
      <c r="A3727" s="2" t="s">
        <v>349</v>
      </c>
      <c r="B3727" s="3">
        <v>45078</v>
      </c>
      <c r="C3727" s="2">
        <v>22</v>
      </c>
      <c r="D3727" s="2">
        <v>33323</v>
      </c>
      <c r="E3727" s="17">
        <v>69300.509999999995</v>
      </c>
      <c r="F3727" s="11">
        <v>6.47</v>
      </c>
      <c r="G3727" s="9">
        <v>5214</v>
      </c>
      <c r="H3727" s="10">
        <v>0.27300000000000002</v>
      </c>
      <c r="I3727" s="11">
        <v>7.4</v>
      </c>
    </row>
    <row r="3728" spans="1:9" x14ac:dyDescent="0.35">
      <c r="A3728" s="2" t="s">
        <v>349</v>
      </c>
      <c r="B3728" s="3">
        <v>45108</v>
      </c>
      <c r="C3728" s="2">
        <v>27</v>
      </c>
      <c r="D3728" s="2">
        <v>45622</v>
      </c>
      <c r="E3728" s="17">
        <v>96886.91</v>
      </c>
      <c r="F3728" s="11">
        <v>6.65</v>
      </c>
      <c r="G3728" s="9">
        <v>6915.4</v>
      </c>
      <c r="H3728" s="10">
        <v>0.59299999999999997</v>
      </c>
      <c r="I3728" s="11">
        <v>7.2</v>
      </c>
    </row>
    <row r="3729" spans="1:9" x14ac:dyDescent="0.35">
      <c r="A3729" s="2" t="s">
        <v>349</v>
      </c>
      <c r="B3729" s="3">
        <v>45139</v>
      </c>
      <c r="C3729" s="2">
        <v>23</v>
      </c>
      <c r="D3729" s="2">
        <v>32145</v>
      </c>
      <c r="E3729" s="17">
        <v>68500.08</v>
      </c>
      <c r="F3729" s="11">
        <v>6.65</v>
      </c>
      <c r="G3729" s="9">
        <v>4774.3999999999996</v>
      </c>
      <c r="H3729" s="10">
        <v>0.39100000000000001</v>
      </c>
      <c r="I3729" s="11">
        <v>7</v>
      </c>
    </row>
    <row r="3730" spans="1:9" x14ac:dyDescent="0.35">
      <c r="A3730" s="2" t="s">
        <v>349</v>
      </c>
      <c r="B3730" s="3">
        <v>45170</v>
      </c>
      <c r="C3730" s="2">
        <v>19</v>
      </c>
      <c r="D3730" s="2">
        <v>26947</v>
      </c>
      <c r="E3730" s="17">
        <v>55808.800000000003</v>
      </c>
      <c r="F3730" s="11">
        <v>6.52</v>
      </c>
      <c r="G3730" s="9">
        <v>4074.4</v>
      </c>
      <c r="H3730" s="10">
        <v>0.42099999999999999</v>
      </c>
      <c r="I3730" s="11">
        <v>6.4</v>
      </c>
    </row>
    <row r="3731" spans="1:9" x14ac:dyDescent="0.35">
      <c r="A3731" s="2" t="s">
        <v>349</v>
      </c>
      <c r="B3731" s="3">
        <v>45200</v>
      </c>
      <c r="C3731" s="2">
        <v>12</v>
      </c>
      <c r="D3731" s="2">
        <v>12068</v>
      </c>
      <c r="E3731" s="17">
        <v>22544.04</v>
      </c>
      <c r="F3731" s="11">
        <v>6.54</v>
      </c>
      <c r="G3731" s="9">
        <v>1861.2</v>
      </c>
      <c r="H3731" s="10">
        <v>0.5</v>
      </c>
      <c r="I3731" s="11">
        <v>5.6</v>
      </c>
    </row>
    <row r="3732" spans="1:9" x14ac:dyDescent="0.35">
      <c r="A3732" s="2" t="s">
        <v>349</v>
      </c>
      <c r="B3732" s="3">
        <v>45231</v>
      </c>
      <c r="C3732" s="2">
        <v>19</v>
      </c>
      <c r="D3732" s="2">
        <v>27383</v>
      </c>
      <c r="E3732" s="17">
        <v>66570.25</v>
      </c>
      <c r="F3732" s="11">
        <v>6.68</v>
      </c>
      <c r="G3732" s="9">
        <v>4046.8</v>
      </c>
      <c r="H3732" s="10">
        <v>0.52600000000000002</v>
      </c>
      <c r="I3732" s="11">
        <v>7.6</v>
      </c>
    </row>
    <row r="3733" spans="1:9" x14ac:dyDescent="0.35">
      <c r="A3733" s="2" t="s">
        <v>349</v>
      </c>
      <c r="B3733" s="3">
        <v>45261</v>
      </c>
      <c r="C3733" s="2">
        <v>26</v>
      </c>
      <c r="D3733" s="2">
        <v>38066</v>
      </c>
      <c r="E3733" s="17">
        <v>87183.8</v>
      </c>
      <c r="F3733" s="11">
        <v>6.61</v>
      </c>
      <c r="G3733" s="9">
        <v>5742.2</v>
      </c>
      <c r="H3733" s="10">
        <v>0.5</v>
      </c>
      <c r="I3733" s="11">
        <v>6.8</v>
      </c>
    </row>
    <row r="3734" spans="1:9" x14ac:dyDescent="0.35">
      <c r="A3734" s="2" t="s">
        <v>349</v>
      </c>
      <c r="B3734" s="3">
        <v>45292</v>
      </c>
      <c r="C3734" s="2">
        <v>20</v>
      </c>
      <c r="D3734" s="2">
        <v>25088</v>
      </c>
      <c r="E3734" s="17">
        <v>56444.18</v>
      </c>
      <c r="F3734" s="11">
        <v>6.46</v>
      </c>
      <c r="G3734" s="9">
        <v>3973.9</v>
      </c>
      <c r="H3734" s="10">
        <v>0.6</v>
      </c>
      <c r="I3734" s="11">
        <v>8.3000000000000007</v>
      </c>
    </row>
    <row r="3735" spans="1:9" x14ac:dyDescent="0.35">
      <c r="A3735" s="2" t="s">
        <v>349</v>
      </c>
      <c r="B3735" s="3">
        <v>45323</v>
      </c>
      <c r="C3735" s="2">
        <v>15</v>
      </c>
      <c r="D3735" s="2">
        <v>20971</v>
      </c>
      <c r="E3735" s="17">
        <v>43658.79</v>
      </c>
      <c r="F3735" s="11">
        <v>6.44</v>
      </c>
      <c r="G3735" s="9">
        <v>3343.3</v>
      </c>
      <c r="H3735" s="10">
        <v>0.26700000000000002</v>
      </c>
      <c r="I3735" s="11">
        <v>7</v>
      </c>
    </row>
    <row r="3736" spans="1:9" x14ac:dyDescent="0.35">
      <c r="A3736" s="2" t="s">
        <v>349</v>
      </c>
      <c r="B3736" s="3">
        <v>45352</v>
      </c>
      <c r="C3736" s="2">
        <v>17</v>
      </c>
      <c r="D3736" s="2">
        <v>23809</v>
      </c>
      <c r="E3736" s="17">
        <v>52354.21</v>
      </c>
      <c r="F3736" s="11">
        <v>6.46</v>
      </c>
      <c r="G3736" s="9">
        <v>3629.3</v>
      </c>
      <c r="H3736" s="10">
        <v>0.35299999999999998</v>
      </c>
      <c r="I3736" s="11">
        <v>6.6</v>
      </c>
    </row>
    <row r="3737" spans="1:9" x14ac:dyDescent="0.35">
      <c r="A3737" s="2" t="s">
        <v>349</v>
      </c>
      <c r="B3737" s="3">
        <v>45383</v>
      </c>
      <c r="C3737" s="2">
        <v>13</v>
      </c>
      <c r="D3737" s="2">
        <v>17637</v>
      </c>
      <c r="E3737" s="17">
        <v>36951.279999999999</v>
      </c>
      <c r="F3737" s="11">
        <v>6.42</v>
      </c>
      <c r="G3737" s="9">
        <v>2788.1</v>
      </c>
      <c r="H3737" s="10">
        <v>0.308</v>
      </c>
      <c r="I3737" s="11">
        <v>7</v>
      </c>
    </row>
    <row r="3738" spans="1:9" x14ac:dyDescent="0.35">
      <c r="A3738" s="2" t="s">
        <v>349</v>
      </c>
      <c r="B3738" s="3">
        <v>45413</v>
      </c>
      <c r="C3738" s="2">
        <v>15</v>
      </c>
      <c r="D3738" s="2">
        <v>20983</v>
      </c>
      <c r="E3738" s="17">
        <v>37513.1</v>
      </c>
      <c r="F3738" s="11">
        <v>6.51</v>
      </c>
      <c r="G3738" s="9">
        <v>3312.4</v>
      </c>
      <c r="H3738" s="10">
        <v>0.33300000000000002</v>
      </c>
      <c r="I3738" s="11">
        <v>7.5</v>
      </c>
    </row>
    <row r="3739" spans="1:9" x14ac:dyDescent="0.35">
      <c r="A3739" s="2" t="s">
        <v>349</v>
      </c>
      <c r="B3739" s="3">
        <v>45444</v>
      </c>
      <c r="C3739" s="2">
        <v>21</v>
      </c>
      <c r="D3739" s="2">
        <v>25344</v>
      </c>
      <c r="E3739" s="17">
        <v>51436.35</v>
      </c>
      <c r="F3739" s="11">
        <v>6.37</v>
      </c>
      <c r="G3739" s="9">
        <v>3893.2</v>
      </c>
      <c r="H3739" s="10">
        <v>0.42899999999999999</v>
      </c>
      <c r="I3739" s="11">
        <v>6.4</v>
      </c>
    </row>
    <row r="3740" spans="1:9" x14ac:dyDescent="0.35">
      <c r="A3740" s="2" t="s">
        <v>349</v>
      </c>
      <c r="B3740" s="3">
        <v>45474</v>
      </c>
      <c r="C3740" s="2">
        <v>18</v>
      </c>
      <c r="D3740" s="2">
        <v>26893</v>
      </c>
      <c r="E3740" s="17">
        <v>60355.96</v>
      </c>
      <c r="F3740" s="11">
        <v>6.19</v>
      </c>
      <c r="G3740" s="9">
        <v>4433.6000000000004</v>
      </c>
      <c r="H3740" s="10">
        <v>0.44400000000000001</v>
      </c>
      <c r="I3740" s="11">
        <v>7.5</v>
      </c>
    </row>
    <row r="3741" spans="1:9" x14ac:dyDescent="0.35">
      <c r="A3741" s="2" t="s">
        <v>349</v>
      </c>
      <c r="B3741" s="3">
        <v>45505</v>
      </c>
      <c r="C3741" s="2">
        <v>17</v>
      </c>
      <c r="D3741" s="2">
        <v>25926</v>
      </c>
      <c r="E3741" s="17">
        <v>57449.94</v>
      </c>
      <c r="F3741" s="11">
        <v>6.56</v>
      </c>
      <c r="G3741" s="9">
        <v>3963.7</v>
      </c>
      <c r="H3741" s="10">
        <v>0.35299999999999998</v>
      </c>
      <c r="I3741" s="11">
        <v>8.3000000000000007</v>
      </c>
    </row>
    <row r="3742" spans="1:9" x14ac:dyDescent="0.35">
      <c r="A3742" s="2" t="s">
        <v>349</v>
      </c>
      <c r="B3742" s="3">
        <v>45536</v>
      </c>
      <c r="C3742" s="2">
        <v>20</v>
      </c>
      <c r="D3742" s="2">
        <v>25603</v>
      </c>
      <c r="E3742" s="17">
        <v>55729</v>
      </c>
      <c r="F3742" s="11">
        <v>6.73</v>
      </c>
      <c r="G3742" s="9">
        <v>3767.2</v>
      </c>
      <c r="H3742" s="10">
        <v>0.45</v>
      </c>
      <c r="I3742" s="11">
        <v>7.9</v>
      </c>
    </row>
    <row r="3743" spans="1:9" x14ac:dyDescent="0.35">
      <c r="A3743" s="2" t="s">
        <v>349</v>
      </c>
      <c r="B3743" s="3">
        <v>45566</v>
      </c>
      <c r="C3743" s="2">
        <v>18</v>
      </c>
      <c r="D3743" s="2">
        <v>30463</v>
      </c>
      <c r="E3743" s="17">
        <v>71129.100000000006</v>
      </c>
      <c r="F3743" s="11">
        <v>6.52</v>
      </c>
      <c r="G3743" s="9">
        <v>4714.3999999999996</v>
      </c>
      <c r="H3743" s="10">
        <v>0.55600000000000005</v>
      </c>
      <c r="I3743" s="11">
        <v>6.6</v>
      </c>
    </row>
    <row r="3744" spans="1:9" x14ac:dyDescent="0.35">
      <c r="A3744" s="2" t="s">
        <v>349</v>
      </c>
      <c r="B3744" s="3">
        <v>45597</v>
      </c>
      <c r="C3744" s="2">
        <v>23</v>
      </c>
      <c r="D3744" s="2">
        <v>27002</v>
      </c>
      <c r="E3744" s="17">
        <v>53253.47</v>
      </c>
      <c r="F3744" s="11">
        <v>6.42</v>
      </c>
      <c r="G3744" s="9">
        <v>4307.7</v>
      </c>
      <c r="H3744" s="10">
        <v>0.435</v>
      </c>
      <c r="I3744" s="11">
        <v>6.6</v>
      </c>
    </row>
    <row r="3745" spans="1:9" x14ac:dyDescent="0.35">
      <c r="A3745" s="2" t="s">
        <v>349</v>
      </c>
      <c r="B3745" s="3">
        <v>45627</v>
      </c>
      <c r="C3745" s="2">
        <v>13</v>
      </c>
      <c r="D3745" s="2">
        <v>14494</v>
      </c>
      <c r="E3745" s="17">
        <v>29093.87</v>
      </c>
      <c r="F3745" s="11">
        <v>6.35</v>
      </c>
      <c r="G3745" s="9">
        <v>2255</v>
      </c>
      <c r="H3745" s="10">
        <v>0.46200000000000002</v>
      </c>
      <c r="I3745" s="11">
        <v>7.2</v>
      </c>
    </row>
    <row r="3746" spans="1:9" x14ac:dyDescent="0.35">
      <c r="A3746" s="2" t="s">
        <v>351</v>
      </c>
      <c r="B3746" s="3">
        <v>44562</v>
      </c>
      <c r="C3746" s="2">
        <v>25</v>
      </c>
      <c r="D3746" s="2">
        <v>33893</v>
      </c>
      <c r="E3746" s="17">
        <v>61718.55</v>
      </c>
      <c r="F3746" s="11">
        <v>6.43</v>
      </c>
      <c r="G3746" s="9">
        <v>5295.7</v>
      </c>
      <c r="H3746" s="10">
        <v>0.52</v>
      </c>
      <c r="I3746" s="11">
        <v>6.8</v>
      </c>
    </row>
    <row r="3747" spans="1:9" x14ac:dyDescent="0.35">
      <c r="A3747" s="2" t="s">
        <v>351</v>
      </c>
      <c r="B3747" s="3">
        <v>44593</v>
      </c>
      <c r="C3747" s="2">
        <v>17</v>
      </c>
      <c r="D3747" s="2">
        <v>28252</v>
      </c>
      <c r="E3747" s="17">
        <v>57903.85</v>
      </c>
      <c r="F3747" s="11">
        <v>6.42</v>
      </c>
      <c r="G3747" s="9">
        <v>4408.2</v>
      </c>
      <c r="H3747" s="10">
        <v>0.64700000000000002</v>
      </c>
      <c r="I3747" s="11">
        <v>6.7</v>
      </c>
    </row>
    <row r="3748" spans="1:9" x14ac:dyDescent="0.35">
      <c r="A3748" s="2" t="s">
        <v>351</v>
      </c>
      <c r="B3748" s="3">
        <v>44621</v>
      </c>
      <c r="C3748" s="2">
        <v>12</v>
      </c>
      <c r="D3748" s="2">
        <v>18266</v>
      </c>
      <c r="E3748" s="17">
        <v>44360.74</v>
      </c>
      <c r="F3748" s="11">
        <v>6.2</v>
      </c>
      <c r="G3748" s="9">
        <v>2984.8</v>
      </c>
      <c r="H3748" s="10">
        <v>0.33300000000000002</v>
      </c>
      <c r="I3748" s="11">
        <v>6.8</v>
      </c>
    </row>
    <row r="3749" spans="1:9" x14ac:dyDescent="0.35">
      <c r="A3749" s="2" t="s">
        <v>351</v>
      </c>
      <c r="B3749" s="3">
        <v>44652</v>
      </c>
      <c r="C3749" s="2">
        <v>17</v>
      </c>
      <c r="D3749" s="2">
        <v>23401</v>
      </c>
      <c r="E3749" s="17">
        <v>52896.51</v>
      </c>
      <c r="F3749" s="11">
        <v>6.25</v>
      </c>
      <c r="G3749" s="9">
        <v>3773.3</v>
      </c>
      <c r="H3749" s="10">
        <v>0.47099999999999997</v>
      </c>
      <c r="I3749" s="11">
        <v>7.5</v>
      </c>
    </row>
    <row r="3750" spans="1:9" x14ac:dyDescent="0.35">
      <c r="A3750" s="2" t="s">
        <v>351</v>
      </c>
      <c r="B3750" s="3">
        <v>44682</v>
      </c>
      <c r="C3750" s="2">
        <v>25</v>
      </c>
      <c r="D3750" s="2">
        <v>37926</v>
      </c>
      <c r="E3750" s="17">
        <v>79637.59</v>
      </c>
      <c r="F3750" s="11">
        <v>6.48</v>
      </c>
      <c r="G3750" s="9">
        <v>5865.1</v>
      </c>
      <c r="H3750" s="10">
        <v>0.48</v>
      </c>
      <c r="I3750" s="11">
        <v>7.4</v>
      </c>
    </row>
    <row r="3751" spans="1:9" x14ac:dyDescent="0.35">
      <c r="A3751" s="2" t="s">
        <v>351</v>
      </c>
      <c r="B3751" s="3">
        <v>44713</v>
      </c>
      <c r="C3751" s="2">
        <v>14</v>
      </c>
      <c r="D3751" s="2">
        <v>18039</v>
      </c>
      <c r="E3751" s="17">
        <v>35136.17</v>
      </c>
      <c r="F3751" s="11">
        <v>6.41</v>
      </c>
      <c r="G3751" s="9">
        <v>2822.3</v>
      </c>
      <c r="H3751" s="10">
        <v>0.57099999999999995</v>
      </c>
      <c r="I3751" s="11">
        <v>7.9</v>
      </c>
    </row>
    <row r="3752" spans="1:9" x14ac:dyDescent="0.35">
      <c r="A3752" s="2" t="s">
        <v>351</v>
      </c>
      <c r="B3752" s="3">
        <v>44743</v>
      </c>
      <c r="C3752" s="2">
        <v>26</v>
      </c>
      <c r="D3752" s="2">
        <v>29142</v>
      </c>
      <c r="E3752" s="17">
        <v>62528.08</v>
      </c>
      <c r="F3752" s="11">
        <v>6.52</v>
      </c>
      <c r="G3752" s="9">
        <v>4529.6000000000004</v>
      </c>
      <c r="H3752" s="10">
        <v>0.46200000000000002</v>
      </c>
      <c r="I3752" s="11">
        <v>5.7</v>
      </c>
    </row>
    <row r="3753" spans="1:9" x14ac:dyDescent="0.35">
      <c r="A3753" s="2" t="s">
        <v>351</v>
      </c>
      <c r="B3753" s="3">
        <v>44774</v>
      </c>
      <c r="C3753" s="2">
        <v>19</v>
      </c>
      <c r="D3753" s="2">
        <v>30033</v>
      </c>
      <c r="E3753" s="17">
        <v>68453.84</v>
      </c>
      <c r="F3753" s="11">
        <v>6.58</v>
      </c>
      <c r="G3753" s="9">
        <v>4548.8999999999996</v>
      </c>
      <c r="H3753" s="10">
        <v>0.42099999999999999</v>
      </c>
      <c r="I3753" s="11">
        <v>7.7</v>
      </c>
    </row>
    <row r="3754" spans="1:9" x14ac:dyDescent="0.35">
      <c r="A3754" s="2" t="s">
        <v>351</v>
      </c>
      <c r="B3754" s="3">
        <v>44805</v>
      </c>
      <c r="C3754" s="2">
        <v>12</v>
      </c>
      <c r="D3754" s="2">
        <v>17166</v>
      </c>
      <c r="E3754" s="17">
        <v>40347.879999999997</v>
      </c>
      <c r="F3754" s="11">
        <v>6.22</v>
      </c>
      <c r="G3754" s="9">
        <v>2724.1</v>
      </c>
      <c r="H3754" s="10">
        <v>0.66700000000000004</v>
      </c>
      <c r="I3754" s="11">
        <v>7.8</v>
      </c>
    </row>
    <row r="3755" spans="1:9" x14ac:dyDescent="0.35">
      <c r="A3755" s="2" t="s">
        <v>351</v>
      </c>
      <c r="B3755" s="3">
        <v>44835</v>
      </c>
      <c r="C3755" s="2">
        <v>19</v>
      </c>
      <c r="D3755" s="2">
        <v>26004</v>
      </c>
      <c r="E3755" s="17">
        <v>57849.66</v>
      </c>
      <c r="F3755" s="11">
        <v>6.54</v>
      </c>
      <c r="G3755" s="9">
        <v>4075.4</v>
      </c>
      <c r="H3755" s="10">
        <v>0.57899999999999996</v>
      </c>
      <c r="I3755" s="11">
        <v>8</v>
      </c>
    </row>
    <row r="3756" spans="1:9" x14ac:dyDescent="0.35">
      <c r="A3756" s="2" t="s">
        <v>351</v>
      </c>
      <c r="B3756" s="3">
        <v>44866</v>
      </c>
      <c r="C3756" s="2">
        <v>15</v>
      </c>
      <c r="D3756" s="2">
        <v>28554</v>
      </c>
      <c r="E3756" s="17">
        <v>62732.2</v>
      </c>
      <c r="F3756" s="11">
        <v>6.17</v>
      </c>
      <c r="G3756" s="9">
        <v>4668</v>
      </c>
      <c r="H3756" s="10">
        <v>0.4</v>
      </c>
      <c r="I3756" s="11">
        <v>6.8</v>
      </c>
    </row>
    <row r="3757" spans="1:9" x14ac:dyDescent="0.35">
      <c r="A3757" s="2" t="s">
        <v>351</v>
      </c>
      <c r="B3757" s="3">
        <v>44896</v>
      </c>
      <c r="C3757" s="2">
        <v>20</v>
      </c>
      <c r="D3757" s="2">
        <v>30395</v>
      </c>
      <c r="E3757" s="17">
        <v>65619.240000000005</v>
      </c>
      <c r="F3757" s="11">
        <v>6.3</v>
      </c>
      <c r="G3757" s="9">
        <v>4921.5</v>
      </c>
      <c r="H3757" s="10">
        <v>0.5</v>
      </c>
      <c r="I3757" s="11">
        <v>6.4</v>
      </c>
    </row>
    <row r="3758" spans="1:9" x14ac:dyDescent="0.35">
      <c r="A3758" s="2" t="s">
        <v>351</v>
      </c>
      <c r="B3758" s="3">
        <v>44927</v>
      </c>
      <c r="C3758" s="2">
        <v>11</v>
      </c>
      <c r="D3758" s="2">
        <v>14108</v>
      </c>
      <c r="E3758" s="17">
        <v>29631.599999999999</v>
      </c>
      <c r="F3758" s="11">
        <v>6.44</v>
      </c>
      <c r="G3758" s="9">
        <v>2199.3000000000002</v>
      </c>
      <c r="H3758" s="10">
        <v>0.45500000000000002</v>
      </c>
      <c r="I3758" s="11">
        <v>6.4</v>
      </c>
    </row>
    <row r="3759" spans="1:9" x14ac:dyDescent="0.35">
      <c r="A3759" s="2" t="s">
        <v>351</v>
      </c>
      <c r="B3759" s="3">
        <v>44958</v>
      </c>
      <c r="C3759" s="2">
        <v>16</v>
      </c>
      <c r="D3759" s="2">
        <v>20925</v>
      </c>
      <c r="E3759" s="17">
        <v>46146.95</v>
      </c>
      <c r="F3759" s="11">
        <v>6.21</v>
      </c>
      <c r="G3759" s="9">
        <v>3417.2</v>
      </c>
      <c r="H3759" s="10">
        <v>0.312</v>
      </c>
      <c r="I3759" s="11">
        <v>7.3</v>
      </c>
    </row>
    <row r="3760" spans="1:9" x14ac:dyDescent="0.35">
      <c r="A3760" s="2" t="s">
        <v>351</v>
      </c>
      <c r="B3760" s="3">
        <v>44986</v>
      </c>
      <c r="C3760" s="2">
        <v>19</v>
      </c>
      <c r="D3760" s="2">
        <v>24292</v>
      </c>
      <c r="E3760" s="17">
        <v>48689.04</v>
      </c>
      <c r="F3760" s="11">
        <v>6.37</v>
      </c>
      <c r="G3760" s="9">
        <v>3770.6</v>
      </c>
      <c r="H3760" s="10">
        <v>0.316</v>
      </c>
      <c r="I3760" s="11">
        <v>7.4</v>
      </c>
    </row>
    <row r="3761" spans="1:9" x14ac:dyDescent="0.35">
      <c r="A3761" s="2" t="s">
        <v>351</v>
      </c>
      <c r="B3761" s="3">
        <v>45017</v>
      </c>
      <c r="C3761" s="2">
        <v>18</v>
      </c>
      <c r="D3761" s="2">
        <v>29034</v>
      </c>
      <c r="E3761" s="17">
        <v>65401.61</v>
      </c>
      <c r="F3761" s="11">
        <v>6.47</v>
      </c>
      <c r="G3761" s="9">
        <v>4545.7</v>
      </c>
      <c r="H3761" s="10">
        <v>0.33300000000000002</v>
      </c>
      <c r="I3761" s="11">
        <v>6.9</v>
      </c>
    </row>
    <row r="3762" spans="1:9" x14ac:dyDescent="0.35">
      <c r="A3762" s="2" t="s">
        <v>351</v>
      </c>
      <c r="B3762" s="3">
        <v>45047</v>
      </c>
      <c r="C3762" s="2">
        <v>12</v>
      </c>
      <c r="D3762" s="2">
        <v>15716</v>
      </c>
      <c r="E3762" s="17">
        <v>32503.32</v>
      </c>
      <c r="F3762" s="11">
        <v>6.59</v>
      </c>
      <c r="G3762" s="9">
        <v>2396.5</v>
      </c>
      <c r="H3762" s="10">
        <v>0.58299999999999996</v>
      </c>
      <c r="I3762" s="11">
        <v>6.4</v>
      </c>
    </row>
    <row r="3763" spans="1:9" x14ac:dyDescent="0.35">
      <c r="A3763" s="2" t="s">
        <v>351</v>
      </c>
      <c r="B3763" s="3">
        <v>45078</v>
      </c>
      <c r="C3763" s="2">
        <v>17</v>
      </c>
      <c r="D3763" s="2">
        <v>21884</v>
      </c>
      <c r="E3763" s="17">
        <v>48216.3</v>
      </c>
      <c r="F3763" s="11">
        <v>6.3</v>
      </c>
      <c r="G3763" s="9">
        <v>3555.2</v>
      </c>
      <c r="H3763" s="10">
        <v>0.47099999999999997</v>
      </c>
      <c r="I3763" s="11">
        <v>6.9</v>
      </c>
    </row>
    <row r="3764" spans="1:9" x14ac:dyDescent="0.35">
      <c r="A3764" s="2" t="s">
        <v>351</v>
      </c>
      <c r="B3764" s="3">
        <v>45108</v>
      </c>
      <c r="C3764" s="2">
        <v>15</v>
      </c>
      <c r="D3764" s="2">
        <v>23964</v>
      </c>
      <c r="E3764" s="17">
        <v>55124.2</v>
      </c>
      <c r="F3764" s="11">
        <v>6.69</v>
      </c>
      <c r="G3764" s="9">
        <v>3573.5</v>
      </c>
      <c r="H3764" s="10">
        <v>0.33300000000000002</v>
      </c>
      <c r="I3764" s="11">
        <v>7.1</v>
      </c>
    </row>
    <row r="3765" spans="1:9" x14ac:dyDescent="0.35">
      <c r="A3765" s="2" t="s">
        <v>351</v>
      </c>
      <c r="B3765" s="3">
        <v>45139</v>
      </c>
      <c r="C3765" s="2">
        <v>16</v>
      </c>
      <c r="D3765" s="2">
        <v>20721</v>
      </c>
      <c r="E3765" s="17">
        <v>37583.86</v>
      </c>
      <c r="F3765" s="11">
        <v>6.41</v>
      </c>
      <c r="G3765" s="9">
        <v>3187.7</v>
      </c>
      <c r="H3765" s="10">
        <v>0.5</v>
      </c>
      <c r="I3765" s="11">
        <v>6.4</v>
      </c>
    </row>
    <row r="3766" spans="1:9" x14ac:dyDescent="0.35">
      <c r="A3766" s="2" t="s">
        <v>351</v>
      </c>
      <c r="B3766" s="3">
        <v>45170</v>
      </c>
      <c r="C3766" s="2">
        <v>15</v>
      </c>
      <c r="D3766" s="2">
        <v>18780</v>
      </c>
      <c r="E3766" s="17">
        <v>37922.620000000003</v>
      </c>
      <c r="F3766" s="11">
        <v>6.13</v>
      </c>
      <c r="G3766" s="9">
        <v>3083.4</v>
      </c>
      <c r="H3766" s="10">
        <v>0.46700000000000003</v>
      </c>
      <c r="I3766" s="11">
        <v>7</v>
      </c>
    </row>
    <row r="3767" spans="1:9" x14ac:dyDescent="0.35">
      <c r="A3767" s="2" t="s">
        <v>351</v>
      </c>
      <c r="B3767" s="3">
        <v>45200</v>
      </c>
      <c r="C3767" s="2">
        <v>28</v>
      </c>
      <c r="D3767" s="2">
        <v>34572</v>
      </c>
      <c r="E3767" s="17">
        <v>72185.66</v>
      </c>
      <c r="F3767" s="11">
        <v>6.62</v>
      </c>
      <c r="G3767" s="9">
        <v>5266.6</v>
      </c>
      <c r="H3767" s="10">
        <v>0.5</v>
      </c>
      <c r="I3767" s="11">
        <v>6.9</v>
      </c>
    </row>
    <row r="3768" spans="1:9" x14ac:dyDescent="0.35">
      <c r="A3768" s="2" t="s">
        <v>351</v>
      </c>
      <c r="B3768" s="3">
        <v>45231</v>
      </c>
      <c r="C3768" s="2">
        <v>15</v>
      </c>
      <c r="D3768" s="2">
        <v>16365</v>
      </c>
      <c r="E3768" s="17">
        <v>35727.06</v>
      </c>
      <c r="F3768" s="11">
        <v>6.52</v>
      </c>
      <c r="G3768" s="9">
        <v>2577.6</v>
      </c>
      <c r="H3768" s="10">
        <v>0.53300000000000003</v>
      </c>
      <c r="I3768" s="11">
        <v>6</v>
      </c>
    </row>
    <row r="3769" spans="1:9" x14ac:dyDescent="0.35">
      <c r="A3769" s="2" t="s">
        <v>351</v>
      </c>
      <c r="B3769" s="3">
        <v>45261</v>
      </c>
      <c r="C3769" s="2">
        <v>20</v>
      </c>
      <c r="D3769" s="2">
        <v>22645</v>
      </c>
      <c r="E3769" s="17">
        <v>50259.69</v>
      </c>
      <c r="F3769" s="11">
        <v>6.46</v>
      </c>
      <c r="G3769" s="9">
        <v>3493.3</v>
      </c>
      <c r="H3769" s="10">
        <v>0.35</v>
      </c>
      <c r="I3769" s="11">
        <v>6.5</v>
      </c>
    </row>
    <row r="3770" spans="1:9" x14ac:dyDescent="0.35">
      <c r="A3770" s="2" t="s">
        <v>351</v>
      </c>
      <c r="B3770" s="3">
        <v>45292</v>
      </c>
      <c r="C3770" s="2">
        <v>21</v>
      </c>
      <c r="D3770" s="2">
        <v>25778</v>
      </c>
      <c r="E3770" s="17">
        <v>53430.93</v>
      </c>
      <c r="F3770" s="11">
        <v>6.61</v>
      </c>
      <c r="G3770" s="9">
        <v>3910.9</v>
      </c>
      <c r="H3770" s="10">
        <v>0.28599999999999998</v>
      </c>
      <c r="I3770" s="11">
        <v>5.8</v>
      </c>
    </row>
    <row r="3771" spans="1:9" x14ac:dyDescent="0.35">
      <c r="A3771" s="2" t="s">
        <v>351</v>
      </c>
      <c r="B3771" s="3">
        <v>45323</v>
      </c>
      <c r="C3771" s="2">
        <v>18</v>
      </c>
      <c r="D3771" s="2">
        <v>28871</v>
      </c>
      <c r="E3771" s="17">
        <v>66364.2</v>
      </c>
      <c r="F3771" s="11">
        <v>6.37</v>
      </c>
      <c r="G3771" s="9">
        <v>4571.6000000000004</v>
      </c>
      <c r="H3771" s="10">
        <v>0.55600000000000005</v>
      </c>
      <c r="I3771" s="11">
        <v>7.3</v>
      </c>
    </row>
    <row r="3772" spans="1:9" x14ac:dyDescent="0.35">
      <c r="A3772" s="2" t="s">
        <v>351</v>
      </c>
      <c r="B3772" s="3">
        <v>45352</v>
      </c>
      <c r="C3772" s="2">
        <v>22</v>
      </c>
      <c r="D3772" s="2">
        <v>33090</v>
      </c>
      <c r="E3772" s="17">
        <v>70074.5</v>
      </c>
      <c r="F3772" s="11">
        <v>6.5</v>
      </c>
      <c r="G3772" s="9">
        <v>5107.2</v>
      </c>
      <c r="H3772" s="10">
        <v>0.59099999999999997</v>
      </c>
      <c r="I3772" s="11">
        <v>6.3</v>
      </c>
    </row>
    <row r="3773" spans="1:9" x14ac:dyDescent="0.35">
      <c r="A3773" s="2" t="s">
        <v>351</v>
      </c>
      <c r="B3773" s="3">
        <v>45383</v>
      </c>
      <c r="C3773" s="2">
        <v>15</v>
      </c>
      <c r="D3773" s="2">
        <v>24792</v>
      </c>
      <c r="E3773" s="17">
        <v>49892.59</v>
      </c>
      <c r="F3773" s="11">
        <v>6.65</v>
      </c>
      <c r="G3773" s="9">
        <v>3703.3</v>
      </c>
      <c r="H3773" s="10">
        <v>0.46700000000000003</v>
      </c>
      <c r="I3773" s="11">
        <v>7.8</v>
      </c>
    </row>
    <row r="3774" spans="1:9" x14ac:dyDescent="0.35">
      <c r="A3774" s="2" t="s">
        <v>351</v>
      </c>
      <c r="B3774" s="3">
        <v>45413</v>
      </c>
      <c r="C3774" s="2">
        <v>28</v>
      </c>
      <c r="D3774" s="2">
        <v>41294</v>
      </c>
      <c r="E3774" s="17">
        <v>90685.35</v>
      </c>
      <c r="F3774" s="11">
        <v>6.62</v>
      </c>
      <c r="G3774" s="9">
        <v>6200.6</v>
      </c>
      <c r="H3774" s="10">
        <v>0.71399999999999997</v>
      </c>
      <c r="I3774" s="11">
        <v>7.7</v>
      </c>
    </row>
    <row r="3775" spans="1:9" x14ac:dyDescent="0.35">
      <c r="A3775" s="2" t="s">
        <v>351</v>
      </c>
      <c r="B3775" s="3">
        <v>45444</v>
      </c>
      <c r="C3775" s="2">
        <v>17</v>
      </c>
      <c r="D3775" s="2">
        <v>27140</v>
      </c>
      <c r="E3775" s="17">
        <v>53504.79</v>
      </c>
      <c r="F3775" s="11">
        <v>6.51</v>
      </c>
      <c r="G3775" s="9">
        <v>4224.5</v>
      </c>
      <c r="H3775" s="10">
        <v>0.47099999999999997</v>
      </c>
      <c r="I3775" s="11">
        <v>7.1</v>
      </c>
    </row>
    <row r="3776" spans="1:9" x14ac:dyDescent="0.35">
      <c r="A3776" s="2" t="s">
        <v>351</v>
      </c>
      <c r="B3776" s="3">
        <v>45474</v>
      </c>
      <c r="C3776" s="2">
        <v>30</v>
      </c>
      <c r="D3776" s="2">
        <v>52361</v>
      </c>
      <c r="E3776" s="17">
        <v>117786.2</v>
      </c>
      <c r="F3776" s="11">
        <v>6.51</v>
      </c>
      <c r="G3776" s="9">
        <v>8050.4</v>
      </c>
      <c r="H3776" s="10">
        <v>0.433</v>
      </c>
      <c r="I3776" s="11">
        <v>7.6</v>
      </c>
    </row>
    <row r="3777" spans="1:9" x14ac:dyDescent="0.35">
      <c r="A3777" s="2" t="s">
        <v>351</v>
      </c>
      <c r="B3777" s="3">
        <v>45505</v>
      </c>
      <c r="C3777" s="2">
        <v>16</v>
      </c>
      <c r="D3777" s="2">
        <v>21779</v>
      </c>
      <c r="E3777" s="17">
        <v>43920.31</v>
      </c>
      <c r="F3777" s="11">
        <v>6.66</v>
      </c>
      <c r="G3777" s="9">
        <v>3274.2</v>
      </c>
      <c r="H3777" s="10">
        <v>0.312</v>
      </c>
      <c r="I3777" s="11">
        <v>8</v>
      </c>
    </row>
    <row r="3778" spans="1:9" x14ac:dyDescent="0.35">
      <c r="A3778" s="2" t="s">
        <v>351</v>
      </c>
      <c r="B3778" s="3">
        <v>45536</v>
      </c>
      <c r="C3778" s="2">
        <v>17</v>
      </c>
      <c r="D3778" s="2">
        <v>25938</v>
      </c>
      <c r="E3778" s="17">
        <v>55974.46</v>
      </c>
      <c r="F3778" s="11">
        <v>6.61</v>
      </c>
      <c r="G3778" s="9">
        <v>3934.6</v>
      </c>
      <c r="H3778" s="10">
        <v>0.35299999999999998</v>
      </c>
      <c r="I3778" s="11">
        <v>6.7</v>
      </c>
    </row>
    <row r="3779" spans="1:9" x14ac:dyDescent="0.35">
      <c r="A3779" s="2" t="s">
        <v>351</v>
      </c>
      <c r="B3779" s="3">
        <v>45566</v>
      </c>
      <c r="C3779" s="2">
        <v>25</v>
      </c>
      <c r="D3779" s="2">
        <v>28430</v>
      </c>
      <c r="E3779" s="17">
        <v>66322.03</v>
      </c>
      <c r="F3779" s="11">
        <v>6.54</v>
      </c>
      <c r="G3779" s="9">
        <v>4351.8999999999996</v>
      </c>
      <c r="H3779" s="10">
        <v>0.48</v>
      </c>
      <c r="I3779" s="11">
        <v>6.2</v>
      </c>
    </row>
    <row r="3780" spans="1:9" x14ac:dyDescent="0.35">
      <c r="A3780" s="2" t="s">
        <v>351</v>
      </c>
      <c r="B3780" s="3">
        <v>45597</v>
      </c>
      <c r="C3780" s="2">
        <v>22</v>
      </c>
      <c r="D3780" s="2">
        <v>27747</v>
      </c>
      <c r="E3780" s="17">
        <v>58586.67</v>
      </c>
      <c r="F3780" s="11">
        <v>6.7</v>
      </c>
      <c r="G3780" s="9">
        <v>4098.5</v>
      </c>
      <c r="H3780" s="10">
        <v>0.40899999999999997</v>
      </c>
      <c r="I3780" s="11">
        <v>6.4</v>
      </c>
    </row>
    <row r="3781" spans="1:9" x14ac:dyDescent="0.35">
      <c r="A3781" s="2" t="s">
        <v>351</v>
      </c>
      <c r="B3781" s="3">
        <v>45627</v>
      </c>
      <c r="C3781" s="2">
        <v>17</v>
      </c>
      <c r="D3781" s="2">
        <v>29870</v>
      </c>
      <c r="E3781" s="17">
        <v>65762.16</v>
      </c>
      <c r="F3781" s="11">
        <v>6.34</v>
      </c>
      <c r="G3781" s="9">
        <v>4767.8999999999996</v>
      </c>
      <c r="H3781" s="10">
        <v>0.41199999999999998</v>
      </c>
      <c r="I3781" s="11">
        <v>6.8</v>
      </c>
    </row>
    <row r="3782" spans="1:9" x14ac:dyDescent="0.35">
      <c r="A3782" s="2" t="s">
        <v>353</v>
      </c>
      <c r="B3782" s="3">
        <v>44562</v>
      </c>
      <c r="C3782" s="2">
        <v>24</v>
      </c>
      <c r="D3782" s="2">
        <v>39026</v>
      </c>
      <c r="E3782" s="17">
        <v>90437.41</v>
      </c>
      <c r="F3782" s="11">
        <v>6.44</v>
      </c>
      <c r="G3782" s="9">
        <v>6106.4</v>
      </c>
      <c r="H3782" s="10">
        <v>0.125</v>
      </c>
      <c r="I3782" s="11">
        <v>7.5</v>
      </c>
    </row>
    <row r="3783" spans="1:9" x14ac:dyDescent="0.35">
      <c r="A3783" s="2" t="s">
        <v>353</v>
      </c>
      <c r="B3783" s="3">
        <v>44593</v>
      </c>
      <c r="C3783" s="2">
        <v>16</v>
      </c>
      <c r="D3783" s="2">
        <v>26082</v>
      </c>
      <c r="E3783" s="17">
        <v>55338.99</v>
      </c>
      <c r="F3783" s="11">
        <v>6.71</v>
      </c>
      <c r="G3783" s="9">
        <v>3907</v>
      </c>
      <c r="H3783" s="10">
        <v>0.438</v>
      </c>
      <c r="I3783" s="11">
        <v>7.7</v>
      </c>
    </row>
    <row r="3784" spans="1:9" x14ac:dyDescent="0.35">
      <c r="A3784" s="2" t="s">
        <v>353</v>
      </c>
      <c r="B3784" s="3">
        <v>44621</v>
      </c>
      <c r="C3784" s="2">
        <v>19</v>
      </c>
      <c r="D3784" s="2">
        <v>33247</v>
      </c>
      <c r="E3784" s="17">
        <v>73624.59</v>
      </c>
      <c r="F3784" s="11">
        <v>6.38</v>
      </c>
      <c r="G3784" s="9">
        <v>5289.2</v>
      </c>
      <c r="H3784" s="10">
        <v>0.36799999999999999</v>
      </c>
      <c r="I3784" s="11">
        <v>6.8</v>
      </c>
    </row>
    <row r="3785" spans="1:9" x14ac:dyDescent="0.35">
      <c r="A3785" s="2" t="s">
        <v>353</v>
      </c>
      <c r="B3785" s="3">
        <v>44652</v>
      </c>
      <c r="C3785" s="2">
        <v>17</v>
      </c>
      <c r="D3785" s="2">
        <v>20212</v>
      </c>
      <c r="E3785" s="17">
        <v>42640.84</v>
      </c>
      <c r="F3785" s="11">
        <v>6.44</v>
      </c>
      <c r="G3785" s="9">
        <v>3248</v>
      </c>
      <c r="H3785" s="10">
        <v>0.52900000000000003</v>
      </c>
      <c r="I3785" s="11">
        <v>5.9</v>
      </c>
    </row>
    <row r="3786" spans="1:9" x14ac:dyDescent="0.35">
      <c r="A3786" s="2" t="s">
        <v>353</v>
      </c>
      <c r="B3786" s="3">
        <v>44682</v>
      </c>
      <c r="C3786" s="2">
        <v>17</v>
      </c>
      <c r="D3786" s="2">
        <v>20168</v>
      </c>
      <c r="E3786" s="17">
        <v>45447.62</v>
      </c>
      <c r="F3786" s="11">
        <v>6.62</v>
      </c>
      <c r="G3786" s="9">
        <v>3081</v>
      </c>
      <c r="H3786" s="10">
        <v>0.41199999999999998</v>
      </c>
      <c r="I3786" s="11">
        <v>7.9</v>
      </c>
    </row>
    <row r="3787" spans="1:9" x14ac:dyDescent="0.35">
      <c r="A3787" s="2" t="s">
        <v>353</v>
      </c>
      <c r="B3787" s="3">
        <v>44713</v>
      </c>
      <c r="C3787" s="2">
        <v>13</v>
      </c>
      <c r="D3787" s="2">
        <v>17615</v>
      </c>
      <c r="E3787" s="17">
        <v>43036.62</v>
      </c>
      <c r="F3787" s="11">
        <v>6.73</v>
      </c>
      <c r="G3787" s="9">
        <v>2633.2</v>
      </c>
      <c r="H3787" s="10">
        <v>0.308</v>
      </c>
      <c r="I3787" s="11">
        <v>7.4</v>
      </c>
    </row>
    <row r="3788" spans="1:9" x14ac:dyDescent="0.35">
      <c r="A3788" s="2" t="s">
        <v>353</v>
      </c>
      <c r="B3788" s="3">
        <v>44743</v>
      </c>
      <c r="C3788" s="2">
        <v>27</v>
      </c>
      <c r="D3788" s="2">
        <v>38957</v>
      </c>
      <c r="E3788" s="17">
        <v>77766.990000000005</v>
      </c>
      <c r="F3788" s="11">
        <v>6.48</v>
      </c>
      <c r="G3788" s="9">
        <v>6080.6</v>
      </c>
      <c r="H3788" s="10">
        <v>0.37</v>
      </c>
      <c r="I3788" s="11">
        <v>6.4</v>
      </c>
    </row>
    <row r="3789" spans="1:9" x14ac:dyDescent="0.35">
      <c r="A3789" s="2" t="s">
        <v>353</v>
      </c>
      <c r="B3789" s="3">
        <v>44774</v>
      </c>
      <c r="C3789" s="2">
        <v>16</v>
      </c>
      <c r="D3789" s="2">
        <v>25377</v>
      </c>
      <c r="E3789" s="17">
        <v>55035.98</v>
      </c>
      <c r="F3789" s="11">
        <v>6.55</v>
      </c>
      <c r="G3789" s="9">
        <v>3960.2</v>
      </c>
      <c r="H3789" s="10">
        <v>0.312</v>
      </c>
      <c r="I3789" s="11">
        <v>7.6</v>
      </c>
    </row>
    <row r="3790" spans="1:9" x14ac:dyDescent="0.35">
      <c r="A3790" s="2" t="s">
        <v>353</v>
      </c>
      <c r="B3790" s="3">
        <v>44805</v>
      </c>
      <c r="C3790" s="2">
        <v>24</v>
      </c>
      <c r="D3790" s="2">
        <v>35880</v>
      </c>
      <c r="E3790" s="17">
        <v>77331.850000000006</v>
      </c>
      <c r="F3790" s="11">
        <v>6.54</v>
      </c>
      <c r="G3790" s="9">
        <v>5506.5</v>
      </c>
      <c r="H3790" s="10">
        <v>0.29199999999999998</v>
      </c>
      <c r="I3790" s="11">
        <v>7.8</v>
      </c>
    </row>
    <row r="3791" spans="1:9" x14ac:dyDescent="0.35">
      <c r="A3791" s="2" t="s">
        <v>353</v>
      </c>
      <c r="B3791" s="3">
        <v>44835</v>
      </c>
      <c r="C3791" s="2">
        <v>12</v>
      </c>
      <c r="D3791" s="2">
        <v>15309</v>
      </c>
      <c r="E3791" s="17">
        <v>31709.96</v>
      </c>
      <c r="F3791" s="11">
        <v>6.5</v>
      </c>
      <c r="G3791" s="9">
        <v>2335.6</v>
      </c>
      <c r="H3791" s="10">
        <v>0.41699999999999998</v>
      </c>
      <c r="I3791" s="11">
        <v>6.4</v>
      </c>
    </row>
    <row r="3792" spans="1:9" x14ac:dyDescent="0.35">
      <c r="A3792" s="2" t="s">
        <v>353</v>
      </c>
      <c r="B3792" s="3">
        <v>44866</v>
      </c>
      <c r="C3792" s="2">
        <v>15</v>
      </c>
      <c r="D3792" s="2">
        <v>23022</v>
      </c>
      <c r="E3792" s="17">
        <v>48674.239999999998</v>
      </c>
      <c r="F3792" s="11">
        <v>6.55</v>
      </c>
      <c r="G3792" s="9">
        <v>3514.7</v>
      </c>
      <c r="H3792" s="10">
        <v>0.2</v>
      </c>
      <c r="I3792" s="11">
        <v>7</v>
      </c>
    </row>
    <row r="3793" spans="1:9" x14ac:dyDescent="0.35">
      <c r="A3793" s="2" t="s">
        <v>353</v>
      </c>
      <c r="B3793" s="3">
        <v>44896</v>
      </c>
      <c r="C3793" s="2">
        <v>18</v>
      </c>
      <c r="D3793" s="2">
        <v>29270</v>
      </c>
      <c r="E3793" s="17">
        <v>63030.21</v>
      </c>
      <c r="F3793" s="11">
        <v>6.17</v>
      </c>
      <c r="G3793" s="9">
        <v>4824.8999999999996</v>
      </c>
      <c r="H3793" s="10">
        <v>0.5</v>
      </c>
      <c r="I3793" s="11">
        <v>5.9</v>
      </c>
    </row>
    <row r="3794" spans="1:9" x14ac:dyDescent="0.35">
      <c r="A3794" s="2" t="s">
        <v>353</v>
      </c>
      <c r="B3794" s="3">
        <v>44927</v>
      </c>
      <c r="C3794" s="2">
        <v>22</v>
      </c>
      <c r="D3794" s="2">
        <v>30846</v>
      </c>
      <c r="E3794" s="17">
        <v>62402.98</v>
      </c>
      <c r="F3794" s="11">
        <v>6.51</v>
      </c>
      <c r="G3794" s="9">
        <v>4727.3999999999996</v>
      </c>
      <c r="H3794" s="10">
        <v>0.54500000000000004</v>
      </c>
      <c r="I3794" s="11">
        <v>8.3000000000000007</v>
      </c>
    </row>
    <row r="3795" spans="1:9" x14ac:dyDescent="0.35">
      <c r="A3795" s="2" t="s">
        <v>353</v>
      </c>
      <c r="B3795" s="3">
        <v>44958</v>
      </c>
      <c r="C3795" s="2">
        <v>17</v>
      </c>
      <c r="D3795" s="2">
        <v>29765</v>
      </c>
      <c r="E3795" s="17">
        <v>64358</v>
      </c>
      <c r="F3795" s="11">
        <v>6.38</v>
      </c>
      <c r="G3795" s="9">
        <v>4714</v>
      </c>
      <c r="H3795" s="10">
        <v>0.35299999999999998</v>
      </c>
      <c r="I3795" s="11">
        <v>5.8</v>
      </c>
    </row>
    <row r="3796" spans="1:9" x14ac:dyDescent="0.35">
      <c r="A3796" s="2" t="s">
        <v>353</v>
      </c>
      <c r="B3796" s="3">
        <v>44986</v>
      </c>
      <c r="C3796" s="2">
        <v>24</v>
      </c>
      <c r="D3796" s="2">
        <v>36451</v>
      </c>
      <c r="E3796" s="17">
        <v>80277.59</v>
      </c>
      <c r="F3796" s="11">
        <v>6.64</v>
      </c>
      <c r="G3796" s="9">
        <v>5539.3</v>
      </c>
      <c r="H3796" s="10">
        <v>0.45800000000000002</v>
      </c>
      <c r="I3796" s="11">
        <v>6.7</v>
      </c>
    </row>
    <row r="3797" spans="1:9" x14ac:dyDescent="0.35">
      <c r="A3797" s="2" t="s">
        <v>353</v>
      </c>
      <c r="B3797" s="3">
        <v>45017</v>
      </c>
      <c r="C3797" s="2">
        <v>25</v>
      </c>
      <c r="D3797" s="2">
        <v>42944</v>
      </c>
      <c r="E3797" s="17">
        <v>93805.6</v>
      </c>
      <c r="F3797" s="11">
        <v>6.56</v>
      </c>
      <c r="G3797" s="9">
        <v>6542.8</v>
      </c>
      <c r="H3797" s="10">
        <v>0.36</v>
      </c>
      <c r="I3797" s="11">
        <v>6.9</v>
      </c>
    </row>
    <row r="3798" spans="1:9" x14ac:dyDescent="0.35">
      <c r="A3798" s="2" t="s">
        <v>353</v>
      </c>
      <c r="B3798" s="3">
        <v>45047</v>
      </c>
      <c r="C3798" s="2">
        <v>27</v>
      </c>
      <c r="D3798" s="2">
        <v>41189</v>
      </c>
      <c r="E3798" s="17">
        <v>87662.19</v>
      </c>
      <c r="F3798" s="11">
        <v>6.66</v>
      </c>
      <c r="G3798" s="9">
        <v>6324.5</v>
      </c>
      <c r="H3798" s="10">
        <v>0.40699999999999997</v>
      </c>
      <c r="I3798" s="11">
        <v>6.9</v>
      </c>
    </row>
    <row r="3799" spans="1:9" x14ac:dyDescent="0.35">
      <c r="A3799" s="2" t="s">
        <v>353</v>
      </c>
      <c r="B3799" s="3">
        <v>45078</v>
      </c>
      <c r="C3799" s="2">
        <v>16</v>
      </c>
      <c r="D3799" s="2">
        <v>18419</v>
      </c>
      <c r="E3799" s="17">
        <v>42295.71</v>
      </c>
      <c r="F3799" s="11">
        <v>6.45</v>
      </c>
      <c r="G3799" s="9">
        <v>2879.2</v>
      </c>
      <c r="H3799" s="10">
        <v>0.375</v>
      </c>
      <c r="I3799" s="11">
        <v>7.3</v>
      </c>
    </row>
    <row r="3800" spans="1:9" x14ac:dyDescent="0.35">
      <c r="A3800" s="2" t="s">
        <v>353</v>
      </c>
      <c r="B3800" s="3">
        <v>45108</v>
      </c>
      <c r="C3800" s="2">
        <v>15</v>
      </c>
      <c r="D3800" s="2">
        <v>27749</v>
      </c>
      <c r="E3800" s="17">
        <v>60910.66</v>
      </c>
      <c r="F3800" s="11">
        <v>6.73</v>
      </c>
      <c r="G3800" s="9">
        <v>4150.5</v>
      </c>
      <c r="H3800" s="10">
        <v>0.46700000000000003</v>
      </c>
      <c r="I3800" s="11">
        <v>7.1</v>
      </c>
    </row>
    <row r="3801" spans="1:9" x14ac:dyDescent="0.35">
      <c r="A3801" s="2" t="s">
        <v>353</v>
      </c>
      <c r="B3801" s="3">
        <v>45139</v>
      </c>
      <c r="C3801" s="2">
        <v>21</v>
      </c>
      <c r="D3801" s="2">
        <v>33075</v>
      </c>
      <c r="E3801" s="17">
        <v>73918.06</v>
      </c>
      <c r="F3801" s="11">
        <v>6.21</v>
      </c>
      <c r="G3801" s="9">
        <v>5352.5</v>
      </c>
      <c r="H3801" s="10">
        <v>0.52400000000000002</v>
      </c>
      <c r="I3801" s="11">
        <v>6.8</v>
      </c>
    </row>
    <row r="3802" spans="1:9" x14ac:dyDescent="0.35">
      <c r="A3802" s="2" t="s">
        <v>353</v>
      </c>
      <c r="B3802" s="3">
        <v>45170</v>
      </c>
      <c r="C3802" s="2">
        <v>11</v>
      </c>
      <c r="D3802" s="2">
        <v>13181</v>
      </c>
      <c r="E3802" s="17">
        <v>22969.119999999999</v>
      </c>
      <c r="F3802" s="11">
        <v>6.36</v>
      </c>
      <c r="G3802" s="9">
        <v>2075.8000000000002</v>
      </c>
      <c r="H3802" s="10">
        <v>0.36399999999999999</v>
      </c>
      <c r="I3802" s="11">
        <v>8.1999999999999993</v>
      </c>
    </row>
    <row r="3803" spans="1:9" x14ac:dyDescent="0.35">
      <c r="A3803" s="2" t="s">
        <v>353</v>
      </c>
      <c r="B3803" s="3">
        <v>45200</v>
      </c>
      <c r="C3803" s="2">
        <v>19</v>
      </c>
      <c r="D3803" s="2">
        <v>28756</v>
      </c>
      <c r="E3803" s="17">
        <v>64324.959999999999</v>
      </c>
      <c r="F3803" s="11">
        <v>6.32</v>
      </c>
      <c r="G3803" s="9">
        <v>4549.1000000000004</v>
      </c>
      <c r="H3803" s="10">
        <v>0.26300000000000001</v>
      </c>
      <c r="I3803" s="11">
        <v>6.9</v>
      </c>
    </row>
    <row r="3804" spans="1:9" x14ac:dyDescent="0.35">
      <c r="A3804" s="2" t="s">
        <v>353</v>
      </c>
      <c r="B3804" s="3">
        <v>45231</v>
      </c>
      <c r="C3804" s="2">
        <v>14</v>
      </c>
      <c r="D3804" s="2">
        <v>17946</v>
      </c>
      <c r="E3804" s="17">
        <v>37881.599999999999</v>
      </c>
      <c r="F3804" s="11">
        <v>6.66</v>
      </c>
      <c r="G3804" s="9">
        <v>2673</v>
      </c>
      <c r="H3804" s="10">
        <v>0.42899999999999999</v>
      </c>
      <c r="I3804" s="11">
        <v>6.2</v>
      </c>
    </row>
    <row r="3805" spans="1:9" x14ac:dyDescent="0.35">
      <c r="A3805" s="2" t="s">
        <v>353</v>
      </c>
      <c r="B3805" s="3">
        <v>45261</v>
      </c>
      <c r="C3805" s="2">
        <v>11</v>
      </c>
      <c r="D3805" s="2">
        <v>14539</v>
      </c>
      <c r="E3805" s="17">
        <v>31066.11</v>
      </c>
      <c r="F3805" s="11">
        <v>6.76</v>
      </c>
      <c r="G3805" s="9">
        <v>2162.8000000000002</v>
      </c>
      <c r="H3805" s="10">
        <v>0.27300000000000002</v>
      </c>
      <c r="I3805" s="11">
        <v>7.3</v>
      </c>
    </row>
    <row r="3806" spans="1:9" x14ac:dyDescent="0.35">
      <c r="A3806" s="2" t="s">
        <v>353</v>
      </c>
      <c r="B3806" s="3">
        <v>45292</v>
      </c>
      <c r="C3806" s="2">
        <v>28</v>
      </c>
      <c r="D3806" s="2">
        <v>41779</v>
      </c>
      <c r="E3806" s="17">
        <v>94800.05</v>
      </c>
      <c r="F3806" s="11">
        <v>6.43</v>
      </c>
      <c r="G3806" s="9">
        <v>6575.8</v>
      </c>
      <c r="H3806" s="10">
        <v>0.42899999999999999</v>
      </c>
      <c r="I3806" s="11">
        <v>6.5</v>
      </c>
    </row>
    <row r="3807" spans="1:9" x14ac:dyDescent="0.35">
      <c r="A3807" s="2" t="s">
        <v>353</v>
      </c>
      <c r="B3807" s="3">
        <v>45323</v>
      </c>
      <c r="C3807" s="2">
        <v>18</v>
      </c>
      <c r="D3807" s="2">
        <v>25065</v>
      </c>
      <c r="E3807" s="17">
        <v>51990.19</v>
      </c>
      <c r="F3807" s="11">
        <v>6.48</v>
      </c>
      <c r="G3807" s="9">
        <v>3897.1</v>
      </c>
      <c r="H3807" s="10">
        <v>0.44400000000000001</v>
      </c>
      <c r="I3807" s="11">
        <v>6</v>
      </c>
    </row>
    <row r="3808" spans="1:9" x14ac:dyDescent="0.35">
      <c r="A3808" s="2" t="s">
        <v>353</v>
      </c>
      <c r="B3808" s="3">
        <v>45352</v>
      </c>
      <c r="C3808" s="2">
        <v>28</v>
      </c>
      <c r="D3808" s="2">
        <v>39442</v>
      </c>
      <c r="E3808" s="17">
        <v>87431.039999999994</v>
      </c>
      <c r="F3808" s="11">
        <v>6.7</v>
      </c>
      <c r="G3808" s="9">
        <v>6000.5</v>
      </c>
      <c r="H3808" s="10">
        <v>0.35699999999999998</v>
      </c>
      <c r="I3808" s="11">
        <v>6.9</v>
      </c>
    </row>
    <row r="3809" spans="1:9" x14ac:dyDescent="0.35">
      <c r="A3809" s="2" t="s">
        <v>353</v>
      </c>
      <c r="B3809" s="3">
        <v>45383</v>
      </c>
      <c r="C3809" s="2">
        <v>11</v>
      </c>
      <c r="D3809" s="2">
        <v>16670</v>
      </c>
      <c r="E3809" s="17">
        <v>37762.81</v>
      </c>
      <c r="F3809" s="11">
        <v>6.41</v>
      </c>
      <c r="G3809" s="9">
        <v>2633.1</v>
      </c>
      <c r="H3809" s="10">
        <v>0.72699999999999998</v>
      </c>
      <c r="I3809" s="11">
        <v>6.9</v>
      </c>
    </row>
    <row r="3810" spans="1:9" x14ac:dyDescent="0.35">
      <c r="A3810" s="2" t="s">
        <v>353</v>
      </c>
      <c r="B3810" s="3">
        <v>45413</v>
      </c>
      <c r="C3810" s="2">
        <v>16</v>
      </c>
      <c r="D3810" s="2">
        <v>20699</v>
      </c>
      <c r="E3810" s="17">
        <v>46853.65</v>
      </c>
      <c r="F3810" s="11">
        <v>6.45</v>
      </c>
      <c r="G3810" s="9">
        <v>3202.3</v>
      </c>
      <c r="H3810" s="10">
        <v>0.625</v>
      </c>
      <c r="I3810" s="11">
        <v>8</v>
      </c>
    </row>
    <row r="3811" spans="1:9" x14ac:dyDescent="0.35">
      <c r="A3811" s="2" t="s">
        <v>353</v>
      </c>
      <c r="B3811" s="3">
        <v>45444</v>
      </c>
      <c r="C3811" s="2">
        <v>19</v>
      </c>
      <c r="D3811" s="2">
        <v>27499</v>
      </c>
      <c r="E3811" s="17">
        <v>58155.11</v>
      </c>
      <c r="F3811" s="11">
        <v>6.34</v>
      </c>
      <c r="G3811" s="9">
        <v>4385.3999999999996</v>
      </c>
      <c r="H3811" s="10">
        <v>0.52600000000000002</v>
      </c>
      <c r="I3811" s="11">
        <v>8.6</v>
      </c>
    </row>
    <row r="3812" spans="1:9" x14ac:dyDescent="0.35">
      <c r="A3812" s="2" t="s">
        <v>353</v>
      </c>
      <c r="B3812" s="3">
        <v>45474</v>
      </c>
      <c r="C3812" s="2">
        <v>22</v>
      </c>
      <c r="D3812" s="2">
        <v>30339</v>
      </c>
      <c r="E3812" s="17">
        <v>57263.16</v>
      </c>
      <c r="F3812" s="11">
        <v>6.28</v>
      </c>
      <c r="G3812" s="9">
        <v>4787.2</v>
      </c>
      <c r="H3812" s="10">
        <v>0.5</v>
      </c>
      <c r="I3812" s="11">
        <v>6.4</v>
      </c>
    </row>
    <row r="3813" spans="1:9" x14ac:dyDescent="0.35">
      <c r="A3813" s="2" t="s">
        <v>353</v>
      </c>
      <c r="B3813" s="3">
        <v>45505</v>
      </c>
      <c r="C3813" s="2">
        <v>35</v>
      </c>
      <c r="D3813" s="2">
        <v>57954</v>
      </c>
      <c r="E3813" s="17">
        <v>124579.53</v>
      </c>
      <c r="F3813" s="11">
        <v>6.42</v>
      </c>
      <c r="G3813" s="9">
        <v>9007.5</v>
      </c>
      <c r="H3813" s="10">
        <v>0.57099999999999995</v>
      </c>
      <c r="I3813" s="11">
        <v>7.1</v>
      </c>
    </row>
    <row r="3814" spans="1:9" x14ac:dyDescent="0.35">
      <c r="A3814" s="2" t="s">
        <v>353</v>
      </c>
      <c r="B3814" s="3">
        <v>45536</v>
      </c>
      <c r="C3814" s="2">
        <v>20</v>
      </c>
      <c r="D3814" s="2">
        <v>32789</v>
      </c>
      <c r="E3814" s="17">
        <v>70452.509999999995</v>
      </c>
      <c r="F3814" s="11">
        <v>6.54</v>
      </c>
      <c r="G3814" s="9">
        <v>5020.8999999999996</v>
      </c>
      <c r="H3814" s="10">
        <v>0.5</v>
      </c>
      <c r="I3814" s="11">
        <v>8</v>
      </c>
    </row>
    <row r="3815" spans="1:9" x14ac:dyDescent="0.35">
      <c r="A3815" s="2" t="s">
        <v>353</v>
      </c>
      <c r="B3815" s="3">
        <v>45566</v>
      </c>
      <c r="C3815" s="2">
        <v>23</v>
      </c>
      <c r="D3815" s="2">
        <v>36471</v>
      </c>
      <c r="E3815" s="17">
        <v>82302.850000000006</v>
      </c>
      <c r="F3815" s="11">
        <v>6.49</v>
      </c>
      <c r="G3815" s="9">
        <v>5645.6</v>
      </c>
      <c r="H3815" s="10">
        <v>0.26100000000000001</v>
      </c>
      <c r="I3815" s="11">
        <v>6.1</v>
      </c>
    </row>
    <row r="3816" spans="1:9" x14ac:dyDescent="0.35">
      <c r="A3816" s="2" t="s">
        <v>353</v>
      </c>
      <c r="B3816" s="3">
        <v>45597</v>
      </c>
      <c r="C3816" s="2">
        <v>18</v>
      </c>
      <c r="D3816" s="2">
        <v>23136</v>
      </c>
      <c r="E3816" s="17">
        <v>51982.65</v>
      </c>
      <c r="F3816" s="11">
        <v>6.56</v>
      </c>
      <c r="G3816" s="9">
        <v>3636.2</v>
      </c>
      <c r="H3816" s="10">
        <v>0.61099999999999999</v>
      </c>
      <c r="I3816" s="11">
        <v>5.0999999999999996</v>
      </c>
    </row>
    <row r="3817" spans="1:9" x14ac:dyDescent="0.35">
      <c r="A3817" s="2" t="s">
        <v>353</v>
      </c>
      <c r="B3817" s="3">
        <v>45627</v>
      </c>
      <c r="C3817" s="2">
        <v>24</v>
      </c>
      <c r="D3817" s="2">
        <v>36240</v>
      </c>
      <c r="E3817" s="17">
        <v>82796.19</v>
      </c>
      <c r="F3817" s="11">
        <v>6.52</v>
      </c>
      <c r="G3817" s="9">
        <v>5624.7</v>
      </c>
      <c r="H3817" s="10">
        <v>0.5</v>
      </c>
      <c r="I3817" s="11">
        <v>7.9</v>
      </c>
    </row>
    <row r="3818" spans="1:9" x14ac:dyDescent="0.35">
      <c r="A3818" s="2" t="s">
        <v>355</v>
      </c>
      <c r="B3818" s="3">
        <v>44562</v>
      </c>
      <c r="C3818" s="2">
        <v>12</v>
      </c>
      <c r="D3818" s="2">
        <v>17860</v>
      </c>
      <c r="E3818" s="17">
        <v>42071.64</v>
      </c>
      <c r="F3818" s="11">
        <v>6.5</v>
      </c>
      <c r="G3818" s="9">
        <v>2837.4</v>
      </c>
      <c r="H3818" s="10">
        <v>0.33300000000000002</v>
      </c>
      <c r="I3818" s="11">
        <v>7</v>
      </c>
    </row>
    <row r="3819" spans="1:9" x14ac:dyDescent="0.35">
      <c r="A3819" s="2" t="s">
        <v>355</v>
      </c>
      <c r="B3819" s="3">
        <v>44593</v>
      </c>
      <c r="C3819" s="2">
        <v>17</v>
      </c>
      <c r="D3819" s="2">
        <v>29162</v>
      </c>
      <c r="E3819" s="17">
        <v>58002.559999999998</v>
      </c>
      <c r="F3819" s="11">
        <v>6.39</v>
      </c>
      <c r="G3819" s="9">
        <v>4608.6000000000004</v>
      </c>
      <c r="H3819" s="10">
        <v>0.35299999999999998</v>
      </c>
      <c r="I3819" s="11">
        <v>7.5</v>
      </c>
    </row>
    <row r="3820" spans="1:9" x14ac:dyDescent="0.35">
      <c r="A3820" s="2" t="s">
        <v>355</v>
      </c>
      <c r="B3820" s="3">
        <v>44621</v>
      </c>
      <c r="C3820" s="2">
        <v>22</v>
      </c>
      <c r="D3820" s="2">
        <v>30057</v>
      </c>
      <c r="E3820" s="17">
        <v>62216.69</v>
      </c>
      <c r="F3820" s="11">
        <v>6.42</v>
      </c>
      <c r="G3820" s="9">
        <v>4679.1000000000004</v>
      </c>
      <c r="H3820" s="10">
        <v>0.5</v>
      </c>
      <c r="I3820" s="11">
        <v>6.6</v>
      </c>
    </row>
    <row r="3821" spans="1:9" x14ac:dyDescent="0.35">
      <c r="A3821" s="2" t="s">
        <v>355</v>
      </c>
      <c r="B3821" s="3">
        <v>44652</v>
      </c>
      <c r="C3821" s="2">
        <v>19</v>
      </c>
      <c r="D3821" s="2">
        <v>32944</v>
      </c>
      <c r="E3821" s="17">
        <v>70978.86</v>
      </c>
      <c r="F3821" s="11">
        <v>6.54</v>
      </c>
      <c r="G3821" s="9">
        <v>5062.6000000000004</v>
      </c>
      <c r="H3821" s="10">
        <v>0.42099999999999999</v>
      </c>
      <c r="I3821" s="11">
        <v>7</v>
      </c>
    </row>
    <row r="3822" spans="1:9" x14ac:dyDescent="0.35">
      <c r="A3822" s="2" t="s">
        <v>355</v>
      </c>
      <c r="B3822" s="3">
        <v>44682</v>
      </c>
      <c r="C3822" s="2">
        <v>19</v>
      </c>
      <c r="D3822" s="2">
        <v>23305</v>
      </c>
      <c r="E3822" s="17">
        <v>49340.15</v>
      </c>
      <c r="F3822" s="11">
        <v>6.36</v>
      </c>
      <c r="G3822" s="9">
        <v>3609.5</v>
      </c>
      <c r="H3822" s="10">
        <v>0.42099999999999999</v>
      </c>
      <c r="I3822" s="11">
        <v>6.6</v>
      </c>
    </row>
    <row r="3823" spans="1:9" x14ac:dyDescent="0.35">
      <c r="A3823" s="2" t="s">
        <v>355</v>
      </c>
      <c r="B3823" s="3">
        <v>44713</v>
      </c>
      <c r="C3823" s="2">
        <v>24</v>
      </c>
      <c r="D3823" s="2">
        <v>39249</v>
      </c>
      <c r="E3823" s="17">
        <v>83035.320000000007</v>
      </c>
      <c r="F3823" s="11">
        <v>6.44</v>
      </c>
      <c r="G3823" s="9">
        <v>6184.8</v>
      </c>
      <c r="H3823" s="10">
        <v>0.58299999999999996</v>
      </c>
      <c r="I3823" s="11">
        <v>6.6</v>
      </c>
    </row>
    <row r="3824" spans="1:9" x14ac:dyDescent="0.35">
      <c r="A3824" s="2" t="s">
        <v>355</v>
      </c>
      <c r="B3824" s="3">
        <v>44743</v>
      </c>
      <c r="C3824" s="2">
        <v>21</v>
      </c>
      <c r="D3824" s="2">
        <v>31007</v>
      </c>
      <c r="E3824" s="17">
        <v>65269.97</v>
      </c>
      <c r="F3824" s="11">
        <v>6.7</v>
      </c>
      <c r="G3824" s="9">
        <v>4641.8999999999996</v>
      </c>
      <c r="H3824" s="10">
        <v>0.23799999999999999</v>
      </c>
      <c r="I3824" s="11">
        <v>5.5</v>
      </c>
    </row>
    <row r="3825" spans="1:9" x14ac:dyDescent="0.35">
      <c r="A3825" s="2" t="s">
        <v>355</v>
      </c>
      <c r="B3825" s="3">
        <v>44774</v>
      </c>
      <c r="C3825" s="2">
        <v>17</v>
      </c>
      <c r="D3825" s="2">
        <v>21443</v>
      </c>
      <c r="E3825" s="17">
        <v>47427.96</v>
      </c>
      <c r="F3825" s="11">
        <v>6.36</v>
      </c>
      <c r="G3825" s="9">
        <v>3425</v>
      </c>
      <c r="H3825" s="10">
        <v>0.64700000000000002</v>
      </c>
      <c r="I3825" s="11">
        <v>8.3000000000000007</v>
      </c>
    </row>
    <row r="3826" spans="1:9" x14ac:dyDescent="0.35">
      <c r="A3826" s="2" t="s">
        <v>355</v>
      </c>
      <c r="B3826" s="3">
        <v>44805</v>
      </c>
      <c r="C3826" s="2">
        <v>14</v>
      </c>
      <c r="D3826" s="2">
        <v>16903</v>
      </c>
      <c r="E3826" s="17">
        <v>38301.120000000003</v>
      </c>
      <c r="F3826" s="11">
        <v>6.6</v>
      </c>
      <c r="G3826" s="9">
        <v>2513.1</v>
      </c>
      <c r="H3826" s="10">
        <v>0.5</v>
      </c>
      <c r="I3826" s="11">
        <v>6.9</v>
      </c>
    </row>
    <row r="3827" spans="1:9" x14ac:dyDescent="0.35">
      <c r="A3827" s="2" t="s">
        <v>355</v>
      </c>
      <c r="B3827" s="3">
        <v>44835</v>
      </c>
      <c r="C3827" s="2">
        <v>20</v>
      </c>
      <c r="D3827" s="2">
        <v>27536</v>
      </c>
      <c r="E3827" s="17">
        <v>59677.85</v>
      </c>
      <c r="F3827" s="11">
        <v>6.46</v>
      </c>
      <c r="G3827" s="9">
        <v>4353.7</v>
      </c>
      <c r="H3827" s="10">
        <v>0.55000000000000004</v>
      </c>
      <c r="I3827" s="11">
        <v>7</v>
      </c>
    </row>
    <row r="3828" spans="1:9" x14ac:dyDescent="0.35">
      <c r="A3828" s="2" t="s">
        <v>355</v>
      </c>
      <c r="B3828" s="3">
        <v>44866</v>
      </c>
      <c r="C3828" s="2">
        <v>15</v>
      </c>
      <c r="D3828" s="2">
        <v>21750</v>
      </c>
      <c r="E3828" s="17">
        <v>42338.58</v>
      </c>
      <c r="F3828" s="11">
        <v>6.68</v>
      </c>
      <c r="G3828" s="9">
        <v>3264.3</v>
      </c>
      <c r="H3828" s="10">
        <v>0.33300000000000002</v>
      </c>
      <c r="I3828" s="11">
        <v>5.9</v>
      </c>
    </row>
    <row r="3829" spans="1:9" x14ac:dyDescent="0.35">
      <c r="A3829" s="2" t="s">
        <v>355</v>
      </c>
      <c r="B3829" s="3">
        <v>44896</v>
      </c>
      <c r="C3829" s="2">
        <v>17</v>
      </c>
      <c r="D3829" s="2">
        <v>28884</v>
      </c>
      <c r="E3829" s="17">
        <v>55516.5</v>
      </c>
      <c r="F3829" s="11">
        <v>6.5</v>
      </c>
      <c r="G3829" s="9">
        <v>4454</v>
      </c>
      <c r="H3829" s="10">
        <v>0.41199999999999998</v>
      </c>
      <c r="I3829" s="11">
        <v>7.6</v>
      </c>
    </row>
    <row r="3830" spans="1:9" x14ac:dyDescent="0.35">
      <c r="A3830" s="2" t="s">
        <v>355</v>
      </c>
      <c r="B3830" s="3">
        <v>44927</v>
      </c>
      <c r="C3830" s="2">
        <v>17</v>
      </c>
      <c r="D3830" s="2">
        <v>24891</v>
      </c>
      <c r="E3830" s="17">
        <v>48717.120000000003</v>
      </c>
      <c r="F3830" s="11">
        <v>6.52</v>
      </c>
      <c r="G3830" s="9">
        <v>3852</v>
      </c>
      <c r="H3830" s="10">
        <v>0.41199999999999998</v>
      </c>
      <c r="I3830" s="11">
        <v>8</v>
      </c>
    </row>
    <row r="3831" spans="1:9" x14ac:dyDescent="0.35">
      <c r="A3831" s="2" t="s">
        <v>355</v>
      </c>
      <c r="B3831" s="3">
        <v>44958</v>
      </c>
      <c r="C3831" s="2">
        <v>21</v>
      </c>
      <c r="D3831" s="2">
        <v>31685</v>
      </c>
      <c r="E3831" s="17">
        <v>67588.039999999994</v>
      </c>
      <c r="F3831" s="11">
        <v>6.73</v>
      </c>
      <c r="G3831" s="9">
        <v>4732.3999999999996</v>
      </c>
      <c r="H3831" s="10">
        <v>0.42899999999999999</v>
      </c>
      <c r="I3831" s="11">
        <v>7</v>
      </c>
    </row>
    <row r="3832" spans="1:9" x14ac:dyDescent="0.35">
      <c r="A3832" s="2" t="s">
        <v>355</v>
      </c>
      <c r="B3832" s="3">
        <v>44986</v>
      </c>
      <c r="C3832" s="2">
        <v>19</v>
      </c>
      <c r="D3832" s="2">
        <v>25602</v>
      </c>
      <c r="E3832" s="17">
        <v>58077.17</v>
      </c>
      <c r="F3832" s="11">
        <v>6.44</v>
      </c>
      <c r="G3832" s="9">
        <v>3954.5</v>
      </c>
      <c r="H3832" s="10">
        <v>0.316</v>
      </c>
      <c r="I3832" s="11">
        <v>7</v>
      </c>
    </row>
    <row r="3833" spans="1:9" x14ac:dyDescent="0.35">
      <c r="A3833" s="2" t="s">
        <v>355</v>
      </c>
      <c r="B3833" s="3">
        <v>45017</v>
      </c>
      <c r="C3833" s="2">
        <v>17</v>
      </c>
      <c r="D3833" s="2">
        <v>31011</v>
      </c>
      <c r="E3833" s="17">
        <v>65902.929999999993</v>
      </c>
      <c r="F3833" s="11">
        <v>6.4</v>
      </c>
      <c r="G3833" s="9">
        <v>4882.5</v>
      </c>
      <c r="H3833" s="10">
        <v>0.52900000000000003</v>
      </c>
      <c r="I3833" s="11">
        <v>8</v>
      </c>
    </row>
    <row r="3834" spans="1:9" x14ac:dyDescent="0.35">
      <c r="A3834" s="2" t="s">
        <v>355</v>
      </c>
      <c r="B3834" s="3">
        <v>45047</v>
      </c>
      <c r="C3834" s="2">
        <v>17</v>
      </c>
      <c r="D3834" s="2">
        <v>22964</v>
      </c>
      <c r="E3834" s="17">
        <v>48333.59</v>
      </c>
      <c r="F3834" s="11">
        <v>6.52</v>
      </c>
      <c r="G3834" s="9">
        <v>3574.3</v>
      </c>
      <c r="H3834" s="10">
        <v>0.52900000000000003</v>
      </c>
      <c r="I3834" s="11">
        <v>7.8</v>
      </c>
    </row>
    <row r="3835" spans="1:9" x14ac:dyDescent="0.35">
      <c r="A3835" s="2" t="s">
        <v>355</v>
      </c>
      <c r="B3835" s="3">
        <v>45078</v>
      </c>
      <c r="C3835" s="2">
        <v>17</v>
      </c>
      <c r="D3835" s="2">
        <v>21387</v>
      </c>
      <c r="E3835" s="17">
        <v>46652.31</v>
      </c>
      <c r="F3835" s="11">
        <v>6.34</v>
      </c>
      <c r="G3835" s="9">
        <v>3417.4</v>
      </c>
      <c r="H3835" s="10">
        <v>0.47099999999999997</v>
      </c>
      <c r="I3835" s="11">
        <v>7.4</v>
      </c>
    </row>
    <row r="3836" spans="1:9" x14ac:dyDescent="0.35">
      <c r="A3836" s="2" t="s">
        <v>355</v>
      </c>
      <c r="B3836" s="3">
        <v>45108</v>
      </c>
      <c r="C3836" s="2">
        <v>23</v>
      </c>
      <c r="D3836" s="2">
        <v>35155</v>
      </c>
      <c r="E3836" s="17">
        <v>76141.05</v>
      </c>
      <c r="F3836" s="11">
        <v>6.31</v>
      </c>
      <c r="G3836" s="9">
        <v>5575.4</v>
      </c>
      <c r="H3836" s="10">
        <v>0.56499999999999995</v>
      </c>
      <c r="I3836" s="11">
        <v>8.4</v>
      </c>
    </row>
    <row r="3837" spans="1:9" x14ac:dyDescent="0.35">
      <c r="A3837" s="2" t="s">
        <v>355</v>
      </c>
      <c r="B3837" s="3">
        <v>45139</v>
      </c>
      <c r="C3837" s="2">
        <v>19</v>
      </c>
      <c r="D3837" s="2">
        <v>30213</v>
      </c>
      <c r="E3837" s="17">
        <v>66713.490000000005</v>
      </c>
      <c r="F3837" s="11">
        <v>6.54</v>
      </c>
      <c r="G3837" s="9">
        <v>4708.7</v>
      </c>
      <c r="H3837" s="10">
        <v>0.26300000000000001</v>
      </c>
      <c r="I3837" s="11">
        <v>6.8</v>
      </c>
    </row>
    <row r="3838" spans="1:9" x14ac:dyDescent="0.35">
      <c r="A3838" s="2" t="s">
        <v>355</v>
      </c>
      <c r="B3838" s="3">
        <v>45170</v>
      </c>
      <c r="C3838" s="2">
        <v>21</v>
      </c>
      <c r="D3838" s="2">
        <v>30107</v>
      </c>
      <c r="E3838" s="17">
        <v>64122.559999999998</v>
      </c>
      <c r="F3838" s="11">
        <v>6.21</v>
      </c>
      <c r="G3838" s="9">
        <v>4889.5</v>
      </c>
      <c r="H3838" s="10">
        <v>0.57099999999999995</v>
      </c>
      <c r="I3838" s="11">
        <v>6.8</v>
      </c>
    </row>
    <row r="3839" spans="1:9" x14ac:dyDescent="0.35">
      <c r="A3839" s="2" t="s">
        <v>355</v>
      </c>
      <c r="B3839" s="3">
        <v>45200</v>
      </c>
      <c r="C3839" s="2">
        <v>16</v>
      </c>
      <c r="D3839" s="2">
        <v>28171</v>
      </c>
      <c r="E3839" s="17">
        <v>56630.78</v>
      </c>
      <c r="F3839" s="11">
        <v>6.33</v>
      </c>
      <c r="G3839" s="9">
        <v>4475.2</v>
      </c>
      <c r="H3839" s="10">
        <v>0.75</v>
      </c>
      <c r="I3839" s="11">
        <v>7.9</v>
      </c>
    </row>
    <row r="3840" spans="1:9" x14ac:dyDescent="0.35">
      <c r="A3840" s="2" t="s">
        <v>355</v>
      </c>
      <c r="B3840" s="3">
        <v>45231</v>
      </c>
      <c r="C3840" s="2">
        <v>24</v>
      </c>
      <c r="D3840" s="2">
        <v>34232</v>
      </c>
      <c r="E3840" s="17">
        <v>73743.58</v>
      </c>
      <c r="F3840" s="11">
        <v>6.61</v>
      </c>
      <c r="G3840" s="9">
        <v>5212.2</v>
      </c>
      <c r="H3840" s="10">
        <v>0.375</v>
      </c>
      <c r="I3840" s="11">
        <v>6.7</v>
      </c>
    </row>
    <row r="3841" spans="1:9" x14ac:dyDescent="0.35">
      <c r="A3841" s="2" t="s">
        <v>355</v>
      </c>
      <c r="B3841" s="3">
        <v>45261</v>
      </c>
      <c r="C3841" s="2">
        <v>20</v>
      </c>
      <c r="D3841" s="2">
        <v>25023</v>
      </c>
      <c r="E3841" s="17">
        <v>59197.8</v>
      </c>
      <c r="F3841" s="11">
        <v>6.61</v>
      </c>
      <c r="G3841" s="9">
        <v>3757.9</v>
      </c>
      <c r="H3841" s="10">
        <v>0.5</v>
      </c>
      <c r="I3841" s="11">
        <v>6.6</v>
      </c>
    </row>
    <row r="3842" spans="1:9" x14ac:dyDescent="0.35">
      <c r="A3842" s="2" t="s">
        <v>355</v>
      </c>
      <c r="B3842" s="3">
        <v>45292</v>
      </c>
      <c r="C3842" s="2">
        <v>24</v>
      </c>
      <c r="D3842" s="2">
        <v>31272</v>
      </c>
      <c r="E3842" s="17">
        <v>72554.850000000006</v>
      </c>
      <c r="F3842" s="11">
        <v>6.75</v>
      </c>
      <c r="G3842" s="9">
        <v>4776.1000000000004</v>
      </c>
      <c r="H3842" s="10">
        <v>0.58299999999999996</v>
      </c>
      <c r="I3842" s="11">
        <v>6.6</v>
      </c>
    </row>
    <row r="3843" spans="1:9" x14ac:dyDescent="0.35">
      <c r="A3843" s="2" t="s">
        <v>355</v>
      </c>
      <c r="B3843" s="3">
        <v>45323</v>
      </c>
      <c r="C3843" s="2">
        <v>20</v>
      </c>
      <c r="D3843" s="2">
        <v>33888</v>
      </c>
      <c r="E3843" s="17">
        <v>70878.83</v>
      </c>
      <c r="F3843" s="11">
        <v>6.7</v>
      </c>
      <c r="G3843" s="9">
        <v>5036.3</v>
      </c>
      <c r="H3843" s="10">
        <v>0.55000000000000004</v>
      </c>
      <c r="I3843" s="11">
        <v>7.1</v>
      </c>
    </row>
    <row r="3844" spans="1:9" x14ac:dyDescent="0.35">
      <c r="A3844" s="2" t="s">
        <v>355</v>
      </c>
      <c r="B3844" s="3">
        <v>45352</v>
      </c>
      <c r="C3844" s="2">
        <v>19</v>
      </c>
      <c r="D3844" s="2">
        <v>24969</v>
      </c>
      <c r="E3844" s="17">
        <v>56258.05</v>
      </c>
      <c r="F3844" s="11">
        <v>6.51</v>
      </c>
      <c r="G3844" s="9">
        <v>3892.2</v>
      </c>
      <c r="H3844" s="10">
        <v>0.316</v>
      </c>
      <c r="I3844" s="11">
        <v>7.3</v>
      </c>
    </row>
    <row r="3845" spans="1:9" x14ac:dyDescent="0.35">
      <c r="A3845" s="2" t="s">
        <v>355</v>
      </c>
      <c r="B3845" s="3">
        <v>45383</v>
      </c>
      <c r="C3845" s="2">
        <v>20</v>
      </c>
      <c r="D3845" s="2">
        <v>26930</v>
      </c>
      <c r="E3845" s="17">
        <v>59394.13</v>
      </c>
      <c r="F3845" s="11">
        <v>6.4</v>
      </c>
      <c r="G3845" s="9">
        <v>4263.5</v>
      </c>
      <c r="H3845" s="10">
        <v>0.55000000000000004</v>
      </c>
      <c r="I3845" s="11">
        <v>8.3000000000000007</v>
      </c>
    </row>
    <row r="3846" spans="1:9" x14ac:dyDescent="0.35">
      <c r="A3846" s="2" t="s">
        <v>355</v>
      </c>
      <c r="B3846" s="3">
        <v>45413</v>
      </c>
      <c r="C3846" s="2">
        <v>13</v>
      </c>
      <c r="D3846" s="2">
        <v>20945</v>
      </c>
      <c r="E3846" s="17">
        <v>42923.25</v>
      </c>
      <c r="F3846" s="11">
        <v>6.66</v>
      </c>
      <c r="G3846" s="9">
        <v>3140.8</v>
      </c>
      <c r="H3846" s="10">
        <v>0.46200000000000002</v>
      </c>
      <c r="I3846" s="11">
        <v>6.1</v>
      </c>
    </row>
    <row r="3847" spans="1:9" x14ac:dyDescent="0.35">
      <c r="A3847" s="2" t="s">
        <v>355</v>
      </c>
      <c r="B3847" s="3">
        <v>45444</v>
      </c>
      <c r="C3847" s="2">
        <v>20</v>
      </c>
      <c r="D3847" s="2">
        <v>33750</v>
      </c>
      <c r="E3847" s="17">
        <v>72534.86</v>
      </c>
      <c r="F3847" s="11">
        <v>6.56</v>
      </c>
      <c r="G3847" s="9">
        <v>5134.1000000000004</v>
      </c>
      <c r="H3847" s="10">
        <v>0.55000000000000004</v>
      </c>
      <c r="I3847" s="11">
        <v>6.5</v>
      </c>
    </row>
    <row r="3848" spans="1:9" x14ac:dyDescent="0.35">
      <c r="A3848" s="2" t="s">
        <v>355</v>
      </c>
      <c r="B3848" s="3">
        <v>45474</v>
      </c>
      <c r="C3848" s="2">
        <v>26</v>
      </c>
      <c r="D3848" s="2">
        <v>34246</v>
      </c>
      <c r="E3848" s="17">
        <v>73025.72</v>
      </c>
      <c r="F3848" s="11">
        <v>6.67</v>
      </c>
      <c r="G3848" s="9">
        <v>5183.3</v>
      </c>
      <c r="H3848" s="10">
        <v>0.42299999999999999</v>
      </c>
      <c r="I3848" s="11">
        <v>6.6</v>
      </c>
    </row>
    <row r="3849" spans="1:9" x14ac:dyDescent="0.35">
      <c r="A3849" s="2" t="s">
        <v>355</v>
      </c>
      <c r="B3849" s="3">
        <v>45505</v>
      </c>
      <c r="C3849" s="2">
        <v>15</v>
      </c>
      <c r="D3849" s="2">
        <v>17922</v>
      </c>
      <c r="E3849" s="17">
        <v>36950.120000000003</v>
      </c>
      <c r="F3849" s="11">
        <v>6.38</v>
      </c>
      <c r="G3849" s="9">
        <v>2844.6</v>
      </c>
      <c r="H3849" s="10">
        <v>0.13300000000000001</v>
      </c>
      <c r="I3849" s="11">
        <v>7.6</v>
      </c>
    </row>
    <row r="3850" spans="1:9" x14ac:dyDescent="0.35">
      <c r="A3850" s="2" t="s">
        <v>355</v>
      </c>
      <c r="B3850" s="3">
        <v>45536</v>
      </c>
      <c r="C3850" s="2">
        <v>26</v>
      </c>
      <c r="D3850" s="2">
        <v>38945</v>
      </c>
      <c r="E3850" s="17">
        <v>88626.880000000005</v>
      </c>
      <c r="F3850" s="11">
        <v>6.58</v>
      </c>
      <c r="G3850" s="9">
        <v>5926.1</v>
      </c>
      <c r="H3850" s="10">
        <v>0.34599999999999997</v>
      </c>
      <c r="I3850" s="11">
        <v>7.9</v>
      </c>
    </row>
    <row r="3851" spans="1:9" x14ac:dyDescent="0.35">
      <c r="A3851" s="2" t="s">
        <v>355</v>
      </c>
      <c r="B3851" s="3">
        <v>45566</v>
      </c>
      <c r="C3851" s="2">
        <v>15</v>
      </c>
      <c r="D3851" s="2">
        <v>22161</v>
      </c>
      <c r="E3851" s="17">
        <v>48713.77</v>
      </c>
      <c r="F3851" s="11">
        <v>6.57</v>
      </c>
      <c r="G3851" s="9">
        <v>3421.5</v>
      </c>
      <c r="H3851" s="10">
        <v>0.4</v>
      </c>
      <c r="I3851" s="11">
        <v>7.2</v>
      </c>
    </row>
    <row r="3852" spans="1:9" x14ac:dyDescent="0.35">
      <c r="A3852" s="2" t="s">
        <v>355</v>
      </c>
      <c r="B3852" s="3">
        <v>45597</v>
      </c>
      <c r="C3852" s="2">
        <v>21</v>
      </c>
      <c r="D3852" s="2">
        <v>28836</v>
      </c>
      <c r="E3852" s="17">
        <v>59184.95</v>
      </c>
      <c r="F3852" s="11">
        <v>6.55</v>
      </c>
      <c r="G3852" s="9">
        <v>4366.6000000000004</v>
      </c>
      <c r="H3852" s="10">
        <v>0.42899999999999999</v>
      </c>
      <c r="I3852" s="11">
        <v>6.4</v>
      </c>
    </row>
    <row r="3853" spans="1:9" x14ac:dyDescent="0.35">
      <c r="A3853" s="2" t="s">
        <v>355</v>
      </c>
      <c r="B3853" s="3">
        <v>45627</v>
      </c>
      <c r="C3853" s="2">
        <v>21</v>
      </c>
      <c r="D3853" s="2">
        <v>28883</v>
      </c>
      <c r="E3853" s="17">
        <v>62445.88</v>
      </c>
      <c r="F3853" s="11">
        <v>6.58</v>
      </c>
      <c r="G3853" s="9">
        <v>4435.8999999999996</v>
      </c>
      <c r="H3853" s="10">
        <v>0.47599999999999998</v>
      </c>
      <c r="I3853" s="11">
        <v>8.1</v>
      </c>
    </row>
    <row r="3854" spans="1:9" x14ac:dyDescent="0.35">
      <c r="A3854" s="2" t="s">
        <v>357</v>
      </c>
      <c r="B3854" s="3">
        <v>44562</v>
      </c>
      <c r="C3854" s="2">
        <v>17</v>
      </c>
      <c r="D3854" s="2">
        <v>22613</v>
      </c>
      <c r="E3854" s="17">
        <v>48435.55</v>
      </c>
      <c r="F3854" s="11">
        <v>6.37</v>
      </c>
      <c r="G3854" s="9">
        <v>3557.5</v>
      </c>
      <c r="H3854" s="10">
        <v>0.41199999999999998</v>
      </c>
      <c r="I3854" s="11">
        <v>6.9</v>
      </c>
    </row>
    <row r="3855" spans="1:9" x14ac:dyDescent="0.35">
      <c r="A3855" s="2" t="s">
        <v>357</v>
      </c>
      <c r="B3855" s="3">
        <v>44593</v>
      </c>
      <c r="C3855" s="2">
        <v>11</v>
      </c>
      <c r="D3855" s="2">
        <v>17982</v>
      </c>
      <c r="E3855" s="17">
        <v>35229.96</v>
      </c>
      <c r="F3855" s="11">
        <v>6.6</v>
      </c>
      <c r="G3855" s="9">
        <v>2754.8</v>
      </c>
      <c r="H3855" s="10">
        <v>0.45500000000000002</v>
      </c>
      <c r="I3855" s="11">
        <v>7.8</v>
      </c>
    </row>
    <row r="3856" spans="1:9" x14ac:dyDescent="0.35">
      <c r="A3856" s="2" t="s">
        <v>357</v>
      </c>
      <c r="B3856" s="3">
        <v>44621</v>
      </c>
      <c r="C3856" s="2">
        <v>15</v>
      </c>
      <c r="D3856" s="2">
        <v>25249</v>
      </c>
      <c r="E3856" s="17">
        <v>57124.44</v>
      </c>
      <c r="F3856" s="11">
        <v>6.63</v>
      </c>
      <c r="G3856" s="9">
        <v>3791.9</v>
      </c>
      <c r="H3856" s="10">
        <v>0.53300000000000003</v>
      </c>
      <c r="I3856" s="11">
        <v>6.8</v>
      </c>
    </row>
    <row r="3857" spans="1:9" x14ac:dyDescent="0.35">
      <c r="A3857" s="2" t="s">
        <v>357</v>
      </c>
      <c r="B3857" s="3">
        <v>44652</v>
      </c>
      <c r="C3857" s="2">
        <v>25</v>
      </c>
      <c r="D3857" s="2">
        <v>35338</v>
      </c>
      <c r="E3857" s="17">
        <v>72694.41</v>
      </c>
      <c r="F3857" s="11">
        <v>6.32</v>
      </c>
      <c r="G3857" s="9">
        <v>5611.2</v>
      </c>
      <c r="H3857" s="10">
        <v>0.36</v>
      </c>
      <c r="I3857" s="11">
        <v>7.3</v>
      </c>
    </row>
    <row r="3858" spans="1:9" x14ac:dyDescent="0.35">
      <c r="A3858" s="2" t="s">
        <v>357</v>
      </c>
      <c r="B3858" s="3">
        <v>44682</v>
      </c>
      <c r="C3858" s="2">
        <v>20</v>
      </c>
      <c r="D3858" s="2">
        <v>23950</v>
      </c>
      <c r="E3858" s="17">
        <v>55779.58</v>
      </c>
      <c r="F3858" s="11">
        <v>6.54</v>
      </c>
      <c r="G3858" s="9">
        <v>3692.6</v>
      </c>
      <c r="H3858" s="10">
        <v>0.45</v>
      </c>
      <c r="I3858" s="11">
        <v>7.1</v>
      </c>
    </row>
    <row r="3859" spans="1:9" x14ac:dyDescent="0.35">
      <c r="A3859" s="2" t="s">
        <v>357</v>
      </c>
      <c r="B3859" s="3">
        <v>44713</v>
      </c>
      <c r="C3859" s="2">
        <v>18</v>
      </c>
      <c r="D3859" s="2">
        <v>24440</v>
      </c>
      <c r="E3859" s="17">
        <v>50599.42</v>
      </c>
      <c r="F3859" s="11">
        <v>6.4</v>
      </c>
      <c r="G3859" s="9">
        <v>3785.2</v>
      </c>
      <c r="H3859" s="10">
        <v>0.5</v>
      </c>
      <c r="I3859" s="11">
        <v>6.2</v>
      </c>
    </row>
    <row r="3860" spans="1:9" x14ac:dyDescent="0.35">
      <c r="A3860" s="2" t="s">
        <v>357</v>
      </c>
      <c r="B3860" s="3">
        <v>44743</v>
      </c>
      <c r="C3860" s="2">
        <v>20</v>
      </c>
      <c r="D3860" s="2">
        <v>30667</v>
      </c>
      <c r="E3860" s="17">
        <v>68601.990000000005</v>
      </c>
      <c r="F3860" s="11">
        <v>6.54</v>
      </c>
      <c r="G3860" s="9">
        <v>4678.3</v>
      </c>
      <c r="H3860" s="10">
        <v>0.5</v>
      </c>
      <c r="I3860" s="11">
        <v>6.3</v>
      </c>
    </row>
    <row r="3861" spans="1:9" x14ac:dyDescent="0.35">
      <c r="A3861" s="2" t="s">
        <v>357</v>
      </c>
      <c r="B3861" s="3">
        <v>44774</v>
      </c>
      <c r="C3861" s="2">
        <v>20</v>
      </c>
      <c r="D3861" s="2">
        <v>26846</v>
      </c>
      <c r="E3861" s="17">
        <v>61596.12</v>
      </c>
      <c r="F3861" s="11">
        <v>6.67</v>
      </c>
      <c r="G3861" s="9">
        <v>4085.6</v>
      </c>
      <c r="H3861" s="10">
        <v>0.3</v>
      </c>
      <c r="I3861" s="11">
        <v>6.7</v>
      </c>
    </row>
    <row r="3862" spans="1:9" x14ac:dyDescent="0.35">
      <c r="A3862" s="2" t="s">
        <v>357</v>
      </c>
      <c r="B3862" s="3">
        <v>44805</v>
      </c>
      <c r="C3862" s="2">
        <v>20</v>
      </c>
      <c r="D3862" s="2">
        <v>27573</v>
      </c>
      <c r="E3862" s="17">
        <v>59739.12</v>
      </c>
      <c r="F3862" s="11">
        <v>6.49</v>
      </c>
      <c r="G3862" s="9">
        <v>4235.1000000000004</v>
      </c>
      <c r="H3862" s="10">
        <v>0.6</v>
      </c>
      <c r="I3862" s="11">
        <v>7.6</v>
      </c>
    </row>
    <row r="3863" spans="1:9" x14ac:dyDescent="0.35">
      <c r="A3863" s="2" t="s">
        <v>357</v>
      </c>
      <c r="B3863" s="3">
        <v>44835</v>
      </c>
      <c r="C3863" s="2">
        <v>21</v>
      </c>
      <c r="D3863" s="2">
        <v>24366</v>
      </c>
      <c r="E3863" s="17">
        <v>55650.21</v>
      </c>
      <c r="F3863" s="11">
        <v>6.45</v>
      </c>
      <c r="G3863" s="9">
        <v>3854.7</v>
      </c>
      <c r="H3863" s="10">
        <v>0.52400000000000002</v>
      </c>
      <c r="I3863" s="11">
        <v>7.1</v>
      </c>
    </row>
    <row r="3864" spans="1:9" x14ac:dyDescent="0.35">
      <c r="A3864" s="2" t="s">
        <v>357</v>
      </c>
      <c r="B3864" s="3">
        <v>44866</v>
      </c>
      <c r="C3864" s="2">
        <v>18</v>
      </c>
      <c r="D3864" s="2">
        <v>23072</v>
      </c>
      <c r="E3864" s="17">
        <v>49254.36</v>
      </c>
      <c r="F3864" s="11">
        <v>6.73</v>
      </c>
      <c r="G3864" s="9">
        <v>3549</v>
      </c>
      <c r="H3864" s="10">
        <v>0.44400000000000001</v>
      </c>
      <c r="I3864" s="11">
        <v>7.2</v>
      </c>
    </row>
    <row r="3865" spans="1:9" x14ac:dyDescent="0.35">
      <c r="A3865" s="2" t="s">
        <v>357</v>
      </c>
      <c r="B3865" s="3">
        <v>44896</v>
      </c>
      <c r="C3865" s="2">
        <v>14</v>
      </c>
      <c r="D3865" s="2">
        <v>20027</v>
      </c>
      <c r="E3865" s="17">
        <v>42333.5</v>
      </c>
      <c r="F3865" s="11">
        <v>6.59</v>
      </c>
      <c r="G3865" s="9">
        <v>3087.2</v>
      </c>
      <c r="H3865" s="10">
        <v>0.42899999999999999</v>
      </c>
      <c r="I3865" s="11">
        <v>7</v>
      </c>
    </row>
    <row r="3866" spans="1:9" x14ac:dyDescent="0.35">
      <c r="A3866" s="2" t="s">
        <v>357</v>
      </c>
      <c r="B3866" s="3">
        <v>44927</v>
      </c>
      <c r="C3866" s="2">
        <v>16</v>
      </c>
      <c r="D3866" s="2">
        <v>23124</v>
      </c>
      <c r="E3866" s="17">
        <v>52123.42</v>
      </c>
      <c r="F3866" s="11">
        <v>6.79</v>
      </c>
      <c r="G3866" s="9">
        <v>3402.3</v>
      </c>
      <c r="H3866" s="10">
        <v>0.68799999999999994</v>
      </c>
      <c r="I3866" s="11">
        <v>6.9</v>
      </c>
    </row>
    <row r="3867" spans="1:9" x14ac:dyDescent="0.35">
      <c r="A3867" s="2" t="s">
        <v>357</v>
      </c>
      <c r="B3867" s="3">
        <v>44958</v>
      </c>
      <c r="C3867" s="2">
        <v>14</v>
      </c>
      <c r="D3867" s="2">
        <v>26887</v>
      </c>
      <c r="E3867" s="17">
        <v>64817.02</v>
      </c>
      <c r="F3867" s="11">
        <v>6.44</v>
      </c>
      <c r="G3867" s="9">
        <v>4212.8</v>
      </c>
      <c r="H3867" s="10">
        <v>0.42899999999999999</v>
      </c>
      <c r="I3867" s="11">
        <v>7.2</v>
      </c>
    </row>
    <row r="3868" spans="1:9" x14ac:dyDescent="0.35">
      <c r="A3868" s="2" t="s">
        <v>357</v>
      </c>
      <c r="B3868" s="3">
        <v>44986</v>
      </c>
      <c r="C3868" s="2">
        <v>20</v>
      </c>
      <c r="D3868" s="2">
        <v>26556</v>
      </c>
      <c r="E3868" s="17">
        <v>56774.26</v>
      </c>
      <c r="F3868" s="11">
        <v>6.42</v>
      </c>
      <c r="G3868" s="9">
        <v>4144.8999999999996</v>
      </c>
      <c r="H3868" s="10">
        <v>0.5</v>
      </c>
      <c r="I3868" s="11">
        <v>6</v>
      </c>
    </row>
    <row r="3869" spans="1:9" x14ac:dyDescent="0.35">
      <c r="A3869" s="2" t="s">
        <v>357</v>
      </c>
      <c r="B3869" s="3">
        <v>45017</v>
      </c>
      <c r="C3869" s="2">
        <v>18</v>
      </c>
      <c r="D3869" s="2">
        <v>32083</v>
      </c>
      <c r="E3869" s="17">
        <v>69247</v>
      </c>
      <c r="F3869" s="11">
        <v>6.6</v>
      </c>
      <c r="G3869" s="9">
        <v>4933.6000000000004</v>
      </c>
      <c r="H3869" s="10">
        <v>0.33300000000000002</v>
      </c>
      <c r="I3869" s="11">
        <v>7.1</v>
      </c>
    </row>
    <row r="3870" spans="1:9" x14ac:dyDescent="0.35">
      <c r="A3870" s="2" t="s">
        <v>357</v>
      </c>
      <c r="B3870" s="3">
        <v>45047</v>
      </c>
      <c r="C3870" s="2">
        <v>10</v>
      </c>
      <c r="D3870" s="2">
        <v>13602</v>
      </c>
      <c r="E3870" s="17">
        <v>28113.14</v>
      </c>
      <c r="F3870" s="11">
        <v>6.52</v>
      </c>
      <c r="G3870" s="9">
        <v>2121.6999999999998</v>
      </c>
      <c r="H3870" s="10">
        <v>0.4</v>
      </c>
      <c r="I3870" s="11">
        <v>6.5</v>
      </c>
    </row>
    <row r="3871" spans="1:9" x14ac:dyDescent="0.35">
      <c r="A3871" s="2" t="s">
        <v>357</v>
      </c>
      <c r="B3871" s="3">
        <v>45078</v>
      </c>
      <c r="C3871" s="2">
        <v>30</v>
      </c>
      <c r="D3871" s="2">
        <v>45935</v>
      </c>
      <c r="E3871" s="17">
        <v>101166.82</v>
      </c>
      <c r="F3871" s="11">
        <v>6.47</v>
      </c>
      <c r="G3871" s="9">
        <v>7090.4</v>
      </c>
      <c r="H3871" s="10">
        <v>0.46700000000000003</v>
      </c>
      <c r="I3871" s="11">
        <v>6.5</v>
      </c>
    </row>
    <row r="3872" spans="1:9" x14ac:dyDescent="0.35">
      <c r="A3872" s="2" t="s">
        <v>357</v>
      </c>
      <c r="B3872" s="3">
        <v>45108</v>
      </c>
      <c r="C3872" s="2">
        <v>19</v>
      </c>
      <c r="D3872" s="2">
        <v>30949</v>
      </c>
      <c r="E3872" s="17">
        <v>61934.76</v>
      </c>
      <c r="F3872" s="11">
        <v>6.31</v>
      </c>
      <c r="G3872" s="9">
        <v>4943.2</v>
      </c>
      <c r="H3872" s="10">
        <v>0.36799999999999999</v>
      </c>
      <c r="I3872" s="11">
        <v>7.7</v>
      </c>
    </row>
    <row r="3873" spans="1:9" x14ac:dyDescent="0.35">
      <c r="A3873" s="2" t="s">
        <v>357</v>
      </c>
      <c r="B3873" s="3">
        <v>45139</v>
      </c>
      <c r="C3873" s="2">
        <v>17</v>
      </c>
      <c r="D3873" s="2">
        <v>27384</v>
      </c>
      <c r="E3873" s="17">
        <v>53947.48</v>
      </c>
      <c r="F3873" s="11">
        <v>6.63</v>
      </c>
      <c r="G3873" s="9">
        <v>4119.8999999999996</v>
      </c>
      <c r="H3873" s="10">
        <v>0.58799999999999997</v>
      </c>
      <c r="I3873" s="11">
        <v>7.8</v>
      </c>
    </row>
    <row r="3874" spans="1:9" x14ac:dyDescent="0.35">
      <c r="A3874" s="2" t="s">
        <v>357</v>
      </c>
      <c r="B3874" s="3">
        <v>45170</v>
      </c>
      <c r="C3874" s="2">
        <v>15</v>
      </c>
      <c r="D3874" s="2">
        <v>18888</v>
      </c>
      <c r="E3874" s="17">
        <v>39044.83</v>
      </c>
      <c r="F3874" s="11">
        <v>6.51</v>
      </c>
      <c r="G3874" s="9">
        <v>2905.7</v>
      </c>
      <c r="H3874" s="10">
        <v>0.4</v>
      </c>
      <c r="I3874" s="11">
        <v>6.8</v>
      </c>
    </row>
    <row r="3875" spans="1:9" x14ac:dyDescent="0.35">
      <c r="A3875" s="2" t="s">
        <v>357</v>
      </c>
      <c r="B3875" s="3">
        <v>45200</v>
      </c>
      <c r="C3875" s="2">
        <v>14</v>
      </c>
      <c r="D3875" s="2">
        <v>23162</v>
      </c>
      <c r="E3875" s="17">
        <v>52364.6</v>
      </c>
      <c r="F3875" s="11">
        <v>6.3</v>
      </c>
      <c r="G3875" s="9">
        <v>3581.6</v>
      </c>
      <c r="H3875" s="10">
        <v>0.42899999999999999</v>
      </c>
      <c r="I3875" s="11">
        <v>7.4</v>
      </c>
    </row>
    <row r="3876" spans="1:9" x14ac:dyDescent="0.35">
      <c r="A3876" s="2" t="s">
        <v>357</v>
      </c>
      <c r="B3876" s="3">
        <v>45231</v>
      </c>
      <c r="C3876" s="2">
        <v>22</v>
      </c>
      <c r="D3876" s="2">
        <v>29160</v>
      </c>
      <c r="E3876" s="17">
        <v>61284.85</v>
      </c>
      <c r="F3876" s="11">
        <v>6.52</v>
      </c>
      <c r="G3876" s="9">
        <v>4573.8</v>
      </c>
      <c r="H3876" s="10">
        <v>0.318</v>
      </c>
      <c r="I3876" s="11">
        <v>6.6</v>
      </c>
    </row>
    <row r="3877" spans="1:9" x14ac:dyDescent="0.35">
      <c r="A3877" s="2" t="s">
        <v>357</v>
      </c>
      <c r="B3877" s="3">
        <v>45261</v>
      </c>
      <c r="C3877" s="2">
        <v>24</v>
      </c>
      <c r="D3877" s="2">
        <v>35603</v>
      </c>
      <c r="E3877" s="17">
        <v>76230.77</v>
      </c>
      <c r="F3877" s="11">
        <v>6.35</v>
      </c>
      <c r="G3877" s="9">
        <v>5628</v>
      </c>
      <c r="H3877" s="10">
        <v>0.54200000000000004</v>
      </c>
      <c r="I3877" s="11">
        <v>6.7</v>
      </c>
    </row>
    <row r="3878" spans="1:9" x14ac:dyDescent="0.35">
      <c r="A3878" s="2" t="s">
        <v>357</v>
      </c>
      <c r="B3878" s="3">
        <v>45292</v>
      </c>
      <c r="C3878" s="2">
        <v>24</v>
      </c>
      <c r="D3878" s="2">
        <v>34037</v>
      </c>
      <c r="E3878" s="17">
        <v>78919.350000000006</v>
      </c>
      <c r="F3878" s="11">
        <v>6.29</v>
      </c>
      <c r="G3878" s="9">
        <v>5451.3</v>
      </c>
      <c r="H3878" s="10">
        <v>0.41699999999999998</v>
      </c>
      <c r="I3878" s="11">
        <v>7.6</v>
      </c>
    </row>
    <row r="3879" spans="1:9" x14ac:dyDescent="0.35">
      <c r="A3879" s="2" t="s">
        <v>357</v>
      </c>
      <c r="B3879" s="3">
        <v>45323</v>
      </c>
      <c r="C3879" s="2">
        <v>26</v>
      </c>
      <c r="D3879" s="2">
        <v>36630</v>
      </c>
      <c r="E3879" s="17">
        <v>77386.5</v>
      </c>
      <c r="F3879" s="11">
        <v>6.38</v>
      </c>
      <c r="G3879" s="9">
        <v>5668.4</v>
      </c>
      <c r="H3879" s="10">
        <v>0.5</v>
      </c>
      <c r="I3879" s="11">
        <v>7.6</v>
      </c>
    </row>
    <row r="3880" spans="1:9" x14ac:dyDescent="0.35">
      <c r="A3880" s="2" t="s">
        <v>357</v>
      </c>
      <c r="B3880" s="3">
        <v>45352</v>
      </c>
      <c r="C3880" s="2">
        <v>18</v>
      </c>
      <c r="D3880" s="2">
        <v>29586</v>
      </c>
      <c r="E3880" s="17">
        <v>65448.78</v>
      </c>
      <c r="F3880" s="11">
        <v>6.51</v>
      </c>
      <c r="G3880" s="9">
        <v>4596.5</v>
      </c>
      <c r="H3880" s="10">
        <v>0.44400000000000001</v>
      </c>
      <c r="I3880" s="11">
        <v>7.9</v>
      </c>
    </row>
    <row r="3881" spans="1:9" x14ac:dyDescent="0.35">
      <c r="A3881" s="2" t="s">
        <v>357</v>
      </c>
      <c r="B3881" s="3">
        <v>45383</v>
      </c>
      <c r="C3881" s="2">
        <v>24</v>
      </c>
      <c r="D3881" s="2">
        <v>35925</v>
      </c>
      <c r="E3881" s="17">
        <v>76235.990000000005</v>
      </c>
      <c r="F3881" s="11">
        <v>6.66</v>
      </c>
      <c r="G3881" s="9">
        <v>5413.4</v>
      </c>
      <c r="H3881" s="10">
        <v>0.5</v>
      </c>
      <c r="I3881" s="11">
        <v>6.4</v>
      </c>
    </row>
    <row r="3882" spans="1:9" x14ac:dyDescent="0.35">
      <c r="A3882" s="2" t="s">
        <v>357</v>
      </c>
      <c r="B3882" s="3">
        <v>45413</v>
      </c>
      <c r="C3882" s="2">
        <v>24</v>
      </c>
      <c r="D3882" s="2">
        <v>40138</v>
      </c>
      <c r="E3882" s="17">
        <v>91828.21</v>
      </c>
      <c r="F3882" s="11">
        <v>6.35</v>
      </c>
      <c r="G3882" s="9">
        <v>6414.6</v>
      </c>
      <c r="H3882" s="10">
        <v>0.29199999999999998</v>
      </c>
      <c r="I3882" s="11">
        <v>6.3</v>
      </c>
    </row>
    <row r="3883" spans="1:9" x14ac:dyDescent="0.35">
      <c r="A3883" s="2" t="s">
        <v>357</v>
      </c>
      <c r="B3883" s="3">
        <v>45444</v>
      </c>
      <c r="C3883" s="2">
        <v>20</v>
      </c>
      <c r="D3883" s="2">
        <v>25178</v>
      </c>
      <c r="E3883" s="17">
        <v>51994.59</v>
      </c>
      <c r="F3883" s="11">
        <v>6.5</v>
      </c>
      <c r="G3883" s="9">
        <v>3875.6</v>
      </c>
      <c r="H3883" s="10">
        <v>0.4</v>
      </c>
      <c r="I3883" s="11">
        <v>6</v>
      </c>
    </row>
    <row r="3884" spans="1:9" x14ac:dyDescent="0.35">
      <c r="A3884" s="2" t="s">
        <v>357</v>
      </c>
      <c r="B3884" s="3">
        <v>45474</v>
      </c>
      <c r="C3884" s="2">
        <v>22</v>
      </c>
      <c r="D3884" s="2">
        <v>30881</v>
      </c>
      <c r="E3884" s="17">
        <v>66592</v>
      </c>
      <c r="F3884" s="11">
        <v>6.52</v>
      </c>
      <c r="G3884" s="9">
        <v>4763.3</v>
      </c>
      <c r="H3884" s="10">
        <v>0.318</v>
      </c>
      <c r="I3884" s="11">
        <v>6.7</v>
      </c>
    </row>
    <row r="3885" spans="1:9" x14ac:dyDescent="0.35">
      <c r="A3885" s="2" t="s">
        <v>357</v>
      </c>
      <c r="B3885" s="3">
        <v>45505</v>
      </c>
      <c r="C3885" s="2">
        <v>23</v>
      </c>
      <c r="D3885" s="2">
        <v>31606</v>
      </c>
      <c r="E3885" s="17">
        <v>65340.53</v>
      </c>
      <c r="F3885" s="11">
        <v>6.44</v>
      </c>
      <c r="G3885" s="9">
        <v>4997.7</v>
      </c>
      <c r="H3885" s="10">
        <v>0.39100000000000001</v>
      </c>
      <c r="I3885" s="11">
        <v>6.6</v>
      </c>
    </row>
    <row r="3886" spans="1:9" x14ac:dyDescent="0.35">
      <c r="A3886" s="2" t="s">
        <v>357</v>
      </c>
      <c r="B3886" s="3">
        <v>45536</v>
      </c>
      <c r="C3886" s="2">
        <v>16</v>
      </c>
      <c r="D3886" s="2">
        <v>24692</v>
      </c>
      <c r="E3886" s="17">
        <v>55247.95</v>
      </c>
      <c r="F3886" s="11">
        <v>6.27</v>
      </c>
      <c r="G3886" s="9">
        <v>4038.1</v>
      </c>
      <c r="H3886" s="10">
        <v>0.5</v>
      </c>
      <c r="I3886" s="11">
        <v>7.1</v>
      </c>
    </row>
    <row r="3887" spans="1:9" x14ac:dyDescent="0.35">
      <c r="A3887" s="2" t="s">
        <v>357</v>
      </c>
      <c r="B3887" s="3">
        <v>45566</v>
      </c>
      <c r="C3887" s="2">
        <v>17</v>
      </c>
      <c r="D3887" s="2">
        <v>29310</v>
      </c>
      <c r="E3887" s="17">
        <v>68284.990000000005</v>
      </c>
      <c r="F3887" s="11">
        <v>6.68</v>
      </c>
      <c r="G3887" s="9">
        <v>4344.2</v>
      </c>
      <c r="H3887" s="10">
        <v>0.35299999999999998</v>
      </c>
      <c r="I3887" s="11">
        <v>6.6</v>
      </c>
    </row>
    <row r="3888" spans="1:9" x14ac:dyDescent="0.35">
      <c r="A3888" s="2" t="s">
        <v>357</v>
      </c>
      <c r="B3888" s="3">
        <v>45597</v>
      </c>
      <c r="C3888" s="2">
        <v>22</v>
      </c>
      <c r="D3888" s="2">
        <v>31792</v>
      </c>
      <c r="E3888" s="17">
        <v>69901.990000000005</v>
      </c>
      <c r="F3888" s="11">
        <v>6.68</v>
      </c>
      <c r="G3888" s="9">
        <v>4799.2</v>
      </c>
      <c r="H3888" s="10">
        <v>0.63600000000000001</v>
      </c>
      <c r="I3888" s="11">
        <v>6.9</v>
      </c>
    </row>
    <row r="3889" spans="1:9" x14ac:dyDescent="0.35">
      <c r="A3889" s="2" t="s">
        <v>357</v>
      </c>
      <c r="B3889" s="3">
        <v>45627</v>
      </c>
      <c r="C3889" s="2">
        <v>13</v>
      </c>
      <c r="D3889" s="2">
        <v>20255</v>
      </c>
      <c r="E3889" s="17">
        <v>43882.41</v>
      </c>
      <c r="F3889" s="11">
        <v>6.45</v>
      </c>
      <c r="G3889" s="9">
        <v>3174.1</v>
      </c>
      <c r="H3889" s="10">
        <v>0.38500000000000001</v>
      </c>
      <c r="I3889" s="11">
        <v>7.1</v>
      </c>
    </row>
    <row r="3890" spans="1:9" x14ac:dyDescent="0.35">
      <c r="A3890" s="2" t="s">
        <v>359</v>
      </c>
      <c r="B3890" s="3">
        <v>44562</v>
      </c>
      <c r="C3890" s="2">
        <v>11</v>
      </c>
      <c r="D3890" s="2">
        <v>14495</v>
      </c>
      <c r="E3890" s="17">
        <v>31589.71</v>
      </c>
      <c r="F3890" s="11">
        <v>6.26</v>
      </c>
      <c r="G3890" s="9">
        <v>2329.6</v>
      </c>
      <c r="H3890" s="10">
        <v>0.36399999999999999</v>
      </c>
      <c r="I3890" s="11">
        <v>5</v>
      </c>
    </row>
    <row r="3891" spans="1:9" x14ac:dyDescent="0.35">
      <c r="A3891" s="2" t="s">
        <v>359</v>
      </c>
      <c r="B3891" s="3">
        <v>44593</v>
      </c>
      <c r="C3891" s="2">
        <v>18</v>
      </c>
      <c r="D3891" s="2">
        <v>22534</v>
      </c>
      <c r="E3891" s="17">
        <v>47039.05</v>
      </c>
      <c r="F3891" s="11">
        <v>6.29</v>
      </c>
      <c r="G3891" s="9">
        <v>3555</v>
      </c>
      <c r="H3891" s="10">
        <v>0.27800000000000002</v>
      </c>
      <c r="I3891" s="11">
        <v>7.6</v>
      </c>
    </row>
    <row r="3892" spans="1:9" x14ac:dyDescent="0.35">
      <c r="A3892" s="2" t="s">
        <v>359</v>
      </c>
      <c r="B3892" s="3">
        <v>44621</v>
      </c>
      <c r="C3892" s="2">
        <v>20</v>
      </c>
      <c r="D3892" s="2">
        <v>26465</v>
      </c>
      <c r="E3892" s="17">
        <v>58013.39</v>
      </c>
      <c r="F3892" s="11">
        <v>6.27</v>
      </c>
      <c r="G3892" s="9">
        <v>4293.8</v>
      </c>
      <c r="H3892" s="10">
        <v>0.45</v>
      </c>
      <c r="I3892" s="11">
        <v>6.7</v>
      </c>
    </row>
    <row r="3893" spans="1:9" x14ac:dyDescent="0.35">
      <c r="A3893" s="2" t="s">
        <v>359</v>
      </c>
      <c r="B3893" s="3">
        <v>44652</v>
      </c>
      <c r="C3893" s="2">
        <v>15</v>
      </c>
      <c r="D3893" s="2">
        <v>23832</v>
      </c>
      <c r="E3893" s="17">
        <v>55008.41</v>
      </c>
      <c r="F3893" s="11">
        <v>6.48</v>
      </c>
      <c r="G3893" s="9">
        <v>3706.8</v>
      </c>
      <c r="H3893" s="10">
        <v>0.33300000000000002</v>
      </c>
      <c r="I3893" s="11">
        <v>7.1</v>
      </c>
    </row>
    <row r="3894" spans="1:9" x14ac:dyDescent="0.35">
      <c r="A3894" s="2" t="s">
        <v>359</v>
      </c>
      <c r="B3894" s="3">
        <v>44682</v>
      </c>
      <c r="C3894" s="2">
        <v>26</v>
      </c>
      <c r="D3894" s="2">
        <v>41994</v>
      </c>
      <c r="E3894" s="17">
        <v>94107.81</v>
      </c>
      <c r="F3894" s="11">
        <v>6.61</v>
      </c>
      <c r="G3894" s="9">
        <v>6472.2</v>
      </c>
      <c r="H3894" s="10">
        <v>0.34599999999999997</v>
      </c>
      <c r="I3894" s="11">
        <v>6.2</v>
      </c>
    </row>
    <row r="3895" spans="1:9" x14ac:dyDescent="0.35">
      <c r="A3895" s="2" t="s">
        <v>359</v>
      </c>
      <c r="B3895" s="3">
        <v>44713</v>
      </c>
      <c r="C3895" s="2">
        <v>23</v>
      </c>
      <c r="D3895" s="2">
        <v>35211</v>
      </c>
      <c r="E3895" s="17">
        <v>71755.67</v>
      </c>
      <c r="F3895" s="11">
        <v>6.38</v>
      </c>
      <c r="G3895" s="9">
        <v>5626.9</v>
      </c>
      <c r="H3895" s="10">
        <v>0.39100000000000001</v>
      </c>
      <c r="I3895" s="11">
        <v>6.6</v>
      </c>
    </row>
    <row r="3896" spans="1:9" x14ac:dyDescent="0.35">
      <c r="A3896" s="2" t="s">
        <v>359</v>
      </c>
      <c r="B3896" s="3">
        <v>44743</v>
      </c>
      <c r="C3896" s="2">
        <v>18</v>
      </c>
      <c r="D3896" s="2">
        <v>21030</v>
      </c>
      <c r="E3896" s="17">
        <v>47104.99</v>
      </c>
      <c r="F3896" s="11">
        <v>6.27</v>
      </c>
      <c r="G3896" s="9">
        <v>3384.5</v>
      </c>
      <c r="H3896" s="10">
        <v>0.33300000000000002</v>
      </c>
      <c r="I3896" s="11">
        <v>6.4</v>
      </c>
    </row>
    <row r="3897" spans="1:9" x14ac:dyDescent="0.35">
      <c r="A3897" s="2" t="s">
        <v>359</v>
      </c>
      <c r="B3897" s="3">
        <v>44774</v>
      </c>
      <c r="C3897" s="2">
        <v>10</v>
      </c>
      <c r="D3897" s="2">
        <v>9585</v>
      </c>
      <c r="E3897" s="17">
        <v>22908.99</v>
      </c>
      <c r="F3897" s="11">
        <v>6.63</v>
      </c>
      <c r="G3897" s="9">
        <v>1500.7</v>
      </c>
      <c r="H3897" s="10">
        <v>0.7</v>
      </c>
      <c r="I3897" s="11">
        <v>8.8000000000000007</v>
      </c>
    </row>
    <row r="3898" spans="1:9" x14ac:dyDescent="0.35">
      <c r="A3898" s="2" t="s">
        <v>359</v>
      </c>
      <c r="B3898" s="3">
        <v>44805</v>
      </c>
      <c r="C3898" s="2">
        <v>21</v>
      </c>
      <c r="D3898" s="2">
        <v>32237</v>
      </c>
      <c r="E3898" s="17">
        <v>75939.63</v>
      </c>
      <c r="F3898" s="11">
        <v>6.55</v>
      </c>
      <c r="G3898" s="9">
        <v>4935.8</v>
      </c>
      <c r="H3898" s="10">
        <v>0.38100000000000001</v>
      </c>
      <c r="I3898" s="11">
        <v>6.6</v>
      </c>
    </row>
    <row r="3899" spans="1:9" x14ac:dyDescent="0.35">
      <c r="A3899" s="2" t="s">
        <v>359</v>
      </c>
      <c r="B3899" s="3">
        <v>44835</v>
      </c>
      <c r="C3899" s="2">
        <v>21</v>
      </c>
      <c r="D3899" s="2">
        <v>36116</v>
      </c>
      <c r="E3899" s="17">
        <v>82088.05</v>
      </c>
      <c r="F3899" s="11">
        <v>6.41</v>
      </c>
      <c r="G3899" s="9">
        <v>5626.6</v>
      </c>
      <c r="H3899" s="10">
        <v>0.57099999999999995</v>
      </c>
      <c r="I3899" s="11">
        <v>7.8</v>
      </c>
    </row>
    <row r="3900" spans="1:9" x14ac:dyDescent="0.35">
      <c r="A3900" s="2" t="s">
        <v>359</v>
      </c>
      <c r="B3900" s="3">
        <v>44866</v>
      </c>
      <c r="C3900" s="2">
        <v>25</v>
      </c>
      <c r="D3900" s="2">
        <v>35807</v>
      </c>
      <c r="E3900" s="17">
        <v>70491.399999999994</v>
      </c>
      <c r="F3900" s="11">
        <v>6.38</v>
      </c>
      <c r="G3900" s="9">
        <v>5659.6</v>
      </c>
      <c r="H3900" s="10">
        <v>0.52</v>
      </c>
      <c r="I3900" s="11">
        <v>6.7</v>
      </c>
    </row>
    <row r="3901" spans="1:9" x14ac:dyDescent="0.35">
      <c r="A3901" s="2" t="s">
        <v>359</v>
      </c>
      <c r="B3901" s="3">
        <v>44896</v>
      </c>
      <c r="C3901" s="2">
        <v>24</v>
      </c>
      <c r="D3901" s="2">
        <v>30405</v>
      </c>
      <c r="E3901" s="17">
        <v>63689.77</v>
      </c>
      <c r="F3901" s="11">
        <v>6.31</v>
      </c>
      <c r="G3901" s="9">
        <v>4933.7</v>
      </c>
      <c r="H3901" s="10">
        <v>0.33300000000000002</v>
      </c>
      <c r="I3901" s="11">
        <v>7.3</v>
      </c>
    </row>
    <row r="3902" spans="1:9" x14ac:dyDescent="0.35">
      <c r="A3902" s="2" t="s">
        <v>359</v>
      </c>
      <c r="B3902" s="3">
        <v>44927</v>
      </c>
      <c r="C3902" s="2">
        <v>20</v>
      </c>
      <c r="D3902" s="2">
        <v>29156</v>
      </c>
      <c r="E3902" s="17">
        <v>61925.65</v>
      </c>
      <c r="F3902" s="11">
        <v>6.73</v>
      </c>
      <c r="G3902" s="9">
        <v>4349.5</v>
      </c>
      <c r="H3902" s="10">
        <v>0.5</v>
      </c>
      <c r="I3902" s="11">
        <v>7.4</v>
      </c>
    </row>
    <row r="3903" spans="1:9" x14ac:dyDescent="0.35">
      <c r="A3903" s="2" t="s">
        <v>359</v>
      </c>
      <c r="B3903" s="3">
        <v>44958</v>
      </c>
      <c r="C3903" s="2">
        <v>12</v>
      </c>
      <c r="D3903" s="2">
        <v>16209</v>
      </c>
      <c r="E3903" s="17">
        <v>33582.68</v>
      </c>
      <c r="F3903" s="11">
        <v>6.55</v>
      </c>
      <c r="G3903" s="9">
        <v>2529.6999999999998</v>
      </c>
      <c r="H3903" s="10">
        <v>0.66700000000000004</v>
      </c>
      <c r="I3903" s="11">
        <v>5.2</v>
      </c>
    </row>
    <row r="3904" spans="1:9" x14ac:dyDescent="0.35">
      <c r="A3904" s="2" t="s">
        <v>359</v>
      </c>
      <c r="B3904" s="3">
        <v>44986</v>
      </c>
      <c r="C3904" s="2">
        <v>20</v>
      </c>
      <c r="D3904" s="2">
        <v>26839</v>
      </c>
      <c r="E3904" s="17">
        <v>60064.75</v>
      </c>
      <c r="F3904" s="11">
        <v>6.29</v>
      </c>
      <c r="G3904" s="9">
        <v>4294.3999999999996</v>
      </c>
      <c r="H3904" s="10">
        <v>0.45</v>
      </c>
      <c r="I3904" s="11">
        <v>8.4</v>
      </c>
    </row>
    <row r="3905" spans="1:9" x14ac:dyDescent="0.35">
      <c r="A3905" s="2" t="s">
        <v>359</v>
      </c>
      <c r="B3905" s="3">
        <v>45017</v>
      </c>
      <c r="C3905" s="2">
        <v>16</v>
      </c>
      <c r="D3905" s="2">
        <v>26648</v>
      </c>
      <c r="E3905" s="17">
        <v>59909.87</v>
      </c>
      <c r="F3905" s="11">
        <v>6.54</v>
      </c>
      <c r="G3905" s="9">
        <v>4128.7</v>
      </c>
      <c r="H3905" s="10">
        <v>0.312</v>
      </c>
      <c r="I3905" s="11">
        <v>6.1</v>
      </c>
    </row>
    <row r="3906" spans="1:9" x14ac:dyDescent="0.35">
      <c r="A3906" s="2" t="s">
        <v>359</v>
      </c>
      <c r="B3906" s="3">
        <v>45047</v>
      </c>
      <c r="C3906" s="2">
        <v>26</v>
      </c>
      <c r="D3906" s="2">
        <v>30380</v>
      </c>
      <c r="E3906" s="17">
        <v>69423.78</v>
      </c>
      <c r="F3906" s="11">
        <v>6.52</v>
      </c>
      <c r="G3906" s="9">
        <v>4710.8999999999996</v>
      </c>
      <c r="H3906" s="10">
        <v>0.53800000000000003</v>
      </c>
      <c r="I3906" s="11">
        <v>7.2</v>
      </c>
    </row>
    <row r="3907" spans="1:9" x14ac:dyDescent="0.35">
      <c r="A3907" s="2" t="s">
        <v>359</v>
      </c>
      <c r="B3907" s="3">
        <v>45078</v>
      </c>
      <c r="C3907" s="2">
        <v>8</v>
      </c>
      <c r="D3907" s="2">
        <v>9685</v>
      </c>
      <c r="E3907" s="17">
        <v>21710</v>
      </c>
      <c r="F3907" s="11">
        <v>6.58</v>
      </c>
      <c r="G3907" s="9">
        <v>1473.3</v>
      </c>
      <c r="H3907" s="10">
        <v>0.375</v>
      </c>
      <c r="I3907" s="11">
        <v>6.8</v>
      </c>
    </row>
    <row r="3908" spans="1:9" x14ac:dyDescent="0.35">
      <c r="A3908" s="2" t="s">
        <v>359</v>
      </c>
      <c r="B3908" s="3">
        <v>45108</v>
      </c>
      <c r="C3908" s="2">
        <v>25</v>
      </c>
      <c r="D3908" s="2">
        <v>35330</v>
      </c>
      <c r="E3908" s="17">
        <v>77593.55</v>
      </c>
      <c r="F3908" s="11">
        <v>6.77</v>
      </c>
      <c r="G3908" s="9">
        <v>5207.3999999999996</v>
      </c>
      <c r="H3908" s="10">
        <v>0.48</v>
      </c>
      <c r="I3908" s="11">
        <v>7.9</v>
      </c>
    </row>
    <row r="3909" spans="1:9" x14ac:dyDescent="0.35">
      <c r="A3909" s="2" t="s">
        <v>359</v>
      </c>
      <c r="B3909" s="3">
        <v>45139</v>
      </c>
      <c r="C3909" s="2">
        <v>22</v>
      </c>
      <c r="D3909" s="2">
        <v>29247</v>
      </c>
      <c r="E3909" s="17">
        <v>60613.94</v>
      </c>
      <c r="F3909" s="11">
        <v>6.4</v>
      </c>
      <c r="G3909" s="9">
        <v>4630.3999999999996</v>
      </c>
      <c r="H3909" s="10">
        <v>0.40899999999999997</v>
      </c>
      <c r="I3909" s="11">
        <v>6.6</v>
      </c>
    </row>
    <row r="3910" spans="1:9" x14ac:dyDescent="0.35">
      <c r="A3910" s="2" t="s">
        <v>359</v>
      </c>
      <c r="B3910" s="3">
        <v>45170</v>
      </c>
      <c r="C3910" s="2">
        <v>18</v>
      </c>
      <c r="D3910" s="2">
        <v>25434</v>
      </c>
      <c r="E3910" s="17">
        <v>46516.78</v>
      </c>
      <c r="F3910" s="11">
        <v>6.4</v>
      </c>
      <c r="G3910" s="9">
        <v>4082.4</v>
      </c>
      <c r="H3910" s="10">
        <v>0.44400000000000001</v>
      </c>
      <c r="I3910" s="11">
        <v>7.4</v>
      </c>
    </row>
    <row r="3911" spans="1:9" x14ac:dyDescent="0.35">
      <c r="A3911" s="2" t="s">
        <v>359</v>
      </c>
      <c r="B3911" s="3">
        <v>45200</v>
      </c>
      <c r="C3911" s="2">
        <v>16</v>
      </c>
      <c r="D3911" s="2">
        <v>27631</v>
      </c>
      <c r="E3911" s="17">
        <v>58342.239999999998</v>
      </c>
      <c r="F3911" s="11">
        <v>6.52</v>
      </c>
      <c r="G3911" s="9">
        <v>4307.3999999999996</v>
      </c>
      <c r="H3911" s="10">
        <v>0.375</v>
      </c>
      <c r="I3911" s="11">
        <v>7.6</v>
      </c>
    </row>
    <row r="3912" spans="1:9" x14ac:dyDescent="0.35">
      <c r="A3912" s="2" t="s">
        <v>359</v>
      </c>
      <c r="B3912" s="3">
        <v>45231</v>
      </c>
      <c r="C3912" s="2">
        <v>24</v>
      </c>
      <c r="D3912" s="2">
        <v>35553</v>
      </c>
      <c r="E3912" s="17">
        <v>80961.69</v>
      </c>
      <c r="F3912" s="11">
        <v>6.26</v>
      </c>
      <c r="G3912" s="9">
        <v>5607.5</v>
      </c>
      <c r="H3912" s="10">
        <v>0.45800000000000002</v>
      </c>
      <c r="I3912" s="11">
        <v>7.4</v>
      </c>
    </row>
    <row r="3913" spans="1:9" x14ac:dyDescent="0.35">
      <c r="A3913" s="2" t="s">
        <v>359</v>
      </c>
      <c r="B3913" s="3">
        <v>45261</v>
      </c>
      <c r="C3913" s="2">
        <v>28</v>
      </c>
      <c r="D3913" s="2">
        <v>40912</v>
      </c>
      <c r="E3913" s="17">
        <v>89908.55</v>
      </c>
      <c r="F3913" s="11">
        <v>6.46</v>
      </c>
      <c r="G3913" s="9">
        <v>6473.2</v>
      </c>
      <c r="H3913" s="10">
        <v>0.64300000000000002</v>
      </c>
      <c r="I3913" s="11">
        <v>6.3</v>
      </c>
    </row>
    <row r="3914" spans="1:9" x14ac:dyDescent="0.35">
      <c r="A3914" s="2" t="s">
        <v>359</v>
      </c>
      <c r="B3914" s="3">
        <v>45292</v>
      </c>
      <c r="C3914" s="2">
        <v>14</v>
      </c>
      <c r="D3914" s="2">
        <v>19042</v>
      </c>
      <c r="E3914" s="17">
        <v>45179.43</v>
      </c>
      <c r="F3914" s="11">
        <v>6.52</v>
      </c>
      <c r="G3914" s="9">
        <v>2978.8</v>
      </c>
      <c r="H3914" s="10">
        <v>0.35699999999999998</v>
      </c>
      <c r="I3914" s="11">
        <v>5.8</v>
      </c>
    </row>
    <row r="3915" spans="1:9" x14ac:dyDescent="0.35">
      <c r="A3915" s="2" t="s">
        <v>359</v>
      </c>
      <c r="B3915" s="3">
        <v>45323</v>
      </c>
      <c r="C3915" s="2">
        <v>25</v>
      </c>
      <c r="D3915" s="2">
        <v>35149</v>
      </c>
      <c r="E3915" s="17">
        <v>80330.86</v>
      </c>
      <c r="F3915" s="11">
        <v>6.37</v>
      </c>
      <c r="G3915" s="9">
        <v>5537.5</v>
      </c>
      <c r="H3915" s="10">
        <v>0.52</v>
      </c>
      <c r="I3915" s="11">
        <v>6.2</v>
      </c>
    </row>
    <row r="3916" spans="1:9" x14ac:dyDescent="0.35">
      <c r="A3916" s="2" t="s">
        <v>359</v>
      </c>
      <c r="B3916" s="3">
        <v>45352</v>
      </c>
      <c r="C3916" s="2">
        <v>19</v>
      </c>
      <c r="D3916" s="2">
        <v>23226</v>
      </c>
      <c r="E3916" s="17">
        <v>51160.23</v>
      </c>
      <c r="F3916" s="11">
        <v>6.6</v>
      </c>
      <c r="G3916" s="9">
        <v>3590.2</v>
      </c>
      <c r="H3916" s="10">
        <v>0.42099999999999999</v>
      </c>
      <c r="I3916" s="11">
        <v>7.9</v>
      </c>
    </row>
    <row r="3917" spans="1:9" x14ac:dyDescent="0.35">
      <c r="A3917" s="2" t="s">
        <v>359</v>
      </c>
      <c r="B3917" s="3">
        <v>45383</v>
      </c>
      <c r="C3917" s="2">
        <v>24</v>
      </c>
      <c r="D3917" s="2">
        <v>33743</v>
      </c>
      <c r="E3917" s="17">
        <v>69839.850000000006</v>
      </c>
      <c r="F3917" s="11">
        <v>6.37</v>
      </c>
      <c r="G3917" s="9">
        <v>5352.6</v>
      </c>
      <c r="H3917" s="10">
        <v>0.5</v>
      </c>
      <c r="I3917" s="11">
        <v>6.7</v>
      </c>
    </row>
    <row r="3918" spans="1:9" x14ac:dyDescent="0.35">
      <c r="A3918" s="2" t="s">
        <v>359</v>
      </c>
      <c r="B3918" s="3">
        <v>45413</v>
      </c>
      <c r="C3918" s="2">
        <v>16</v>
      </c>
      <c r="D3918" s="2">
        <v>23954</v>
      </c>
      <c r="E3918" s="17">
        <v>54263.19</v>
      </c>
      <c r="F3918" s="11">
        <v>6.45</v>
      </c>
      <c r="G3918" s="9">
        <v>3686.3</v>
      </c>
      <c r="H3918" s="10">
        <v>0.625</v>
      </c>
      <c r="I3918" s="11">
        <v>6.9</v>
      </c>
    </row>
    <row r="3919" spans="1:9" x14ac:dyDescent="0.35">
      <c r="A3919" s="2" t="s">
        <v>359</v>
      </c>
      <c r="B3919" s="3">
        <v>45444</v>
      </c>
      <c r="C3919" s="2">
        <v>19</v>
      </c>
      <c r="D3919" s="2">
        <v>24082</v>
      </c>
      <c r="E3919" s="17">
        <v>52996.79</v>
      </c>
      <c r="F3919" s="11">
        <v>6.53</v>
      </c>
      <c r="G3919" s="9">
        <v>3776.4</v>
      </c>
      <c r="H3919" s="10">
        <v>0.52600000000000002</v>
      </c>
      <c r="I3919" s="11">
        <v>7</v>
      </c>
    </row>
    <row r="3920" spans="1:9" x14ac:dyDescent="0.35">
      <c r="A3920" s="2" t="s">
        <v>359</v>
      </c>
      <c r="B3920" s="3">
        <v>45474</v>
      </c>
      <c r="C3920" s="2">
        <v>21</v>
      </c>
      <c r="D3920" s="2">
        <v>21366</v>
      </c>
      <c r="E3920" s="17">
        <v>45314.46</v>
      </c>
      <c r="F3920" s="11">
        <v>6.45</v>
      </c>
      <c r="G3920" s="9">
        <v>3317.4</v>
      </c>
      <c r="H3920" s="10">
        <v>0.57099999999999995</v>
      </c>
      <c r="I3920" s="11">
        <v>7.7</v>
      </c>
    </row>
    <row r="3921" spans="1:9" x14ac:dyDescent="0.35">
      <c r="A3921" s="2" t="s">
        <v>359</v>
      </c>
      <c r="B3921" s="3">
        <v>45505</v>
      </c>
      <c r="C3921" s="2">
        <v>15</v>
      </c>
      <c r="D3921" s="2">
        <v>23044</v>
      </c>
      <c r="E3921" s="17">
        <v>54607.79</v>
      </c>
      <c r="F3921" s="11">
        <v>6.36</v>
      </c>
      <c r="G3921" s="9">
        <v>3654.6</v>
      </c>
      <c r="H3921" s="10">
        <v>0.46700000000000003</v>
      </c>
      <c r="I3921" s="11">
        <v>8.1999999999999993</v>
      </c>
    </row>
    <row r="3922" spans="1:9" x14ac:dyDescent="0.35">
      <c r="A3922" s="2" t="s">
        <v>359</v>
      </c>
      <c r="B3922" s="3">
        <v>45536</v>
      </c>
      <c r="C3922" s="2">
        <v>25</v>
      </c>
      <c r="D3922" s="2">
        <v>34660</v>
      </c>
      <c r="E3922" s="17">
        <v>74509.3</v>
      </c>
      <c r="F3922" s="11">
        <v>6.41</v>
      </c>
      <c r="G3922" s="9">
        <v>5431.2</v>
      </c>
      <c r="H3922" s="10">
        <v>0.44</v>
      </c>
      <c r="I3922" s="11">
        <v>6.9</v>
      </c>
    </row>
    <row r="3923" spans="1:9" x14ac:dyDescent="0.35">
      <c r="A3923" s="2" t="s">
        <v>359</v>
      </c>
      <c r="B3923" s="3">
        <v>45566</v>
      </c>
      <c r="C3923" s="2">
        <v>14</v>
      </c>
      <c r="D3923" s="2">
        <v>22035</v>
      </c>
      <c r="E3923" s="17">
        <v>43535.65</v>
      </c>
      <c r="F3923" s="11">
        <v>6.56</v>
      </c>
      <c r="G3923" s="9">
        <v>3395.4</v>
      </c>
      <c r="H3923" s="10">
        <v>0.42899999999999999</v>
      </c>
      <c r="I3923" s="11">
        <v>7.1</v>
      </c>
    </row>
    <row r="3924" spans="1:9" x14ac:dyDescent="0.35">
      <c r="A3924" s="2" t="s">
        <v>359</v>
      </c>
      <c r="B3924" s="3">
        <v>45597</v>
      </c>
      <c r="C3924" s="2">
        <v>18</v>
      </c>
      <c r="D3924" s="2">
        <v>19150</v>
      </c>
      <c r="E3924" s="17">
        <v>38497.379999999997</v>
      </c>
      <c r="F3924" s="11">
        <v>6.57</v>
      </c>
      <c r="G3924" s="9">
        <v>2973.1</v>
      </c>
      <c r="H3924" s="10">
        <v>0.44400000000000001</v>
      </c>
      <c r="I3924" s="11">
        <v>6.6</v>
      </c>
    </row>
    <row r="3925" spans="1:9" x14ac:dyDescent="0.35">
      <c r="A3925" s="2" t="s">
        <v>359</v>
      </c>
      <c r="B3925" s="3">
        <v>45627</v>
      </c>
      <c r="C3925" s="2">
        <v>24</v>
      </c>
      <c r="D3925" s="2">
        <v>31758</v>
      </c>
      <c r="E3925" s="17">
        <v>67848.7</v>
      </c>
      <c r="F3925" s="11">
        <v>6.38</v>
      </c>
      <c r="G3925" s="9">
        <v>5061.2</v>
      </c>
      <c r="H3925" s="10">
        <v>0.25</v>
      </c>
      <c r="I3925" s="11">
        <v>7.6</v>
      </c>
    </row>
    <row r="3926" spans="1:9" x14ac:dyDescent="0.35">
      <c r="A3926" s="2" t="s">
        <v>364</v>
      </c>
      <c r="B3926" s="3">
        <v>44562</v>
      </c>
      <c r="C3926" s="2">
        <v>25</v>
      </c>
      <c r="D3926" s="2">
        <v>33676</v>
      </c>
      <c r="E3926" s="17">
        <v>75353.78</v>
      </c>
      <c r="F3926" s="11">
        <v>6.66</v>
      </c>
      <c r="G3926" s="9">
        <v>5136.8999999999996</v>
      </c>
      <c r="H3926" s="10">
        <v>0.36</v>
      </c>
      <c r="I3926" s="11">
        <v>6.8</v>
      </c>
    </row>
    <row r="3927" spans="1:9" x14ac:dyDescent="0.35">
      <c r="A3927" s="2" t="s">
        <v>364</v>
      </c>
      <c r="B3927" s="3">
        <v>44593</v>
      </c>
      <c r="C3927" s="2">
        <v>12</v>
      </c>
      <c r="D3927" s="2">
        <v>15987</v>
      </c>
      <c r="E3927" s="17">
        <v>38367.379999999997</v>
      </c>
      <c r="F3927" s="11">
        <v>6.51</v>
      </c>
      <c r="G3927" s="9">
        <v>2420.8000000000002</v>
      </c>
      <c r="H3927" s="10">
        <v>0.33300000000000002</v>
      </c>
      <c r="I3927" s="11">
        <v>7.2</v>
      </c>
    </row>
    <row r="3928" spans="1:9" x14ac:dyDescent="0.35">
      <c r="A3928" s="2" t="s">
        <v>364</v>
      </c>
      <c r="B3928" s="3">
        <v>44621</v>
      </c>
      <c r="C3928" s="2">
        <v>22</v>
      </c>
      <c r="D3928" s="2">
        <v>37231</v>
      </c>
      <c r="E3928" s="17">
        <v>80123.460000000006</v>
      </c>
      <c r="F3928" s="11">
        <v>6.54</v>
      </c>
      <c r="G3928" s="9">
        <v>5773.1</v>
      </c>
      <c r="H3928" s="10">
        <v>0.40899999999999997</v>
      </c>
      <c r="I3928" s="11">
        <v>6.3</v>
      </c>
    </row>
    <row r="3929" spans="1:9" x14ac:dyDescent="0.35">
      <c r="A3929" s="2" t="s">
        <v>364</v>
      </c>
      <c r="B3929" s="3">
        <v>44652</v>
      </c>
      <c r="C3929" s="2">
        <v>16</v>
      </c>
      <c r="D3929" s="2">
        <v>21858</v>
      </c>
      <c r="E3929" s="17">
        <v>44150.91</v>
      </c>
      <c r="F3929" s="11">
        <v>6.64</v>
      </c>
      <c r="G3929" s="9">
        <v>3233.6</v>
      </c>
      <c r="H3929" s="10">
        <v>0.5</v>
      </c>
      <c r="I3929" s="11">
        <v>6.1</v>
      </c>
    </row>
    <row r="3930" spans="1:9" x14ac:dyDescent="0.35">
      <c r="A3930" s="2" t="s">
        <v>364</v>
      </c>
      <c r="B3930" s="3">
        <v>44682</v>
      </c>
      <c r="C3930" s="2">
        <v>26</v>
      </c>
      <c r="D3930" s="2">
        <v>40723</v>
      </c>
      <c r="E3930" s="17">
        <v>88253.56</v>
      </c>
      <c r="F3930" s="11">
        <v>6.51</v>
      </c>
      <c r="G3930" s="9">
        <v>6441.8</v>
      </c>
      <c r="H3930" s="10">
        <v>0.34599999999999997</v>
      </c>
      <c r="I3930" s="11">
        <v>6.9</v>
      </c>
    </row>
    <row r="3931" spans="1:9" x14ac:dyDescent="0.35">
      <c r="A3931" s="2" t="s">
        <v>364</v>
      </c>
      <c r="B3931" s="3">
        <v>44713</v>
      </c>
      <c r="C3931" s="2">
        <v>24</v>
      </c>
      <c r="D3931" s="2">
        <v>25794</v>
      </c>
      <c r="E3931" s="17">
        <v>57370.15</v>
      </c>
      <c r="F3931" s="11">
        <v>6.59</v>
      </c>
      <c r="G3931" s="9">
        <v>3954.5</v>
      </c>
      <c r="H3931" s="10">
        <v>0.29199999999999998</v>
      </c>
      <c r="I3931" s="11">
        <v>6.9</v>
      </c>
    </row>
    <row r="3932" spans="1:9" x14ac:dyDescent="0.35">
      <c r="A3932" s="2" t="s">
        <v>364</v>
      </c>
      <c r="B3932" s="3">
        <v>44743</v>
      </c>
      <c r="C3932" s="2">
        <v>10</v>
      </c>
      <c r="D3932" s="2">
        <v>14221</v>
      </c>
      <c r="E3932" s="17">
        <v>28661.599999999999</v>
      </c>
      <c r="F3932" s="11">
        <v>6.21</v>
      </c>
      <c r="G3932" s="9">
        <v>2294.9</v>
      </c>
      <c r="H3932" s="10">
        <v>0.5</v>
      </c>
      <c r="I3932" s="11">
        <v>7.4</v>
      </c>
    </row>
    <row r="3933" spans="1:9" x14ac:dyDescent="0.35">
      <c r="A3933" s="2" t="s">
        <v>364</v>
      </c>
      <c r="B3933" s="3">
        <v>44774</v>
      </c>
      <c r="C3933" s="2">
        <v>25</v>
      </c>
      <c r="D3933" s="2">
        <v>33494</v>
      </c>
      <c r="E3933" s="17">
        <v>72147.5</v>
      </c>
      <c r="F3933" s="11">
        <v>6.43</v>
      </c>
      <c r="G3933" s="9">
        <v>5254.3</v>
      </c>
      <c r="H3933" s="10">
        <v>0.36</v>
      </c>
      <c r="I3933" s="11">
        <v>7.5</v>
      </c>
    </row>
    <row r="3934" spans="1:9" x14ac:dyDescent="0.35">
      <c r="A3934" s="2" t="s">
        <v>364</v>
      </c>
      <c r="B3934" s="3">
        <v>44805</v>
      </c>
      <c r="C3934" s="2">
        <v>20</v>
      </c>
      <c r="D3934" s="2">
        <v>29596</v>
      </c>
      <c r="E3934" s="17">
        <v>70839.63</v>
      </c>
      <c r="F3934" s="11">
        <v>6.24</v>
      </c>
      <c r="G3934" s="9">
        <v>4780.5</v>
      </c>
      <c r="H3934" s="10">
        <v>0.45</v>
      </c>
      <c r="I3934" s="11">
        <v>6.9</v>
      </c>
    </row>
    <row r="3935" spans="1:9" x14ac:dyDescent="0.35">
      <c r="A3935" s="2" t="s">
        <v>364</v>
      </c>
      <c r="B3935" s="3">
        <v>44835</v>
      </c>
      <c r="C3935" s="2">
        <v>17</v>
      </c>
      <c r="D3935" s="2">
        <v>23215</v>
      </c>
      <c r="E3935" s="17">
        <v>50075.64</v>
      </c>
      <c r="F3935" s="11">
        <v>6.51</v>
      </c>
      <c r="G3935" s="9">
        <v>3566.3</v>
      </c>
      <c r="H3935" s="10">
        <v>0.35299999999999998</v>
      </c>
      <c r="I3935" s="11">
        <v>7.3</v>
      </c>
    </row>
    <row r="3936" spans="1:9" x14ac:dyDescent="0.35">
      <c r="A3936" s="2" t="s">
        <v>364</v>
      </c>
      <c r="B3936" s="3">
        <v>44866</v>
      </c>
      <c r="C3936" s="2">
        <v>17</v>
      </c>
      <c r="D3936" s="2">
        <v>27356</v>
      </c>
      <c r="E3936" s="17">
        <v>56849.32</v>
      </c>
      <c r="F3936" s="11">
        <v>6.57</v>
      </c>
      <c r="G3936" s="9">
        <v>4082.1</v>
      </c>
      <c r="H3936" s="10">
        <v>0.41199999999999998</v>
      </c>
      <c r="I3936" s="11">
        <v>6.2</v>
      </c>
    </row>
    <row r="3937" spans="1:9" x14ac:dyDescent="0.35">
      <c r="A3937" s="2" t="s">
        <v>364</v>
      </c>
      <c r="B3937" s="3">
        <v>44896</v>
      </c>
      <c r="C3937" s="2">
        <v>14</v>
      </c>
      <c r="D3937" s="2">
        <v>21744</v>
      </c>
      <c r="E3937" s="17">
        <v>48431.3</v>
      </c>
      <c r="F3937" s="11">
        <v>6.4</v>
      </c>
      <c r="G3937" s="9">
        <v>3399.6</v>
      </c>
      <c r="H3937" s="10">
        <v>0.42899999999999999</v>
      </c>
      <c r="I3937" s="11">
        <v>7</v>
      </c>
    </row>
    <row r="3938" spans="1:9" x14ac:dyDescent="0.35">
      <c r="A3938" s="2" t="s">
        <v>364</v>
      </c>
      <c r="B3938" s="3">
        <v>44927</v>
      </c>
      <c r="C3938" s="2">
        <v>22</v>
      </c>
      <c r="D3938" s="2">
        <v>33553</v>
      </c>
      <c r="E3938" s="17">
        <v>73669.22</v>
      </c>
      <c r="F3938" s="11">
        <v>6.37</v>
      </c>
      <c r="G3938" s="9">
        <v>5401.3</v>
      </c>
      <c r="H3938" s="10">
        <v>0.40899999999999997</v>
      </c>
      <c r="I3938" s="11">
        <v>7.9</v>
      </c>
    </row>
    <row r="3939" spans="1:9" x14ac:dyDescent="0.35">
      <c r="A3939" s="2" t="s">
        <v>364</v>
      </c>
      <c r="B3939" s="3">
        <v>44958</v>
      </c>
      <c r="C3939" s="2">
        <v>18</v>
      </c>
      <c r="D3939" s="2">
        <v>22792</v>
      </c>
      <c r="E3939" s="17">
        <v>48113.17</v>
      </c>
      <c r="F3939" s="11">
        <v>6.61</v>
      </c>
      <c r="G3939" s="9">
        <v>3413.6</v>
      </c>
      <c r="H3939" s="10">
        <v>0.55600000000000005</v>
      </c>
      <c r="I3939" s="11">
        <v>7.3</v>
      </c>
    </row>
    <row r="3940" spans="1:9" x14ac:dyDescent="0.35">
      <c r="A3940" s="2" t="s">
        <v>364</v>
      </c>
      <c r="B3940" s="3">
        <v>44986</v>
      </c>
      <c r="C3940" s="2">
        <v>22</v>
      </c>
      <c r="D3940" s="2">
        <v>33216</v>
      </c>
      <c r="E3940" s="17">
        <v>68396.61</v>
      </c>
      <c r="F3940" s="11">
        <v>6.46</v>
      </c>
      <c r="G3940" s="9">
        <v>5250.3</v>
      </c>
      <c r="H3940" s="10">
        <v>0.63600000000000001</v>
      </c>
      <c r="I3940" s="11">
        <v>7.3</v>
      </c>
    </row>
    <row r="3941" spans="1:9" x14ac:dyDescent="0.35">
      <c r="A3941" s="2" t="s">
        <v>364</v>
      </c>
      <c r="B3941" s="3">
        <v>45017</v>
      </c>
      <c r="C3941" s="2">
        <v>19</v>
      </c>
      <c r="D3941" s="2">
        <v>30749</v>
      </c>
      <c r="E3941" s="17">
        <v>64603.68</v>
      </c>
      <c r="F3941" s="11">
        <v>6.38</v>
      </c>
      <c r="G3941" s="9">
        <v>4868.5</v>
      </c>
      <c r="H3941" s="10">
        <v>0.42099999999999999</v>
      </c>
      <c r="I3941" s="11">
        <v>6.7</v>
      </c>
    </row>
    <row r="3942" spans="1:9" x14ac:dyDescent="0.35">
      <c r="A3942" s="2" t="s">
        <v>364</v>
      </c>
      <c r="B3942" s="3">
        <v>45047</v>
      </c>
      <c r="C3942" s="2">
        <v>18</v>
      </c>
      <c r="D3942" s="2">
        <v>27628</v>
      </c>
      <c r="E3942" s="17">
        <v>54066.23</v>
      </c>
      <c r="F3942" s="11">
        <v>6.43</v>
      </c>
      <c r="G3942" s="9">
        <v>4327.3999999999996</v>
      </c>
      <c r="H3942" s="10">
        <v>0.38900000000000001</v>
      </c>
      <c r="I3942" s="11">
        <v>7.1</v>
      </c>
    </row>
    <row r="3943" spans="1:9" x14ac:dyDescent="0.35">
      <c r="A3943" s="2" t="s">
        <v>364</v>
      </c>
      <c r="B3943" s="3">
        <v>45078</v>
      </c>
      <c r="C3943" s="2">
        <v>27</v>
      </c>
      <c r="D3943" s="2">
        <v>39893</v>
      </c>
      <c r="E3943" s="17">
        <v>87362.79</v>
      </c>
      <c r="F3943" s="11">
        <v>6.61</v>
      </c>
      <c r="G3943" s="9">
        <v>6241.1</v>
      </c>
      <c r="H3943" s="10">
        <v>0.14799999999999999</v>
      </c>
      <c r="I3943" s="11">
        <v>6.3</v>
      </c>
    </row>
    <row r="3944" spans="1:9" x14ac:dyDescent="0.35">
      <c r="A3944" s="2" t="s">
        <v>364</v>
      </c>
      <c r="B3944" s="3">
        <v>45108</v>
      </c>
      <c r="C3944" s="2">
        <v>20</v>
      </c>
      <c r="D3944" s="2">
        <v>33692</v>
      </c>
      <c r="E3944" s="17">
        <v>73311.490000000005</v>
      </c>
      <c r="F3944" s="11">
        <v>6.47</v>
      </c>
      <c r="G3944" s="9">
        <v>5191.8999999999996</v>
      </c>
      <c r="H3944" s="10">
        <v>0.5</v>
      </c>
      <c r="I3944" s="11">
        <v>6.2</v>
      </c>
    </row>
    <row r="3945" spans="1:9" x14ac:dyDescent="0.35">
      <c r="A3945" s="2" t="s">
        <v>364</v>
      </c>
      <c r="B3945" s="3">
        <v>45139</v>
      </c>
      <c r="C3945" s="2">
        <v>19</v>
      </c>
      <c r="D3945" s="2">
        <v>26107</v>
      </c>
      <c r="E3945" s="17">
        <v>58567.95</v>
      </c>
      <c r="F3945" s="11">
        <v>6.63</v>
      </c>
      <c r="G3945" s="9">
        <v>3935.6</v>
      </c>
      <c r="H3945" s="10">
        <v>0.47399999999999998</v>
      </c>
      <c r="I3945" s="11">
        <v>7.2</v>
      </c>
    </row>
    <row r="3946" spans="1:9" x14ac:dyDescent="0.35">
      <c r="A3946" s="2" t="s">
        <v>364</v>
      </c>
      <c r="B3946" s="3">
        <v>45170</v>
      </c>
      <c r="C3946" s="2">
        <v>20</v>
      </c>
      <c r="D3946" s="2">
        <v>26035</v>
      </c>
      <c r="E3946" s="17">
        <v>50462.29</v>
      </c>
      <c r="F3946" s="11">
        <v>6.39</v>
      </c>
      <c r="G3946" s="9">
        <v>4127</v>
      </c>
      <c r="H3946" s="10">
        <v>0.45</v>
      </c>
      <c r="I3946" s="11">
        <v>6.1</v>
      </c>
    </row>
    <row r="3947" spans="1:9" x14ac:dyDescent="0.35">
      <c r="A3947" s="2" t="s">
        <v>364</v>
      </c>
      <c r="B3947" s="3">
        <v>45200</v>
      </c>
      <c r="C3947" s="2">
        <v>20</v>
      </c>
      <c r="D3947" s="2">
        <v>28126</v>
      </c>
      <c r="E3947" s="17">
        <v>59232.26</v>
      </c>
      <c r="F3947" s="11">
        <v>6.44</v>
      </c>
      <c r="G3947" s="9">
        <v>4441.3</v>
      </c>
      <c r="H3947" s="10">
        <v>0.45</v>
      </c>
      <c r="I3947" s="11">
        <v>6.6</v>
      </c>
    </row>
    <row r="3948" spans="1:9" x14ac:dyDescent="0.35">
      <c r="A3948" s="2" t="s">
        <v>364</v>
      </c>
      <c r="B3948" s="3">
        <v>45231</v>
      </c>
      <c r="C3948" s="2">
        <v>21</v>
      </c>
      <c r="D3948" s="2">
        <v>32223</v>
      </c>
      <c r="E3948" s="17">
        <v>73927.45</v>
      </c>
      <c r="F3948" s="11">
        <v>6.58</v>
      </c>
      <c r="G3948" s="9">
        <v>5144.5</v>
      </c>
      <c r="H3948" s="10">
        <v>0.42899999999999999</v>
      </c>
      <c r="I3948" s="11">
        <v>7</v>
      </c>
    </row>
    <row r="3949" spans="1:9" x14ac:dyDescent="0.35">
      <c r="A3949" s="2" t="s">
        <v>364</v>
      </c>
      <c r="B3949" s="3">
        <v>45261</v>
      </c>
      <c r="C3949" s="2">
        <v>15</v>
      </c>
      <c r="D3949" s="2">
        <v>18390</v>
      </c>
      <c r="E3949" s="17">
        <v>38040.04</v>
      </c>
      <c r="F3949" s="11">
        <v>6.25</v>
      </c>
      <c r="G3949" s="9">
        <v>2954.3</v>
      </c>
      <c r="H3949" s="10">
        <v>0.46700000000000003</v>
      </c>
      <c r="I3949" s="11">
        <v>7</v>
      </c>
    </row>
    <row r="3950" spans="1:9" x14ac:dyDescent="0.35">
      <c r="A3950" s="2" t="s">
        <v>364</v>
      </c>
      <c r="B3950" s="3">
        <v>45292</v>
      </c>
      <c r="C3950" s="2">
        <v>16</v>
      </c>
      <c r="D3950" s="2">
        <v>23584</v>
      </c>
      <c r="E3950" s="17">
        <v>53027.12</v>
      </c>
      <c r="F3950" s="11">
        <v>6.29</v>
      </c>
      <c r="G3950" s="9">
        <v>3812.1</v>
      </c>
      <c r="H3950" s="10">
        <v>0.375</v>
      </c>
      <c r="I3950" s="11">
        <v>6.2</v>
      </c>
    </row>
    <row r="3951" spans="1:9" x14ac:dyDescent="0.35">
      <c r="A3951" s="2" t="s">
        <v>364</v>
      </c>
      <c r="B3951" s="3">
        <v>45323</v>
      </c>
      <c r="C3951" s="2">
        <v>25</v>
      </c>
      <c r="D3951" s="2">
        <v>40388</v>
      </c>
      <c r="E3951" s="17">
        <v>90753.18</v>
      </c>
      <c r="F3951" s="11">
        <v>6.59</v>
      </c>
      <c r="G3951" s="9">
        <v>6189</v>
      </c>
      <c r="H3951" s="10">
        <v>0.6</v>
      </c>
      <c r="I3951" s="11">
        <v>7</v>
      </c>
    </row>
    <row r="3952" spans="1:9" x14ac:dyDescent="0.35">
      <c r="A3952" s="2" t="s">
        <v>364</v>
      </c>
      <c r="B3952" s="3">
        <v>45352</v>
      </c>
      <c r="C3952" s="2">
        <v>15</v>
      </c>
      <c r="D3952" s="2">
        <v>28066</v>
      </c>
      <c r="E3952" s="17">
        <v>57307.66</v>
      </c>
      <c r="F3952" s="11">
        <v>6.77</v>
      </c>
      <c r="G3952" s="9">
        <v>4189.6000000000004</v>
      </c>
      <c r="H3952" s="10">
        <v>0.53300000000000003</v>
      </c>
      <c r="I3952" s="11">
        <v>8.1</v>
      </c>
    </row>
    <row r="3953" spans="1:9" x14ac:dyDescent="0.35">
      <c r="A3953" s="2" t="s">
        <v>364</v>
      </c>
      <c r="B3953" s="3">
        <v>45383</v>
      </c>
      <c r="C3953" s="2">
        <v>14</v>
      </c>
      <c r="D3953" s="2">
        <v>20900</v>
      </c>
      <c r="E3953" s="17">
        <v>40165.370000000003</v>
      </c>
      <c r="F3953" s="11">
        <v>6.32</v>
      </c>
      <c r="G3953" s="9">
        <v>3401.9</v>
      </c>
      <c r="H3953" s="10">
        <v>0.5</v>
      </c>
      <c r="I3953" s="11">
        <v>7.3</v>
      </c>
    </row>
    <row r="3954" spans="1:9" x14ac:dyDescent="0.35">
      <c r="A3954" s="2" t="s">
        <v>364</v>
      </c>
      <c r="B3954" s="3">
        <v>45413</v>
      </c>
      <c r="C3954" s="2">
        <v>15</v>
      </c>
      <c r="D3954" s="2">
        <v>26773</v>
      </c>
      <c r="E3954" s="17">
        <v>54303.07</v>
      </c>
      <c r="F3954" s="11">
        <v>6.66</v>
      </c>
      <c r="G3954" s="9">
        <v>4091</v>
      </c>
      <c r="H3954" s="10">
        <v>0.26700000000000002</v>
      </c>
      <c r="I3954" s="11">
        <v>7</v>
      </c>
    </row>
    <row r="3955" spans="1:9" x14ac:dyDescent="0.35">
      <c r="A3955" s="2" t="s">
        <v>364</v>
      </c>
      <c r="B3955" s="3">
        <v>45444</v>
      </c>
      <c r="C3955" s="2">
        <v>16</v>
      </c>
      <c r="D3955" s="2">
        <v>23913</v>
      </c>
      <c r="E3955" s="17">
        <v>57984.38</v>
      </c>
      <c r="F3955" s="11">
        <v>6.43</v>
      </c>
      <c r="G3955" s="9">
        <v>3859.6</v>
      </c>
      <c r="H3955" s="10">
        <v>0.56200000000000006</v>
      </c>
      <c r="I3955" s="11">
        <v>6.9</v>
      </c>
    </row>
    <row r="3956" spans="1:9" x14ac:dyDescent="0.35">
      <c r="A3956" s="2" t="s">
        <v>364</v>
      </c>
      <c r="B3956" s="3">
        <v>45474</v>
      </c>
      <c r="C3956" s="2">
        <v>23</v>
      </c>
      <c r="D3956" s="2">
        <v>30149</v>
      </c>
      <c r="E3956" s="17">
        <v>67157.789999999994</v>
      </c>
      <c r="F3956" s="11">
        <v>6.48</v>
      </c>
      <c r="G3956" s="9">
        <v>4738.3999999999996</v>
      </c>
      <c r="H3956" s="10">
        <v>0.435</v>
      </c>
      <c r="I3956" s="11">
        <v>6.8</v>
      </c>
    </row>
    <row r="3957" spans="1:9" x14ac:dyDescent="0.35">
      <c r="A3957" s="2" t="s">
        <v>364</v>
      </c>
      <c r="B3957" s="3">
        <v>45505</v>
      </c>
      <c r="C3957" s="2">
        <v>18</v>
      </c>
      <c r="D3957" s="2">
        <v>32509</v>
      </c>
      <c r="E3957" s="17">
        <v>68446.5</v>
      </c>
      <c r="F3957" s="11">
        <v>6.66</v>
      </c>
      <c r="G3957" s="9">
        <v>4926.7</v>
      </c>
      <c r="H3957" s="10">
        <v>0.44400000000000001</v>
      </c>
      <c r="I3957" s="11">
        <v>7.7</v>
      </c>
    </row>
    <row r="3958" spans="1:9" x14ac:dyDescent="0.35">
      <c r="A3958" s="2" t="s">
        <v>364</v>
      </c>
      <c r="B3958" s="3">
        <v>45536</v>
      </c>
      <c r="C3958" s="2">
        <v>16</v>
      </c>
      <c r="D3958" s="2">
        <v>24309</v>
      </c>
      <c r="E3958" s="17">
        <v>51356.03</v>
      </c>
      <c r="F3958" s="11">
        <v>6.55</v>
      </c>
      <c r="G3958" s="9">
        <v>3703.2</v>
      </c>
      <c r="H3958" s="10">
        <v>0.625</v>
      </c>
      <c r="I3958" s="11">
        <v>5.7</v>
      </c>
    </row>
    <row r="3959" spans="1:9" x14ac:dyDescent="0.35">
      <c r="A3959" s="2" t="s">
        <v>364</v>
      </c>
      <c r="B3959" s="3">
        <v>45566</v>
      </c>
      <c r="C3959" s="2">
        <v>20</v>
      </c>
      <c r="D3959" s="2">
        <v>32857</v>
      </c>
      <c r="E3959" s="17">
        <v>67515.710000000006</v>
      </c>
      <c r="F3959" s="11">
        <v>6.41</v>
      </c>
      <c r="G3959" s="9">
        <v>5200.3</v>
      </c>
      <c r="H3959" s="10">
        <v>0.2</v>
      </c>
      <c r="I3959" s="11">
        <v>7.2</v>
      </c>
    </row>
    <row r="3960" spans="1:9" x14ac:dyDescent="0.35">
      <c r="A3960" s="2" t="s">
        <v>364</v>
      </c>
      <c r="B3960" s="3">
        <v>45597</v>
      </c>
      <c r="C3960" s="2">
        <v>15</v>
      </c>
      <c r="D3960" s="2">
        <v>19809</v>
      </c>
      <c r="E3960" s="17">
        <v>42615.87</v>
      </c>
      <c r="F3960" s="11">
        <v>6.74</v>
      </c>
      <c r="G3960" s="9">
        <v>2981.8</v>
      </c>
      <c r="H3960" s="10">
        <v>0.26700000000000002</v>
      </c>
      <c r="I3960" s="11">
        <v>7.3</v>
      </c>
    </row>
    <row r="3961" spans="1:9" x14ac:dyDescent="0.35">
      <c r="A3961" s="2" t="s">
        <v>364</v>
      </c>
      <c r="B3961" s="3">
        <v>45627</v>
      </c>
      <c r="C3961" s="2">
        <v>18</v>
      </c>
      <c r="D3961" s="2">
        <v>20402</v>
      </c>
      <c r="E3961" s="17">
        <v>40070.03</v>
      </c>
      <c r="F3961" s="11">
        <v>6.35</v>
      </c>
      <c r="G3961" s="9">
        <v>3251.9</v>
      </c>
      <c r="H3961" s="10">
        <v>0.5</v>
      </c>
      <c r="I3961" s="11">
        <v>8.6</v>
      </c>
    </row>
    <row r="3962" spans="1:9" x14ac:dyDescent="0.35">
      <c r="A3962" s="2" t="s">
        <v>366</v>
      </c>
      <c r="B3962" s="3">
        <v>44562</v>
      </c>
      <c r="C3962" s="2">
        <v>13</v>
      </c>
      <c r="D3962" s="2">
        <v>20658</v>
      </c>
      <c r="E3962" s="17">
        <v>38917.06</v>
      </c>
      <c r="F3962" s="11">
        <v>6.67</v>
      </c>
      <c r="G3962" s="9">
        <v>3119.7</v>
      </c>
      <c r="H3962" s="10">
        <v>0.23100000000000001</v>
      </c>
      <c r="I3962" s="11">
        <v>5.9</v>
      </c>
    </row>
    <row r="3963" spans="1:9" x14ac:dyDescent="0.35">
      <c r="A3963" s="2" t="s">
        <v>366</v>
      </c>
      <c r="B3963" s="3">
        <v>44593</v>
      </c>
      <c r="C3963" s="2">
        <v>21</v>
      </c>
      <c r="D3963" s="2">
        <v>30126</v>
      </c>
      <c r="E3963" s="17">
        <v>58871.86</v>
      </c>
      <c r="F3963" s="11">
        <v>6.37</v>
      </c>
      <c r="G3963" s="9">
        <v>4796.6000000000004</v>
      </c>
      <c r="H3963" s="10">
        <v>0.33300000000000002</v>
      </c>
      <c r="I3963" s="11">
        <v>6.9</v>
      </c>
    </row>
    <row r="3964" spans="1:9" x14ac:dyDescent="0.35">
      <c r="A3964" s="2" t="s">
        <v>366</v>
      </c>
      <c r="B3964" s="3">
        <v>44621</v>
      </c>
      <c r="C3964" s="2">
        <v>19</v>
      </c>
      <c r="D3964" s="2">
        <v>33371</v>
      </c>
      <c r="E3964" s="17">
        <v>71896.759999999995</v>
      </c>
      <c r="F3964" s="11">
        <v>6.66</v>
      </c>
      <c r="G3964" s="9">
        <v>5009.8</v>
      </c>
      <c r="H3964" s="10">
        <v>0.21099999999999999</v>
      </c>
      <c r="I3964" s="11">
        <v>7</v>
      </c>
    </row>
    <row r="3965" spans="1:9" x14ac:dyDescent="0.35">
      <c r="A3965" s="2" t="s">
        <v>366</v>
      </c>
      <c r="B3965" s="3">
        <v>44652</v>
      </c>
      <c r="C3965" s="2">
        <v>15</v>
      </c>
      <c r="D3965" s="2">
        <v>17325</v>
      </c>
      <c r="E3965" s="17">
        <v>37155.620000000003</v>
      </c>
      <c r="F3965" s="11">
        <v>6.59</v>
      </c>
      <c r="G3965" s="9">
        <v>2699.4</v>
      </c>
      <c r="H3965" s="10">
        <v>0.53300000000000003</v>
      </c>
      <c r="I3965" s="11">
        <v>7.5</v>
      </c>
    </row>
    <row r="3966" spans="1:9" x14ac:dyDescent="0.35">
      <c r="A3966" s="2" t="s">
        <v>366</v>
      </c>
      <c r="B3966" s="3">
        <v>44682</v>
      </c>
      <c r="C3966" s="2">
        <v>16</v>
      </c>
      <c r="D3966" s="2">
        <v>26763</v>
      </c>
      <c r="E3966" s="17">
        <v>59042.83</v>
      </c>
      <c r="F3966" s="11">
        <v>6.6</v>
      </c>
      <c r="G3966" s="9">
        <v>4067.8</v>
      </c>
      <c r="H3966" s="10">
        <v>0.5</v>
      </c>
      <c r="I3966" s="11">
        <v>6.6</v>
      </c>
    </row>
    <row r="3967" spans="1:9" x14ac:dyDescent="0.35">
      <c r="A3967" s="2" t="s">
        <v>366</v>
      </c>
      <c r="B3967" s="3">
        <v>44713</v>
      </c>
      <c r="C3967" s="2">
        <v>24</v>
      </c>
      <c r="D3967" s="2">
        <v>41140</v>
      </c>
      <c r="E3967" s="17">
        <v>87338.66</v>
      </c>
      <c r="F3967" s="11">
        <v>6.51</v>
      </c>
      <c r="G3967" s="9">
        <v>6448.7</v>
      </c>
      <c r="H3967" s="10">
        <v>0.41699999999999998</v>
      </c>
      <c r="I3967" s="11">
        <v>7.5</v>
      </c>
    </row>
    <row r="3968" spans="1:9" x14ac:dyDescent="0.35">
      <c r="A3968" s="2" t="s">
        <v>366</v>
      </c>
      <c r="B3968" s="3">
        <v>44743</v>
      </c>
      <c r="C3968" s="2">
        <v>19</v>
      </c>
      <c r="D3968" s="2">
        <v>26689</v>
      </c>
      <c r="E3968" s="17">
        <v>57273.52</v>
      </c>
      <c r="F3968" s="11">
        <v>6.52</v>
      </c>
      <c r="G3968" s="9">
        <v>4121.7</v>
      </c>
      <c r="H3968" s="10">
        <v>0.158</v>
      </c>
      <c r="I3968" s="11">
        <v>7.1</v>
      </c>
    </row>
    <row r="3969" spans="1:9" x14ac:dyDescent="0.35">
      <c r="A3969" s="2" t="s">
        <v>366</v>
      </c>
      <c r="B3969" s="3">
        <v>44774</v>
      </c>
      <c r="C3969" s="2">
        <v>16</v>
      </c>
      <c r="D3969" s="2">
        <v>26565</v>
      </c>
      <c r="E3969" s="17">
        <v>59031.01</v>
      </c>
      <c r="F3969" s="11">
        <v>6.32</v>
      </c>
      <c r="G3969" s="9">
        <v>4255.3</v>
      </c>
      <c r="H3969" s="10">
        <v>0.312</v>
      </c>
      <c r="I3969" s="11">
        <v>7.6</v>
      </c>
    </row>
    <row r="3970" spans="1:9" x14ac:dyDescent="0.35">
      <c r="A3970" s="2" t="s">
        <v>366</v>
      </c>
      <c r="B3970" s="3">
        <v>44805</v>
      </c>
      <c r="C3970" s="2">
        <v>21</v>
      </c>
      <c r="D3970" s="2">
        <v>28545</v>
      </c>
      <c r="E3970" s="17">
        <v>64085.89</v>
      </c>
      <c r="F3970" s="11">
        <v>6.63</v>
      </c>
      <c r="G3970" s="9">
        <v>4419.2</v>
      </c>
      <c r="H3970" s="10">
        <v>0.28599999999999998</v>
      </c>
      <c r="I3970" s="11">
        <v>7.2</v>
      </c>
    </row>
    <row r="3971" spans="1:9" x14ac:dyDescent="0.35">
      <c r="A3971" s="2" t="s">
        <v>366</v>
      </c>
      <c r="B3971" s="3">
        <v>44835</v>
      </c>
      <c r="C3971" s="2">
        <v>24</v>
      </c>
      <c r="D3971" s="2">
        <v>37728</v>
      </c>
      <c r="E3971" s="17">
        <v>85113.46</v>
      </c>
      <c r="F3971" s="11">
        <v>6.45</v>
      </c>
      <c r="G3971" s="9">
        <v>5876.6</v>
      </c>
      <c r="H3971" s="10">
        <v>0.45800000000000002</v>
      </c>
      <c r="I3971" s="11">
        <v>7.8</v>
      </c>
    </row>
    <row r="3972" spans="1:9" x14ac:dyDescent="0.35">
      <c r="A3972" s="2" t="s">
        <v>366</v>
      </c>
      <c r="B3972" s="3">
        <v>44866</v>
      </c>
      <c r="C3972" s="2">
        <v>21</v>
      </c>
      <c r="D3972" s="2">
        <v>27508</v>
      </c>
      <c r="E3972" s="17">
        <v>61535.94</v>
      </c>
      <c r="F3972" s="11">
        <v>6.25</v>
      </c>
      <c r="G3972" s="9">
        <v>4387.3</v>
      </c>
      <c r="H3972" s="10">
        <v>0.38100000000000001</v>
      </c>
      <c r="I3972" s="11">
        <v>6.4</v>
      </c>
    </row>
    <row r="3973" spans="1:9" x14ac:dyDescent="0.35">
      <c r="A3973" s="2" t="s">
        <v>366</v>
      </c>
      <c r="B3973" s="3">
        <v>44896</v>
      </c>
      <c r="C3973" s="2">
        <v>26</v>
      </c>
      <c r="D3973" s="2">
        <v>37620</v>
      </c>
      <c r="E3973" s="17">
        <v>83809.02</v>
      </c>
      <c r="F3973" s="11">
        <v>6.29</v>
      </c>
      <c r="G3973" s="9">
        <v>6004.3</v>
      </c>
      <c r="H3973" s="10">
        <v>0.5</v>
      </c>
      <c r="I3973" s="11">
        <v>7</v>
      </c>
    </row>
    <row r="3974" spans="1:9" x14ac:dyDescent="0.35">
      <c r="A3974" s="2" t="s">
        <v>366</v>
      </c>
      <c r="B3974" s="3">
        <v>44927</v>
      </c>
      <c r="C3974" s="2">
        <v>19</v>
      </c>
      <c r="D3974" s="2">
        <v>30945</v>
      </c>
      <c r="E3974" s="17">
        <v>67514.59</v>
      </c>
      <c r="F3974" s="11">
        <v>6.58</v>
      </c>
      <c r="G3974" s="9">
        <v>4719.8</v>
      </c>
      <c r="H3974" s="10">
        <v>0.52600000000000002</v>
      </c>
      <c r="I3974" s="11">
        <v>6.1</v>
      </c>
    </row>
    <row r="3975" spans="1:9" x14ac:dyDescent="0.35">
      <c r="A3975" s="2" t="s">
        <v>366</v>
      </c>
      <c r="B3975" s="3">
        <v>44958</v>
      </c>
      <c r="C3975" s="2">
        <v>18</v>
      </c>
      <c r="D3975" s="2">
        <v>26922</v>
      </c>
      <c r="E3975" s="17">
        <v>63266.93</v>
      </c>
      <c r="F3975" s="11">
        <v>6.4</v>
      </c>
      <c r="G3975" s="9">
        <v>4252.3999999999996</v>
      </c>
      <c r="H3975" s="10">
        <v>0.33300000000000002</v>
      </c>
      <c r="I3975" s="11">
        <v>7.2</v>
      </c>
    </row>
    <row r="3976" spans="1:9" x14ac:dyDescent="0.35">
      <c r="A3976" s="2" t="s">
        <v>366</v>
      </c>
      <c r="B3976" s="3">
        <v>44986</v>
      </c>
      <c r="C3976" s="2">
        <v>15</v>
      </c>
      <c r="D3976" s="2">
        <v>25868</v>
      </c>
      <c r="E3976" s="17">
        <v>58977.79</v>
      </c>
      <c r="F3976" s="11">
        <v>6.57</v>
      </c>
      <c r="G3976" s="9">
        <v>4016</v>
      </c>
      <c r="H3976" s="10">
        <v>0.33300000000000002</v>
      </c>
      <c r="I3976" s="11">
        <v>8.4</v>
      </c>
    </row>
    <row r="3977" spans="1:9" x14ac:dyDescent="0.35">
      <c r="A3977" s="2" t="s">
        <v>366</v>
      </c>
      <c r="B3977" s="3">
        <v>45017</v>
      </c>
      <c r="C3977" s="2">
        <v>16</v>
      </c>
      <c r="D3977" s="2">
        <v>24114</v>
      </c>
      <c r="E3977" s="17">
        <v>52894.8</v>
      </c>
      <c r="F3977" s="11">
        <v>6.49</v>
      </c>
      <c r="G3977" s="9">
        <v>3717.6</v>
      </c>
      <c r="H3977" s="10">
        <v>0.56200000000000006</v>
      </c>
      <c r="I3977" s="11">
        <v>7.8</v>
      </c>
    </row>
    <row r="3978" spans="1:9" x14ac:dyDescent="0.35">
      <c r="A3978" s="2" t="s">
        <v>366</v>
      </c>
      <c r="B3978" s="3">
        <v>45047</v>
      </c>
      <c r="C3978" s="2">
        <v>20</v>
      </c>
      <c r="D3978" s="2">
        <v>31962</v>
      </c>
      <c r="E3978" s="17">
        <v>69310.570000000007</v>
      </c>
      <c r="F3978" s="11">
        <v>6.41</v>
      </c>
      <c r="G3978" s="9">
        <v>5037.8</v>
      </c>
      <c r="H3978" s="10">
        <v>0.55000000000000004</v>
      </c>
      <c r="I3978" s="11">
        <v>8.1999999999999993</v>
      </c>
    </row>
    <row r="3979" spans="1:9" x14ac:dyDescent="0.35">
      <c r="A3979" s="2" t="s">
        <v>366</v>
      </c>
      <c r="B3979" s="3">
        <v>45078</v>
      </c>
      <c r="C3979" s="2">
        <v>18</v>
      </c>
      <c r="D3979" s="2">
        <v>25902</v>
      </c>
      <c r="E3979" s="17">
        <v>57876.09</v>
      </c>
      <c r="F3979" s="11">
        <v>6.5</v>
      </c>
      <c r="G3979" s="9">
        <v>4097.3</v>
      </c>
      <c r="H3979" s="10">
        <v>0.16700000000000001</v>
      </c>
      <c r="I3979" s="11">
        <v>6.1</v>
      </c>
    </row>
    <row r="3980" spans="1:9" x14ac:dyDescent="0.35">
      <c r="A3980" s="2" t="s">
        <v>366</v>
      </c>
      <c r="B3980" s="3">
        <v>45108</v>
      </c>
      <c r="C3980" s="2">
        <v>22</v>
      </c>
      <c r="D3980" s="2">
        <v>37122</v>
      </c>
      <c r="E3980" s="17">
        <v>78664.2</v>
      </c>
      <c r="F3980" s="11">
        <v>6.53</v>
      </c>
      <c r="G3980" s="9">
        <v>5756.6</v>
      </c>
      <c r="H3980" s="10">
        <v>0.54500000000000004</v>
      </c>
      <c r="I3980" s="11">
        <v>7.8</v>
      </c>
    </row>
    <row r="3981" spans="1:9" x14ac:dyDescent="0.35">
      <c r="A3981" s="2" t="s">
        <v>366</v>
      </c>
      <c r="B3981" s="3">
        <v>45139</v>
      </c>
      <c r="C3981" s="2">
        <v>18</v>
      </c>
      <c r="D3981" s="2">
        <v>28356</v>
      </c>
      <c r="E3981" s="17">
        <v>54312.6</v>
      </c>
      <c r="F3981" s="11">
        <v>6.48</v>
      </c>
      <c r="G3981" s="9">
        <v>4442.3999999999996</v>
      </c>
      <c r="H3981" s="10">
        <v>0.38900000000000001</v>
      </c>
      <c r="I3981" s="11">
        <v>6.9</v>
      </c>
    </row>
    <row r="3982" spans="1:9" x14ac:dyDescent="0.35">
      <c r="A3982" s="2" t="s">
        <v>366</v>
      </c>
      <c r="B3982" s="3">
        <v>45170</v>
      </c>
      <c r="C3982" s="2">
        <v>14</v>
      </c>
      <c r="D3982" s="2">
        <v>21979</v>
      </c>
      <c r="E3982" s="17">
        <v>40707.589999999997</v>
      </c>
      <c r="F3982" s="11">
        <v>6.67</v>
      </c>
      <c r="G3982" s="9">
        <v>3383.1</v>
      </c>
      <c r="H3982" s="10">
        <v>0.35699999999999998</v>
      </c>
      <c r="I3982" s="11">
        <v>4.9000000000000004</v>
      </c>
    </row>
    <row r="3983" spans="1:9" x14ac:dyDescent="0.35">
      <c r="A3983" s="2" t="s">
        <v>366</v>
      </c>
      <c r="B3983" s="3">
        <v>45200</v>
      </c>
      <c r="C3983" s="2">
        <v>13</v>
      </c>
      <c r="D3983" s="2">
        <v>13399</v>
      </c>
      <c r="E3983" s="17">
        <v>28260.25</v>
      </c>
      <c r="F3983" s="11">
        <v>6.52</v>
      </c>
      <c r="G3983" s="9">
        <v>1984</v>
      </c>
      <c r="H3983" s="10">
        <v>0.308</v>
      </c>
      <c r="I3983" s="11">
        <v>6.5</v>
      </c>
    </row>
    <row r="3984" spans="1:9" x14ac:dyDescent="0.35">
      <c r="A3984" s="2" t="s">
        <v>366</v>
      </c>
      <c r="B3984" s="3">
        <v>45231</v>
      </c>
      <c r="C3984" s="2">
        <v>18</v>
      </c>
      <c r="D3984" s="2">
        <v>26596</v>
      </c>
      <c r="E3984" s="17">
        <v>59260.45</v>
      </c>
      <c r="F3984" s="11">
        <v>6.48</v>
      </c>
      <c r="G3984" s="9">
        <v>4123.6000000000004</v>
      </c>
      <c r="H3984" s="10">
        <v>0.44400000000000001</v>
      </c>
      <c r="I3984" s="11">
        <v>7.6</v>
      </c>
    </row>
    <row r="3985" spans="1:9" x14ac:dyDescent="0.35">
      <c r="A3985" s="2" t="s">
        <v>366</v>
      </c>
      <c r="B3985" s="3">
        <v>45261</v>
      </c>
      <c r="C3985" s="2">
        <v>19</v>
      </c>
      <c r="D3985" s="2">
        <v>29311</v>
      </c>
      <c r="E3985" s="17">
        <v>57595.09</v>
      </c>
      <c r="F3985" s="11">
        <v>6.31</v>
      </c>
      <c r="G3985" s="9">
        <v>4653.3999999999996</v>
      </c>
      <c r="H3985" s="10">
        <v>0.36799999999999999</v>
      </c>
      <c r="I3985" s="11">
        <v>8.4</v>
      </c>
    </row>
    <row r="3986" spans="1:9" x14ac:dyDescent="0.35">
      <c r="A3986" s="2" t="s">
        <v>366</v>
      </c>
      <c r="B3986" s="3">
        <v>45292</v>
      </c>
      <c r="C3986" s="2">
        <v>24</v>
      </c>
      <c r="D3986" s="2">
        <v>29440</v>
      </c>
      <c r="E3986" s="17">
        <v>62702.57</v>
      </c>
      <c r="F3986" s="11">
        <v>6.44</v>
      </c>
      <c r="G3986" s="9">
        <v>4615.2</v>
      </c>
      <c r="H3986" s="10">
        <v>0.25</v>
      </c>
      <c r="I3986" s="11">
        <v>5.7</v>
      </c>
    </row>
    <row r="3987" spans="1:9" x14ac:dyDescent="0.35">
      <c r="A3987" s="2" t="s">
        <v>366</v>
      </c>
      <c r="B3987" s="3">
        <v>45323</v>
      </c>
      <c r="C3987" s="2">
        <v>22</v>
      </c>
      <c r="D3987" s="2">
        <v>28950</v>
      </c>
      <c r="E3987" s="17">
        <v>57692.66</v>
      </c>
      <c r="F3987" s="11">
        <v>6.61</v>
      </c>
      <c r="G3987" s="9">
        <v>4350.2</v>
      </c>
      <c r="H3987" s="10">
        <v>0.27300000000000002</v>
      </c>
      <c r="I3987" s="11">
        <v>6.2</v>
      </c>
    </row>
    <row r="3988" spans="1:9" x14ac:dyDescent="0.35">
      <c r="A3988" s="2" t="s">
        <v>366</v>
      </c>
      <c r="B3988" s="3">
        <v>45352</v>
      </c>
      <c r="C3988" s="2">
        <v>26</v>
      </c>
      <c r="D3988" s="2">
        <v>36748</v>
      </c>
      <c r="E3988" s="17">
        <v>78330.38</v>
      </c>
      <c r="F3988" s="11">
        <v>6.47</v>
      </c>
      <c r="G3988" s="9">
        <v>5671.3</v>
      </c>
      <c r="H3988" s="10">
        <v>0.34599999999999997</v>
      </c>
      <c r="I3988" s="11">
        <v>6.7</v>
      </c>
    </row>
    <row r="3989" spans="1:9" x14ac:dyDescent="0.35">
      <c r="A3989" s="2" t="s">
        <v>366</v>
      </c>
      <c r="B3989" s="3">
        <v>45383</v>
      </c>
      <c r="C3989" s="2">
        <v>8</v>
      </c>
      <c r="D3989" s="2">
        <v>14487</v>
      </c>
      <c r="E3989" s="17">
        <v>29885.66</v>
      </c>
      <c r="F3989" s="11">
        <v>6.65</v>
      </c>
      <c r="G3989" s="9">
        <v>2184.3000000000002</v>
      </c>
      <c r="H3989" s="10">
        <v>0.25</v>
      </c>
      <c r="I3989" s="11">
        <v>5.6</v>
      </c>
    </row>
    <row r="3990" spans="1:9" x14ac:dyDescent="0.35">
      <c r="A3990" s="2" t="s">
        <v>366</v>
      </c>
      <c r="B3990" s="3">
        <v>45413</v>
      </c>
      <c r="C3990" s="2">
        <v>28</v>
      </c>
      <c r="D3990" s="2">
        <v>38041</v>
      </c>
      <c r="E3990" s="17">
        <v>79692.95</v>
      </c>
      <c r="F3990" s="11">
        <v>6.44</v>
      </c>
      <c r="G3990" s="9">
        <v>5834.4</v>
      </c>
      <c r="H3990" s="10">
        <v>0.5</v>
      </c>
      <c r="I3990" s="11">
        <v>7.1</v>
      </c>
    </row>
    <row r="3991" spans="1:9" x14ac:dyDescent="0.35">
      <c r="A3991" s="2" t="s">
        <v>366</v>
      </c>
      <c r="B3991" s="3">
        <v>45444</v>
      </c>
      <c r="C3991" s="2">
        <v>18</v>
      </c>
      <c r="D3991" s="2">
        <v>23342</v>
      </c>
      <c r="E3991" s="17">
        <v>49628.01</v>
      </c>
      <c r="F3991" s="11">
        <v>6.6</v>
      </c>
      <c r="G3991" s="9">
        <v>3621.1</v>
      </c>
      <c r="H3991" s="10">
        <v>0.38900000000000001</v>
      </c>
      <c r="I3991" s="11">
        <v>7</v>
      </c>
    </row>
    <row r="3992" spans="1:9" x14ac:dyDescent="0.35">
      <c r="A3992" s="2" t="s">
        <v>366</v>
      </c>
      <c r="B3992" s="3">
        <v>45474</v>
      </c>
      <c r="C3992" s="2">
        <v>14</v>
      </c>
      <c r="D3992" s="2">
        <v>21665</v>
      </c>
      <c r="E3992" s="17">
        <v>45534.16</v>
      </c>
      <c r="F3992" s="11">
        <v>6.63</v>
      </c>
      <c r="G3992" s="9">
        <v>3321.1</v>
      </c>
      <c r="H3992" s="10">
        <v>0.28599999999999998</v>
      </c>
      <c r="I3992" s="11">
        <v>7.4</v>
      </c>
    </row>
    <row r="3993" spans="1:9" x14ac:dyDescent="0.35">
      <c r="A3993" s="2" t="s">
        <v>366</v>
      </c>
      <c r="B3993" s="3">
        <v>45505</v>
      </c>
      <c r="C3993" s="2">
        <v>25</v>
      </c>
      <c r="D3993" s="2">
        <v>27416</v>
      </c>
      <c r="E3993" s="17">
        <v>56321.52</v>
      </c>
      <c r="F3993" s="11">
        <v>6.59</v>
      </c>
      <c r="G3993" s="9">
        <v>4174.3</v>
      </c>
      <c r="H3993" s="10">
        <v>0.44</v>
      </c>
      <c r="I3993" s="11">
        <v>7.7</v>
      </c>
    </row>
    <row r="3994" spans="1:9" x14ac:dyDescent="0.35">
      <c r="A3994" s="2" t="s">
        <v>366</v>
      </c>
      <c r="B3994" s="3">
        <v>45536</v>
      </c>
      <c r="C3994" s="2">
        <v>18</v>
      </c>
      <c r="D3994" s="2">
        <v>23531</v>
      </c>
      <c r="E3994" s="17">
        <v>50125.07</v>
      </c>
      <c r="F3994" s="11">
        <v>6.39</v>
      </c>
      <c r="G3994" s="9">
        <v>3760.3</v>
      </c>
      <c r="H3994" s="10">
        <v>0.33300000000000002</v>
      </c>
      <c r="I3994" s="11">
        <v>7.7</v>
      </c>
    </row>
    <row r="3995" spans="1:9" x14ac:dyDescent="0.35">
      <c r="A3995" s="2" t="s">
        <v>366</v>
      </c>
      <c r="B3995" s="3">
        <v>45566</v>
      </c>
      <c r="C3995" s="2">
        <v>21</v>
      </c>
      <c r="D3995" s="2">
        <v>29469</v>
      </c>
      <c r="E3995" s="17">
        <v>63201.25</v>
      </c>
      <c r="F3995" s="11">
        <v>6.61</v>
      </c>
      <c r="G3995" s="9">
        <v>4441.7</v>
      </c>
      <c r="H3995" s="10">
        <v>0.42899999999999999</v>
      </c>
      <c r="I3995" s="11">
        <v>7.1</v>
      </c>
    </row>
    <row r="3996" spans="1:9" x14ac:dyDescent="0.35">
      <c r="A3996" s="2" t="s">
        <v>366</v>
      </c>
      <c r="B3996" s="3">
        <v>45597</v>
      </c>
      <c r="C3996" s="2">
        <v>19</v>
      </c>
      <c r="D3996" s="2">
        <v>28835</v>
      </c>
      <c r="E3996" s="17">
        <v>68533.36</v>
      </c>
      <c r="F3996" s="11">
        <v>6.49</v>
      </c>
      <c r="G3996" s="9">
        <v>4563</v>
      </c>
      <c r="H3996" s="10">
        <v>0.316</v>
      </c>
      <c r="I3996" s="11">
        <v>7.1</v>
      </c>
    </row>
    <row r="3997" spans="1:9" x14ac:dyDescent="0.35">
      <c r="A3997" s="2" t="s">
        <v>366</v>
      </c>
      <c r="B3997" s="3">
        <v>45627</v>
      </c>
      <c r="C3997" s="2">
        <v>15</v>
      </c>
      <c r="D3997" s="2">
        <v>20863</v>
      </c>
      <c r="E3997" s="17">
        <v>42477.96</v>
      </c>
      <c r="F3997" s="11">
        <v>6.55</v>
      </c>
      <c r="G3997" s="9">
        <v>3118.6</v>
      </c>
      <c r="H3997" s="10">
        <v>0.13300000000000001</v>
      </c>
      <c r="I3997" s="11">
        <v>5.4</v>
      </c>
    </row>
    <row r="3998" spans="1:9" x14ac:dyDescent="0.35">
      <c r="A3998" s="2" t="s">
        <v>368</v>
      </c>
      <c r="B3998" s="3">
        <v>44562</v>
      </c>
      <c r="C3998" s="2">
        <v>15</v>
      </c>
      <c r="D3998" s="2">
        <v>20225</v>
      </c>
      <c r="E3998" s="17">
        <v>44961.42</v>
      </c>
      <c r="F3998" s="11">
        <v>6.42</v>
      </c>
      <c r="G3998" s="9">
        <v>3107.7</v>
      </c>
      <c r="H3998" s="10">
        <v>0.26700000000000002</v>
      </c>
      <c r="I3998" s="11">
        <v>5.8</v>
      </c>
    </row>
    <row r="3999" spans="1:9" x14ac:dyDescent="0.35">
      <c r="A3999" s="2" t="s">
        <v>368</v>
      </c>
      <c r="B3999" s="3">
        <v>44593</v>
      </c>
      <c r="C3999" s="2">
        <v>17</v>
      </c>
      <c r="D3999" s="2">
        <v>29931</v>
      </c>
      <c r="E3999" s="17">
        <v>67767.78</v>
      </c>
      <c r="F3999" s="11">
        <v>6.23</v>
      </c>
      <c r="G3999" s="9">
        <v>4835</v>
      </c>
      <c r="H3999" s="10">
        <v>0.47099999999999997</v>
      </c>
      <c r="I3999" s="11">
        <v>8.1</v>
      </c>
    </row>
    <row r="4000" spans="1:9" x14ac:dyDescent="0.35">
      <c r="A4000" s="2" t="s">
        <v>368</v>
      </c>
      <c r="B4000" s="3">
        <v>44621</v>
      </c>
      <c r="C4000" s="2">
        <v>19</v>
      </c>
      <c r="D4000" s="2">
        <v>31859</v>
      </c>
      <c r="E4000" s="17">
        <v>70923.460000000006</v>
      </c>
      <c r="F4000" s="11">
        <v>6.53</v>
      </c>
      <c r="G4000" s="9">
        <v>5005.3999999999996</v>
      </c>
      <c r="H4000" s="10">
        <v>0.36799999999999999</v>
      </c>
      <c r="I4000" s="11">
        <v>7.9</v>
      </c>
    </row>
    <row r="4001" spans="1:9" x14ac:dyDescent="0.35">
      <c r="A4001" s="2" t="s">
        <v>368</v>
      </c>
      <c r="B4001" s="3">
        <v>44652</v>
      </c>
      <c r="C4001" s="2">
        <v>16</v>
      </c>
      <c r="D4001" s="2">
        <v>18222</v>
      </c>
      <c r="E4001" s="17">
        <v>42163.76</v>
      </c>
      <c r="F4001" s="11">
        <v>6.4</v>
      </c>
      <c r="G4001" s="9">
        <v>2917.7</v>
      </c>
      <c r="H4001" s="10">
        <v>0.312</v>
      </c>
      <c r="I4001" s="11">
        <v>6.4</v>
      </c>
    </row>
    <row r="4002" spans="1:9" x14ac:dyDescent="0.35">
      <c r="A4002" s="2" t="s">
        <v>368</v>
      </c>
      <c r="B4002" s="3">
        <v>44682</v>
      </c>
      <c r="C4002" s="2">
        <v>22</v>
      </c>
      <c r="D4002" s="2">
        <v>23561</v>
      </c>
      <c r="E4002" s="17">
        <v>52981.62</v>
      </c>
      <c r="F4002" s="11">
        <v>6.21</v>
      </c>
      <c r="G4002" s="9">
        <v>3765.5</v>
      </c>
      <c r="H4002" s="10">
        <v>0.45500000000000002</v>
      </c>
      <c r="I4002" s="11">
        <v>6.8</v>
      </c>
    </row>
    <row r="4003" spans="1:9" x14ac:dyDescent="0.35">
      <c r="A4003" s="2" t="s">
        <v>368</v>
      </c>
      <c r="B4003" s="3">
        <v>44713</v>
      </c>
      <c r="C4003" s="2">
        <v>23</v>
      </c>
      <c r="D4003" s="2">
        <v>27669</v>
      </c>
      <c r="E4003" s="17">
        <v>63420.2</v>
      </c>
      <c r="F4003" s="11">
        <v>6.43</v>
      </c>
      <c r="G4003" s="9">
        <v>4350.5</v>
      </c>
      <c r="H4003" s="10">
        <v>0.47799999999999998</v>
      </c>
      <c r="I4003" s="11">
        <v>6.3</v>
      </c>
    </row>
    <row r="4004" spans="1:9" x14ac:dyDescent="0.35">
      <c r="A4004" s="2" t="s">
        <v>368</v>
      </c>
      <c r="B4004" s="3">
        <v>44743</v>
      </c>
      <c r="C4004" s="2">
        <v>17</v>
      </c>
      <c r="D4004" s="2">
        <v>22560</v>
      </c>
      <c r="E4004" s="17">
        <v>45430.33</v>
      </c>
      <c r="F4004" s="11">
        <v>6.42</v>
      </c>
      <c r="G4004" s="9">
        <v>3443.6</v>
      </c>
      <c r="H4004" s="10">
        <v>0.47099999999999997</v>
      </c>
      <c r="I4004" s="11">
        <v>7.4</v>
      </c>
    </row>
    <row r="4005" spans="1:9" x14ac:dyDescent="0.35">
      <c r="A4005" s="2" t="s">
        <v>368</v>
      </c>
      <c r="B4005" s="3">
        <v>44774</v>
      </c>
      <c r="C4005" s="2">
        <v>21</v>
      </c>
      <c r="D4005" s="2">
        <v>31868</v>
      </c>
      <c r="E4005" s="17">
        <v>73245.27</v>
      </c>
      <c r="F4005" s="11">
        <v>6.53</v>
      </c>
      <c r="G4005" s="9">
        <v>4849.1000000000004</v>
      </c>
      <c r="H4005" s="10">
        <v>0.57099999999999995</v>
      </c>
      <c r="I4005" s="11">
        <v>6.4</v>
      </c>
    </row>
    <row r="4006" spans="1:9" x14ac:dyDescent="0.35">
      <c r="A4006" s="2" t="s">
        <v>368</v>
      </c>
      <c r="B4006" s="3">
        <v>44805</v>
      </c>
      <c r="C4006" s="2">
        <v>18</v>
      </c>
      <c r="D4006" s="2">
        <v>29239</v>
      </c>
      <c r="E4006" s="17">
        <v>58235.57</v>
      </c>
      <c r="F4006" s="11">
        <v>6.67</v>
      </c>
      <c r="G4006" s="9">
        <v>4473.8</v>
      </c>
      <c r="H4006" s="10">
        <v>0.55600000000000005</v>
      </c>
      <c r="I4006" s="11">
        <v>7.4</v>
      </c>
    </row>
    <row r="4007" spans="1:9" x14ac:dyDescent="0.35">
      <c r="A4007" s="2" t="s">
        <v>368</v>
      </c>
      <c r="B4007" s="3">
        <v>44835</v>
      </c>
      <c r="C4007" s="2">
        <v>25</v>
      </c>
      <c r="D4007" s="2">
        <v>40591</v>
      </c>
      <c r="E4007" s="17">
        <v>83310.720000000001</v>
      </c>
      <c r="F4007" s="11">
        <v>6.59</v>
      </c>
      <c r="G4007" s="9">
        <v>6269.6</v>
      </c>
      <c r="H4007" s="10">
        <v>0.36</v>
      </c>
      <c r="I4007" s="11">
        <v>6.5</v>
      </c>
    </row>
    <row r="4008" spans="1:9" x14ac:dyDescent="0.35">
      <c r="A4008" s="2" t="s">
        <v>368</v>
      </c>
      <c r="B4008" s="3">
        <v>44866</v>
      </c>
      <c r="C4008" s="2">
        <v>16</v>
      </c>
      <c r="D4008" s="2">
        <v>28211</v>
      </c>
      <c r="E4008" s="17">
        <v>58138.02</v>
      </c>
      <c r="F4008" s="11">
        <v>6.72</v>
      </c>
      <c r="G4008" s="9">
        <v>4169</v>
      </c>
      <c r="H4008" s="10">
        <v>0.56200000000000006</v>
      </c>
      <c r="I4008" s="11">
        <v>7.4</v>
      </c>
    </row>
    <row r="4009" spans="1:9" x14ac:dyDescent="0.35">
      <c r="A4009" s="2" t="s">
        <v>368</v>
      </c>
      <c r="B4009" s="3">
        <v>44896</v>
      </c>
      <c r="C4009" s="2">
        <v>16</v>
      </c>
      <c r="D4009" s="2">
        <v>23204</v>
      </c>
      <c r="E4009" s="17">
        <v>52086.99</v>
      </c>
      <c r="F4009" s="11">
        <v>6.52</v>
      </c>
      <c r="G4009" s="9">
        <v>3613</v>
      </c>
      <c r="H4009" s="10">
        <v>0.75</v>
      </c>
      <c r="I4009" s="11">
        <v>6.1</v>
      </c>
    </row>
    <row r="4010" spans="1:9" x14ac:dyDescent="0.35">
      <c r="A4010" s="2" t="s">
        <v>368</v>
      </c>
      <c r="B4010" s="3">
        <v>44927</v>
      </c>
      <c r="C4010" s="2">
        <v>23</v>
      </c>
      <c r="D4010" s="2">
        <v>32537</v>
      </c>
      <c r="E4010" s="17">
        <v>68145.36</v>
      </c>
      <c r="F4010" s="11">
        <v>6.49</v>
      </c>
      <c r="G4010" s="9">
        <v>5045.5</v>
      </c>
      <c r="H4010" s="10">
        <v>0.435</v>
      </c>
      <c r="I4010" s="11">
        <v>6.9</v>
      </c>
    </row>
    <row r="4011" spans="1:9" x14ac:dyDescent="0.35">
      <c r="A4011" s="2" t="s">
        <v>368</v>
      </c>
      <c r="B4011" s="3">
        <v>44958</v>
      </c>
      <c r="C4011" s="2">
        <v>18</v>
      </c>
      <c r="D4011" s="2">
        <v>22664</v>
      </c>
      <c r="E4011" s="17">
        <v>52313.05</v>
      </c>
      <c r="F4011" s="11">
        <v>6.39</v>
      </c>
      <c r="G4011" s="9">
        <v>3605.8</v>
      </c>
      <c r="H4011" s="10">
        <v>0.38900000000000001</v>
      </c>
      <c r="I4011" s="11">
        <v>8</v>
      </c>
    </row>
    <row r="4012" spans="1:9" x14ac:dyDescent="0.35">
      <c r="A4012" s="2" t="s">
        <v>368</v>
      </c>
      <c r="B4012" s="3">
        <v>44986</v>
      </c>
      <c r="C4012" s="2">
        <v>26</v>
      </c>
      <c r="D4012" s="2">
        <v>43239</v>
      </c>
      <c r="E4012" s="17">
        <v>94135</v>
      </c>
      <c r="F4012" s="11">
        <v>6.42</v>
      </c>
      <c r="G4012" s="9">
        <v>6796</v>
      </c>
      <c r="H4012" s="10">
        <v>0.38500000000000001</v>
      </c>
      <c r="I4012" s="11">
        <v>7</v>
      </c>
    </row>
    <row r="4013" spans="1:9" x14ac:dyDescent="0.35">
      <c r="A4013" s="2" t="s">
        <v>368</v>
      </c>
      <c r="B4013" s="3">
        <v>45017</v>
      </c>
      <c r="C4013" s="2">
        <v>15</v>
      </c>
      <c r="D4013" s="2">
        <v>21352</v>
      </c>
      <c r="E4013" s="17">
        <v>46101.67</v>
      </c>
      <c r="F4013" s="11">
        <v>6.59</v>
      </c>
      <c r="G4013" s="9">
        <v>3224.5</v>
      </c>
      <c r="H4013" s="10">
        <v>0.4</v>
      </c>
      <c r="I4013" s="11">
        <v>8.3000000000000007</v>
      </c>
    </row>
    <row r="4014" spans="1:9" x14ac:dyDescent="0.35">
      <c r="A4014" s="2" t="s">
        <v>368</v>
      </c>
      <c r="B4014" s="3">
        <v>45047</v>
      </c>
      <c r="C4014" s="2">
        <v>16</v>
      </c>
      <c r="D4014" s="2">
        <v>24714</v>
      </c>
      <c r="E4014" s="17">
        <v>53734.86</v>
      </c>
      <c r="F4014" s="11">
        <v>6.28</v>
      </c>
      <c r="G4014" s="9">
        <v>3939.1</v>
      </c>
      <c r="H4014" s="10">
        <v>0.5</v>
      </c>
      <c r="I4014" s="11">
        <v>6.2</v>
      </c>
    </row>
    <row r="4015" spans="1:9" x14ac:dyDescent="0.35">
      <c r="A4015" s="2" t="s">
        <v>368</v>
      </c>
      <c r="B4015" s="3">
        <v>45078</v>
      </c>
      <c r="C4015" s="2">
        <v>15</v>
      </c>
      <c r="D4015" s="2">
        <v>24350</v>
      </c>
      <c r="E4015" s="17">
        <v>53079.96</v>
      </c>
      <c r="F4015" s="11">
        <v>6.59</v>
      </c>
      <c r="G4015" s="9">
        <v>3713.1</v>
      </c>
      <c r="H4015" s="10">
        <v>0.4</v>
      </c>
      <c r="I4015" s="11">
        <v>7.4</v>
      </c>
    </row>
    <row r="4016" spans="1:9" x14ac:dyDescent="0.35">
      <c r="A4016" s="2" t="s">
        <v>368</v>
      </c>
      <c r="B4016" s="3">
        <v>45108</v>
      </c>
      <c r="C4016" s="2">
        <v>17</v>
      </c>
      <c r="D4016" s="2">
        <v>22722</v>
      </c>
      <c r="E4016" s="17">
        <v>49045.1</v>
      </c>
      <c r="F4016" s="11">
        <v>6.56</v>
      </c>
      <c r="G4016" s="9">
        <v>3518</v>
      </c>
      <c r="H4016" s="10">
        <v>0.47099999999999997</v>
      </c>
      <c r="I4016" s="11">
        <v>7.3</v>
      </c>
    </row>
    <row r="4017" spans="1:9" x14ac:dyDescent="0.35">
      <c r="A4017" s="2" t="s">
        <v>368</v>
      </c>
      <c r="B4017" s="3">
        <v>45139</v>
      </c>
      <c r="C4017" s="2">
        <v>19</v>
      </c>
      <c r="D4017" s="2">
        <v>27288</v>
      </c>
      <c r="E4017" s="17">
        <v>60492.37</v>
      </c>
      <c r="F4017" s="11">
        <v>6.43</v>
      </c>
      <c r="G4017" s="9">
        <v>4236.8999999999996</v>
      </c>
      <c r="H4017" s="10">
        <v>0.316</v>
      </c>
      <c r="I4017" s="11">
        <v>6.1</v>
      </c>
    </row>
    <row r="4018" spans="1:9" x14ac:dyDescent="0.35">
      <c r="A4018" s="2" t="s">
        <v>368</v>
      </c>
      <c r="B4018" s="3">
        <v>45170</v>
      </c>
      <c r="C4018" s="2">
        <v>18</v>
      </c>
      <c r="D4018" s="2">
        <v>23600</v>
      </c>
      <c r="E4018" s="17">
        <v>50375.01</v>
      </c>
      <c r="F4018" s="11">
        <v>6.72</v>
      </c>
      <c r="G4018" s="9">
        <v>3520.7</v>
      </c>
      <c r="H4018" s="10">
        <v>0.33300000000000002</v>
      </c>
      <c r="I4018" s="11">
        <v>7.3</v>
      </c>
    </row>
    <row r="4019" spans="1:9" x14ac:dyDescent="0.35">
      <c r="A4019" s="2" t="s">
        <v>368</v>
      </c>
      <c r="B4019" s="3">
        <v>45200</v>
      </c>
      <c r="C4019" s="2">
        <v>27</v>
      </c>
      <c r="D4019" s="2">
        <v>43709</v>
      </c>
      <c r="E4019" s="17">
        <v>92463.360000000001</v>
      </c>
      <c r="F4019" s="11">
        <v>6.64</v>
      </c>
      <c r="G4019" s="9">
        <v>6543</v>
      </c>
      <c r="H4019" s="10">
        <v>0.33300000000000002</v>
      </c>
      <c r="I4019" s="11">
        <v>6.5</v>
      </c>
    </row>
    <row r="4020" spans="1:9" x14ac:dyDescent="0.35">
      <c r="A4020" s="2" t="s">
        <v>368</v>
      </c>
      <c r="B4020" s="3">
        <v>45231</v>
      </c>
      <c r="C4020" s="2">
        <v>22</v>
      </c>
      <c r="D4020" s="2">
        <v>27183</v>
      </c>
      <c r="E4020" s="17">
        <v>56715.05</v>
      </c>
      <c r="F4020" s="11">
        <v>6.37</v>
      </c>
      <c r="G4020" s="9">
        <v>4264.1000000000004</v>
      </c>
      <c r="H4020" s="10">
        <v>0.36399999999999999</v>
      </c>
      <c r="I4020" s="11">
        <v>6.8</v>
      </c>
    </row>
    <row r="4021" spans="1:9" x14ac:dyDescent="0.35">
      <c r="A4021" s="2" t="s">
        <v>368</v>
      </c>
      <c r="B4021" s="3">
        <v>45261</v>
      </c>
      <c r="C4021" s="2">
        <v>25</v>
      </c>
      <c r="D4021" s="2">
        <v>36341</v>
      </c>
      <c r="E4021" s="17">
        <v>81498.16</v>
      </c>
      <c r="F4021" s="11">
        <v>6.46</v>
      </c>
      <c r="G4021" s="9">
        <v>5671.8</v>
      </c>
      <c r="H4021" s="10">
        <v>0.16</v>
      </c>
      <c r="I4021" s="11">
        <v>6.8</v>
      </c>
    </row>
    <row r="4022" spans="1:9" x14ac:dyDescent="0.35">
      <c r="A4022" s="2" t="s">
        <v>368</v>
      </c>
      <c r="B4022" s="3">
        <v>45292</v>
      </c>
      <c r="C4022" s="2">
        <v>20</v>
      </c>
      <c r="D4022" s="2">
        <v>30682</v>
      </c>
      <c r="E4022" s="17">
        <v>68635.960000000006</v>
      </c>
      <c r="F4022" s="11">
        <v>6.48</v>
      </c>
      <c r="G4022" s="9">
        <v>4762.6000000000004</v>
      </c>
      <c r="H4022" s="10">
        <v>0.4</v>
      </c>
      <c r="I4022" s="11">
        <v>7.7</v>
      </c>
    </row>
    <row r="4023" spans="1:9" x14ac:dyDescent="0.35">
      <c r="A4023" s="2" t="s">
        <v>368</v>
      </c>
      <c r="B4023" s="3">
        <v>45323</v>
      </c>
      <c r="C4023" s="2">
        <v>23</v>
      </c>
      <c r="D4023" s="2">
        <v>25405</v>
      </c>
      <c r="E4023" s="17">
        <v>51541.18</v>
      </c>
      <c r="F4023" s="11">
        <v>6.62</v>
      </c>
      <c r="G4023" s="9">
        <v>3949</v>
      </c>
      <c r="H4023" s="10">
        <v>0.69599999999999995</v>
      </c>
      <c r="I4023" s="11">
        <v>7.4</v>
      </c>
    </row>
    <row r="4024" spans="1:9" x14ac:dyDescent="0.35">
      <c r="A4024" s="2" t="s">
        <v>368</v>
      </c>
      <c r="B4024" s="3">
        <v>45352</v>
      </c>
      <c r="C4024" s="2">
        <v>24</v>
      </c>
      <c r="D4024" s="2">
        <v>34897</v>
      </c>
      <c r="E4024" s="17">
        <v>73020.47</v>
      </c>
      <c r="F4024" s="11">
        <v>6.64</v>
      </c>
      <c r="G4024" s="9">
        <v>5267</v>
      </c>
      <c r="H4024" s="10">
        <v>0.66700000000000004</v>
      </c>
      <c r="I4024" s="11">
        <v>6.5</v>
      </c>
    </row>
    <row r="4025" spans="1:9" x14ac:dyDescent="0.35">
      <c r="A4025" s="2" t="s">
        <v>368</v>
      </c>
      <c r="B4025" s="3">
        <v>45383</v>
      </c>
      <c r="C4025" s="2">
        <v>12</v>
      </c>
      <c r="D4025" s="2">
        <v>18670</v>
      </c>
      <c r="E4025" s="17">
        <v>38786.29</v>
      </c>
      <c r="F4025" s="11">
        <v>6.19</v>
      </c>
      <c r="G4025" s="9">
        <v>3036.7</v>
      </c>
      <c r="H4025" s="10">
        <v>0.66700000000000004</v>
      </c>
      <c r="I4025" s="11">
        <v>8.6</v>
      </c>
    </row>
    <row r="4026" spans="1:9" x14ac:dyDescent="0.35">
      <c r="A4026" s="2" t="s">
        <v>368</v>
      </c>
      <c r="B4026" s="3">
        <v>45413</v>
      </c>
      <c r="C4026" s="2">
        <v>14</v>
      </c>
      <c r="D4026" s="2">
        <v>20688</v>
      </c>
      <c r="E4026" s="17">
        <v>42123.26</v>
      </c>
      <c r="F4026" s="11">
        <v>6.76</v>
      </c>
      <c r="G4026" s="9">
        <v>3070.9</v>
      </c>
      <c r="H4026" s="10">
        <v>0.42899999999999999</v>
      </c>
      <c r="I4026" s="11">
        <v>6.4</v>
      </c>
    </row>
    <row r="4027" spans="1:9" x14ac:dyDescent="0.35">
      <c r="A4027" s="2" t="s">
        <v>368</v>
      </c>
      <c r="B4027" s="3">
        <v>45444</v>
      </c>
      <c r="C4027" s="2">
        <v>14</v>
      </c>
      <c r="D4027" s="2">
        <v>25158</v>
      </c>
      <c r="E4027" s="17">
        <v>52306.09</v>
      </c>
      <c r="F4027" s="11">
        <v>6.49</v>
      </c>
      <c r="G4027" s="9">
        <v>3897.8</v>
      </c>
      <c r="H4027" s="10">
        <v>0.35699999999999998</v>
      </c>
      <c r="I4027" s="11">
        <v>7.8</v>
      </c>
    </row>
    <row r="4028" spans="1:9" x14ac:dyDescent="0.35">
      <c r="A4028" s="2" t="s">
        <v>368</v>
      </c>
      <c r="B4028" s="3">
        <v>45474</v>
      </c>
      <c r="C4028" s="2">
        <v>19</v>
      </c>
      <c r="D4028" s="2">
        <v>24283</v>
      </c>
      <c r="E4028" s="17">
        <v>56094.41</v>
      </c>
      <c r="F4028" s="11">
        <v>6.56</v>
      </c>
      <c r="G4028" s="9">
        <v>3796.4</v>
      </c>
      <c r="H4028" s="10">
        <v>0.42099999999999999</v>
      </c>
      <c r="I4028" s="11">
        <v>6.5</v>
      </c>
    </row>
    <row r="4029" spans="1:9" x14ac:dyDescent="0.35">
      <c r="A4029" s="2" t="s">
        <v>368</v>
      </c>
      <c r="B4029" s="3">
        <v>45505</v>
      </c>
      <c r="C4029" s="2">
        <v>28</v>
      </c>
      <c r="D4029" s="2">
        <v>40004</v>
      </c>
      <c r="E4029" s="17">
        <v>87415.47</v>
      </c>
      <c r="F4029" s="11">
        <v>6.51</v>
      </c>
      <c r="G4029" s="9">
        <v>6171.8</v>
      </c>
      <c r="H4029" s="10">
        <v>0.53600000000000003</v>
      </c>
      <c r="I4029" s="11">
        <v>7.3</v>
      </c>
    </row>
    <row r="4030" spans="1:9" x14ac:dyDescent="0.35">
      <c r="A4030" s="2" t="s">
        <v>368</v>
      </c>
      <c r="B4030" s="3">
        <v>45536</v>
      </c>
      <c r="C4030" s="2">
        <v>18</v>
      </c>
      <c r="D4030" s="2">
        <v>29526</v>
      </c>
      <c r="E4030" s="17">
        <v>51123.45</v>
      </c>
      <c r="F4030" s="11">
        <v>6.46</v>
      </c>
      <c r="G4030" s="9">
        <v>4649.5</v>
      </c>
      <c r="H4030" s="10">
        <v>0.5</v>
      </c>
      <c r="I4030" s="11">
        <v>5.8</v>
      </c>
    </row>
    <row r="4031" spans="1:9" x14ac:dyDescent="0.35">
      <c r="A4031" s="2" t="s">
        <v>368</v>
      </c>
      <c r="B4031" s="3">
        <v>45566</v>
      </c>
      <c r="C4031" s="2">
        <v>24</v>
      </c>
      <c r="D4031" s="2">
        <v>37217</v>
      </c>
      <c r="E4031" s="17">
        <v>78618.94</v>
      </c>
      <c r="F4031" s="11">
        <v>6.45</v>
      </c>
      <c r="G4031" s="9">
        <v>5845.2</v>
      </c>
      <c r="H4031" s="10">
        <v>0.375</v>
      </c>
      <c r="I4031" s="11">
        <v>6.8</v>
      </c>
    </row>
    <row r="4032" spans="1:9" x14ac:dyDescent="0.35">
      <c r="A4032" s="2" t="s">
        <v>368</v>
      </c>
      <c r="B4032" s="3">
        <v>45597</v>
      </c>
      <c r="C4032" s="2">
        <v>9</v>
      </c>
      <c r="D4032" s="2">
        <v>12281</v>
      </c>
      <c r="E4032" s="17">
        <v>27678.04</v>
      </c>
      <c r="F4032" s="11">
        <v>6.34</v>
      </c>
      <c r="G4032" s="9">
        <v>1947.3</v>
      </c>
      <c r="H4032" s="10">
        <v>0.44400000000000001</v>
      </c>
      <c r="I4032" s="11">
        <v>9.6999999999999993</v>
      </c>
    </row>
    <row r="4033" spans="1:9" x14ac:dyDescent="0.35">
      <c r="A4033" s="2" t="s">
        <v>368</v>
      </c>
      <c r="B4033" s="3">
        <v>45627</v>
      </c>
      <c r="C4033" s="2">
        <v>14</v>
      </c>
      <c r="D4033" s="2">
        <v>25338</v>
      </c>
      <c r="E4033" s="17">
        <v>59542.01</v>
      </c>
      <c r="F4033" s="11">
        <v>6.53</v>
      </c>
      <c r="G4033" s="9">
        <v>3901.4</v>
      </c>
      <c r="H4033" s="10">
        <v>0.28599999999999998</v>
      </c>
      <c r="I4033" s="11">
        <v>5</v>
      </c>
    </row>
    <row r="4034" spans="1:9" x14ac:dyDescent="0.35">
      <c r="A4034" s="2" t="s">
        <v>376</v>
      </c>
      <c r="B4034" s="3">
        <v>44562</v>
      </c>
      <c r="C4034" s="2">
        <v>22</v>
      </c>
      <c r="D4034" s="2">
        <v>37060</v>
      </c>
      <c r="E4034" s="17">
        <v>73597.83</v>
      </c>
      <c r="F4034" s="11">
        <v>6.74</v>
      </c>
      <c r="G4034" s="9">
        <v>5568.9</v>
      </c>
      <c r="H4034" s="10">
        <v>0.45500000000000002</v>
      </c>
      <c r="I4034" s="11">
        <v>6.7</v>
      </c>
    </row>
    <row r="4035" spans="1:9" x14ac:dyDescent="0.35">
      <c r="A4035" s="2" t="s">
        <v>376</v>
      </c>
      <c r="B4035" s="3">
        <v>44593</v>
      </c>
      <c r="C4035" s="2">
        <v>13</v>
      </c>
      <c r="D4035" s="2">
        <v>13681</v>
      </c>
      <c r="E4035" s="17">
        <v>31439.7</v>
      </c>
      <c r="F4035" s="11">
        <v>6.56</v>
      </c>
      <c r="G4035" s="9">
        <v>2130.6</v>
      </c>
      <c r="H4035" s="10">
        <v>0.46200000000000002</v>
      </c>
      <c r="I4035" s="11">
        <v>7.5</v>
      </c>
    </row>
    <row r="4036" spans="1:9" x14ac:dyDescent="0.35">
      <c r="A4036" s="2" t="s">
        <v>376</v>
      </c>
      <c r="B4036" s="3">
        <v>44621</v>
      </c>
      <c r="C4036" s="2">
        <v>21</v>
      </c>
      <c r="D4036" s="2">
        <v>29398</v>
      </c>
      <c r="E4036" s="17">
        <v>67148.899999999994</v>
      </c>
      <c r="F4036" s="11">
        <v>6.5</v>
      </c>
      <c r="G4036" s="9">
        <v>4591</v>
      </c>
      <c r="H4036" s="10">
        <v>0.66700000000000004</v>
      </c>
      <c r="I4036" s="11">
        <v>7.3</v>
      </c>
    </row>
    <row r="4037" spans="1:9" x14ac:dyDescent="0.35">
      <c r="A4037" s="2" t="s">
        <v>376</v>
      </c>
      <c r="B4037" s="3">
        <v>44652</v>
      </c>
      <c r="C4037" s="2">
        <v>19</v>
      </c>
      <c r="D4037" s="2">
        <v>29319</v>
      </c>
      <c r="E4037" s="17">
        <v>60421.83</v>
      </c>
      <c r="F4037" s="11">
        <v>6.58</v>
      </c>
      <c r="G4037" s="9">
        <v>4509.5</v>
      </c>
      <c r="H4037" s="10">
        <v>0.57899999999999996</v>
      </c>
      <c r="I4037" s="11">
        <v>6.9</v>
      </c>
    </row>
    <row r="4038" spans="1:9" x14ac:dyDescent="0.35">
      <c r="A4038" s="2" t="s">
        <v>376</v>
      </c>
      <c r="B4038" s="3">
        <v>44682</v>
      </c>
      <c r="C4038" s="2">
        <v>9</v>
      </c>
      <c r="D4038" s="2">
        <v>14328</v>
      </c>
      <c r="E4038" s="17">
        <v>31809.06</v>
      </c>
      <c r="F4038" s="11">
        <v>6.84</v>
      </c>
      <c r="G4038" s="9">
        <v>2107.5</v>
      </c>
      <c r="H4038" s="10">
        <v>0.33300000000000002</v>
      </c>
      <c r="I4038" s="11">
        <v>6.9</v>
      </c>
    </row>
    <row r="4039" spans="1:9" x14ac:dyDescent="0.35">
      <c r="A4039" s="2" t="s">
        <v>376</v>
      </c>
      <c r="B4039" s="3">
        <v>44713</v>
      </c>
      <c r="C4039" s="2">
        <v>20</v>
      </c>
      <c r="D4039" s="2">
        <v>28023</v>
      </c>
      <c r="E4039" s="17">
        <v>57803.86</v>
      </c>
      <c r="F4039" s="11">
        <v>6.39</v>
      </c>
      <c r="G4039" s="9">
        <v>4454.7</v>
      </c>
      <c r="H4039" s="10">
        <v>0.5</v>
      </c>
      <c r="I4039" s="11">
        <v>7.2</v>
      </c>
    </row>
    <row r="4040" spans="1:9" x14ac:dyDescent="0.35">
      <c r="A4040" s="2" t="s">
        <v>376</v>
      </c>
      <c r="B4040" s="3">
        <v>44743</v>
      </c>
      <c r="C4040" s="2">
        <v>17</v>
      </c>
      <c r="D4040" s="2">
        <v>23655</v>
      </c>
      <c r="E4040" s="17">
        <v>55712.41</v>
      </c>
      <c r="F4040" s="11">
        <v>6.42</v>
      </c>
      <c r="G4040" s="9">
        <v>3731.9</v>
      </c>
      <c r="H4040" s="10">
        <v>0.29399999999999998</v>
      </c>
      <c r="I4040" s="11">
        <v>7.2</v>
      </c>
    </row>
    <row r="4041" spans="1:9" x14ac:dyDescent="0.35">
      <c r="A4041" s="2" t="s">
        <v>376</v>
      </c>
      <c r="B4041" s="3">
        <v>44774</v>
      </c>
      <c r="C4041" s="2">
        <v>19</v>
      </c>
      <c r="D4041" s="2">
        <v>31021</v>
      </c>
      <c r="E4041" s="17">
        <v>54262.43</v>
      </c>
      <c r="F4041" s="11">
        <v>6.55</v>
      </c>
      <c r="G4041" s="9">
        <v>4716.5</v>
      </c>
      <c r="H4041" s="10">
        <v>0.36799999999999999</v>
      </c>
      <c r="I4041" s="11">
        <v>7.9</v>
      </c>
    </row>
    <row r="4042" spans="1:9" x14ac:dyDescent="0.35">
      <c r="A4042" s="2" t="s">
        <v>376</v>
      </c>
      <c r="B4042" s="3">
        <v>44805</v>
      </c>
      <c r="C4042" s="2">
        <v>28</v>
      </c>
      <c r="D4042" s="2">
        <v>38157</v>
      </c>
      <c r="E4042" s="17">
        <v>85674</v>
      </c>
      <c r="F4042" s="11">
        <v>6.63</v>
      </c>
      <c r="G4042" s="9">
        <v>5735.8</v>
      </c>
      <c r="H4042" s="10">
        <v>0.39300000000000002</v>
      </c>
      <c r="I4042" s="11">
        <v>7.1</v>
      </c>
    </row>
    <row r="4043" spans="1:9" x14ac:dyDescent="0.35">
      <c r="A4043" s="2" t="s">
        <v>376</v>
      </c>
      <c r="B4043" s="3">
        <v>44835</v>
      </c>
      <c r="C4043" s="2">
        <v>18</v>
      </c>
      <c r="D4043" s="2">
        <v>20501</v>
      </c>
      <c r="E4043" s="17">
        <v>45623.89</v>
      </c>
      <c r="F4043" s="11">
        <v>6.42</v>
      </c>
      <c r="G4043" s="9">
        <v>3267.9</v>
      </c>
      <c r="H4043" s="10">
        <v>0.5</v>
      </c>
      <c r="I4043" s="11">
        <v>7.4</v>
      </c>
    </row>
    <row r="4044" spans="1:9" x14ac:dyDescent="0.35">
      <c r="A4044" s="2" t="s">
        <v>376</v>
      </c>
      <c r="B4044" s="3">
        <v>44866</v>
      </c>
      <c r="C4044" s="2">
        <v>19</v>
      </c>
      <c r="D4044" s="2">
        <v>26092</v>
      </c>
      <c r="E4044" s="17">
        <v>61657.91</v>
      </c>
      <c r="F4044" s="11">
        <v>6.75</v>
      </c>
      <c r="G4044" s="9">
        <v>3948.9</v>
      </c>
      <c r="H4044" s="10">
        <v>0.47399999999999998</v>
      </c>
      <c r="I4044" s="11">
        <v>7.7</v>
      </c>
    </row>
    <row r="4045" spans="1:9" x14ac:dyDescent="0.35">
      <c r="A4045" s="2" t="s">
        <v>376</v>
      </c>
      <c r="B4045" s="3">
        <v>44896</v>
      </c>
      <c r="C4045" s="2">
        <v>25</v>
      </c>
      <c r="D4045" s="2">
        <v>38530</v>
      </c>
      <c r="E4045" s="17">
        <v>88247.44</v>
      </c>
      <c r="F4045" s="11">
        <v>6.47</v>
      </c>
      <c r="G4045" s="9">
        <v>5906.9</v>
      </c>
      <c r="H4045" s="10">
        <v>0.64</v>
      </c>
      <c r="I4045" s="11">
        <v>6.3</v>
      </c>
    </row>
    <row r="4046" spans="1:9" x14ac:dyDescent="0.35">
      <c r="A4046" s="2" t="s">
        <v>376</v>
      </c>
      <c r="B4046" s="3">
        <v>44927</v>
      </c>
      <c r="C4046" s="2">
        <v>12</v>
      </c>
      <c r="D4046" s="2">
        <v>13709</v>
      </c>
      <c r="E4046" s="17">
        <v>28165.56</v>
      </c>
      <c r="F4046" s="11">
        <v>6.78</v>
      </c>
      <c r="G4046" s="9">
        <v>2019.2</v>
      </c>
      <c r="H4046" s="10">
        <v>0.5</v>
      </c>
      <c r="I4046" s="11">
        <v>6.7</v>
      </c>
    </row>
    <row r="4047" spans="1:9" x14ac:dyDescent="0.35">
      <c r="A4047" s="2" t="s">
        <v>376</v>
      </c>
      <c r="B4047" s="3">
        <v>44958</v>
      </c>
      <c r="C4047" s="2">
        <v>24</v>
      </c>
      <c r="D4047" s="2">
        <v>38169</v>
      </c>
      <c r="E4047" s="17">
        <v>83314.73</v>
      </c>
      <c r="F4047" s="11">
        <v>6.45</v>
      </c>
      <c r="G4047" s="9">
        <v>5912.4</v>
      </c>
      <c r="H4047" s="10">
        <v>0.58299999999999996</v>
      </c>
      <c r="I4047" s="11">
        <v>7.4</v>
      </c>
    </row>
    <row r="4048" spans="1:9" x14ac:dyDescent="0.35">
      <c r="A4048" s="2" t="s">
        <v>376</v>
      </c>
      <c r="B4048" s="3">
        <v>44986</v>
      </c>
      <c r="C4048" s="2">
        <v>14</v>
      </c>
      <c r="D4048" s="2">
        <v>23038</v>
      </c>
      <c r="E4048" s="17">
        <v>47258.41</v>
      </c>
      <c r="F4048" s="11">
        <v>6.47</v>
      </c>
      <c r="G4048" s="9">
        <v>3637.1</v>
      </c>
      <c r="H4048" s="10">
        <v>0.5</v>
      </c>
      <c r="I4048" s="11">
        <v>7.4</v>
      </c>
    </row>
    <row r="4049" spans="1:9" x14ac:dyDescent="0.35">
      <c r="A4049" s="2" t="s">
        <v>376</v>
      </c>
      <c r="B4049" s="3">
        <v>45017</v>
      </c>
      <c r="C4049" s="2">
        <v>11</v>
      </c>
      <c r="D4049" s="2">
        <v>20965</v>
      </c>
      <c r="E4049" s="17">
        <v>43525.36</v>
      </c>
      <c r="F4049" s="11">
        <v>6.52</v>
      </c>
      <c r="G4049" s="9">
        <v>3275.5</v>
      </c>
      <c r="H4049" s="10">
        <v>0.45500000000000002</v>
      </c>
      <c r="I4049" s="11">
        <v>7.5</v>
      </c>
    </row>
    <row r="4050" spans="1:9" x14ac:dyDescent="0.35">
      <c r="A4050" s="2" t="s">
        <v>376</v>
      </c>
      <c r="B4050" s="3">
        <v>45047</v>
      </c>
      <c r="C4050" s="2">
        <v>20</v>
      </c>
      <c r="D4050" s="2">
        <v>23364</v>
      </c>
      <c r="E4050" s="17">
        <v>46695.5</v>
      </c>
      <c r="F4050" s="11">
        <v>6.47</v>
      </c>
      <c r="G4050" s="9">
        <v>3680.7</v>
      </c>
      <c r="H4050" s="10">
        <v>0.55000000000000004</v>
      </c>
      <c r="I4050" s="11">
        <v>6.4</v>
      </c>
    </row>
    <row r="4051" spans="1:9" x14ac:dyDescent="0.35">
      <c r="A4051" s="2" t="s">
        <v>376</v>
      </c>
      <c r="B4051" s="3">
        <v>45078</v>
      </c>
      <c r="C4051" s="2">
        <v>15</v>
      </c>
      <c r="D4051" s="2">
        <v>20957</v>
      </c>
      <c r="E4051" s="17">
        <v>41141.06</v>
      </c>
      <c r="F4051" s="11">
        <v>6.46</v>
      </c>
      <c r="G4051" s="9">
        <v>3220.4</v>
      </c>
      <c r="H4051" s="10">
        <v>0.53300000000000003</v>
      </c>
      <c r="I4051" s="11">
        <v>7.2</v>
      </c>
    </row>
    <row r="4052" spans="1:9" x14ac:dyDescent="0.35">
      <c r="A4052" s="2" t="s">
        <v>376</v>
      </c>
      <c r="B4052" s="3">
        <v>45108</v>
      </c>
      <c r="C4052" s="2">
        <v>14</v>
      </c>
      <c r="D4052" s="2">
        <v>17703</v>
      </c>
      <c r="E4052" s="17">
        <v>37250.25</v>
      </c>
      <c r="F4052" s="11">
        <v>6.66</v>
      </c>
      <c r="G4052" s="9">
        <v>2699.1</v>
      </c>
      <c r="H4052" s="10">
        <v>0.35699999999999998</v>
      </c>
      <c r="I4052" s="11">
        <v>8.1999999999999993</v>
      </c>
    </row>
    <row r="4053" spans="1:9" x14ac:dyDescent="0.35">
      <c r="A4053" s="2" t="s">
        <v>376</v>
      </c>
      <c r="B4053" s="3">
        <v>45139</v>
      </c>
      <c r="C4053" s="2">
        <v>22</v>
      </c>
      <c r="D4053" s="2">
        <v>35365</v>
      </c>
      <c r="E4053" s="17">
        <v>78471.72</v>
      </c>
      <c r="F4053" s="11">
        <v>6.57</v>
      </c>
      <c r="G4053" s="9">
        <v>5403.9</v>
      </c>
      <c r="H4053" s="10">
        <v>0.40899999999999997</v>
      </c>
      <c r="I4053" s="11">
        <v>6.9</v>
      </c>
    </row>
    <row r="4054" spans="1:9" x14ac:dyDescent="0.35">
      <c r="A4054" s="2" t="s">
        <v>376</v>
      </c>
      <c r="B4054" s="3">
        <v>45170</v>
      </c>
      <c r="C4054" s="2">
        <v>22</v>
      </c>
      <c r="D4054" s="2">
        <v>32302</v>
      </c>
      <c r="E4054" s="17">
        <v>66970.63</v>
      </c>
      <c r="F4054" s="11">
        <v>6.58</v>
      </c>
      <c r="G4054" s="9">
        <v>4988.7</v>
      </c>
      <c r="H4054" s="10">
        <v>0.36399999999999999</v>
      </c>
      <c r="I4054" s="11">
        <v>6.6</v>
      </c>
    </row>
    <row r="4055" spans="1:9" x14ac:dyDescent="0.35">
      <c r="A4055" s="2" t="s">
        <v>376</v>
      </c>
      <c r="B4055" s="3">
        <v>45200</v>
      </c>
      <c r="C4055" s="2">
        <v>26</v>
      </c>
      <c r="D4055" s="2">
        <v>42262</v>
      </c>
      <c r="E4055" s="17">
        <v>86812.28</v>
      </c>
      <c r="F4055" s="11">
        <v>6.39</v>
      </c>
      <c r="G4055" s="9">
        <v>6691.8</v>
      </c>
      <c r="H4055" s="10">
        <v>0.53800000000000003</v>
      </c>
      <c r="I4055" s="11">
        <v>7.2</v>
      </c>
    </row>
    <row r="4056" spans="1:9" x14ac:dyDescent="0.35">
      <c r="A4056" s="2" t="s">
        <v>376</v>
      </c>
      <c r="B4056" s="3">
        <v>45231</v>
      </c>
      <c r="C4056" s="2">
        <v>15</v>
      </c>
      <c r="D4056" s="2">
        <v>24886</v>
      </c>
      <c r="E4056" s="17">
        <v>53427.76</v>
      </c>
      <c r="F4056" s="11">
        <v>6.78</v>
      </c>
      <c r="G4056" s="9">
        <v>3727.1</v>
      </c>
      <c r="H4056" s="10">
        <v>0.2</v>
      </c>
      <c r="I4056" s="11">
        <v>6.5</v>
      </c>
    </row>
    <row r="4057" spans="1:9" x14ac:dyDescent="0.35">
      <c r="A4057" s="2" t="s">
        <v>376</v>
      </c>
      <c r="B4057" s="3">
        <v>45261</v>
      </c>
      <c r="C4057" s="2">
        <v>22</v>
      </c>
      <c r="D4057" s="2">
        <v>31133</v>
      </c>
      <c r="E4057" s="17">
        <v>63159.35</v>
      </c>
      <c r="F4057" s="11">
        <v>6.24</v>
      </c>
      <c r="G4057" s="9">
        <v>5017.8</v>
      </c>
      <c r="H4057" s="10">
        <v>0.36399999999999999</v>
      </c>
      <c r="I4057" s="11">
        <v>7.2</v>
      </c>
    </row>
    <row r="4058" spans="1:9" x14ac:dyDescent="0.35">
      <c r="A4058" s="2" t="s">
        <v>376</v>
      </c>
      <c r="B4058" s="3">
        <v>45292</v>
      </c>
      <c r="C4058" s="2">
        <v>20</v>
      </c>
      <c r="D4058" s="2">
        <v>31084</v>
      </c>
      <c r="E4058" s="17">
        <v>65576.479999999996</v>
      </c>
      <c r="F4058" s="11">
        <v>6.43</v>
      </c>
      <c r="G4058" s="9">
        <v>4788.7</v>
      </c>
      <c r="H4058" s="10">
        <v>0.55000000000000004</v>
      </c>
      <c r="I4058" s="11">
        <v>7.2</v>
      </c>
    </row>
    <row r="4059" spans="1:9" x14ac:dyDescent="0.35">
      <c r="A4059" s="2" t="s">
        <v>376</v>
      </c>
      <c r="B4059" s="3">
        <v>45323</v>
      </c>
      <c r="C4059" s="2">
        <v>6</v>
      </c>
      <c r="D4059" s="2">
        <v>6047</v>
      </c>
      <c r="E4059" s="17">
        <v>12681.2</v>
      </c>
      <c r="F4059" s="11">
        <v>6.53</v>
      </c>
      <c r="G4059" s="9">
        <v>981.6</v>
      </c>
      <c r="H4059" s="10">
        <v>0.33300000000000002</v>
      </c>
      <c r="I4059" s="11">
        <v>5.2</v>
      </c>
    </row>
    <row r="4060" spans="1:9" x14ac:dyDescent="0.35">
      <c r="A4060" s="2" t="s">
        <v>376</v>
      </c>
      <c r="B4060" s="3">
        <v>45352</v>
      </c>
      <c r="C4060" s="2">
        <v>22</v>
      </c>
      <c r="D4060" s="2">
        <v>34878</v>
      </c>
      <c r="E4060" s="17">
        <v>73737.47</v>
      </c>
      <c r="F4060" s="11">
        <v>6.4</v>
      </c>
      <c r="G4060" s="9">
        <v>5480.1</v>
      </c>
      <c r="H4060" s="10">
        <v>0.54500000000000004</v>
      </c>
      <c r="I4060" s="11">
        <v>7.1</v>
      </c>
    </row>
    <row r="4061" spans="1:9" x14ac:dyDescent="0.35">
      <c r="A4061" s="2" t="s">
        <v>376</v>
      </c>
      <c r="B4061" s="3">
        <v>45383</v>
      </c>
      <c r="C4061" s="2">
        <v>20</v>
      </c>
      <c r="D4061" s="2">
        <v>27241</v>
      </c>
      <c r="E4061" s="17">
        <v>52407.38</v>
      </c>
      <c r="F4061" s="11">
        <v>6.36</v>
      </c>
      <c r="G4061" s="9">
        <v>4303.6000000000004</v>
      </c>
      <c r="H4061" s="10">
        <v>0.5</v>
      </c>
      <c r="I4061" s="11">
        <v>5.5</v>
      </c>
    </row>
    <row r="4062" spans="1:9" x14ac:dyDescent="0.35">
      <c r="A4062" s="2" t="s">
        <v>376</v>
      </c>
      <c r="B4062" s="3">
        <v>45413</v>
      </c>
      <c r="C4062" s="2">
        <v>28</v>
      </c>
      <c r="D4062" s="2">
        <v>41662</v>
      </c>
      <c r="E4062" s="17">
        <v>90861.77</v>
      </c>
      <c r="F4062" s="11">
        <v>6.46</v>
      </c>
      <c r="G4062" s="9">
        <v>6518.3</v>
      </c>
      <c r="H4062" s="10">
        <v>0.5</v>
      </c>
      <c r="I4062" s="11">
        <v>6.4</v>
      </c>
    </row>
    <row r="4063" spans="1:9" x14ac:dyDescent="0.35">
      <c r="A4063" s="2" t="s">
        <v>376</v>
      </c>
      <c r="B4063" s="3">
        <v>45444</v>
      </c>
      <c r="C4063" s="2">
        <v>21</v>
      </c>
      <c r="D4063" s="2">
        <v>26470</v>
      </c>
      <c r="E4063" s="17">
        <v>52508.09</v>
      </c>
      <c r="F4063" s="11">
        <v>6.54</v>
      </c>
      <c r="G4063" s="9">
        <v>4147.3</v>
      </c>
      <c r="H4063" s="10">
        <v>0.81</v>
      </c>
      <c r="I4063" s="11">
        <v>6.9</v>
      </c>
    </row>
    <row r="4064" spans="1:9" x14ac:dyDescent="0.35">
      <c r="A4064" s="2" t="s">
        <v>376</v>
      </c>
      <c r="B4064" s="3">
        <v>45474</v>
      </c>
      <c r="C4064" s="2">
        <v>26</v>
      </c>
      <c r="D4064" s="2">
        <v>35306</v>
      </c>
      <c r="E4064" s="17">
        <v>80293.25</v>
      </c>
      <c r="F4064" s="11">
        <v>6.36</v>
      </c>
      <c r="G4064" s="9">
        <v>5687.9</v>
      </c>
      <c r="H4064" s="10">
        <v>0.42299999999999999</v>
      </c>
      <c r="I4064" s="11">
        <v>7.5</v>
      </c>
    </row>
    <row r="4065" spans="1:9" x14ac:dyDescent="0.35">
      <c r="A4065" s="2" t="s">
        <v>376</v>
      </c>
      <c r="B4065" s="3">
        <v>45505</v>
      </c>
      <c r="C4065" s="2">
        <v>23</v>
      </c>
      <c r="D4065" s="2">
        <v>35572</v>
      </c>
      <c r="E4065" s="17">
        <v>72943.490000000005</v>
      </c>
      <c r="F4065" s="11">
        <v>6.68</v>
      </c>
      <c r="G4065" s="9">
        <v>5382.8</v>
      </c>
      <c r="H4065" s="10">
        <v>0.69599999999999995</v>
      </c>
      <c r="I4065" s="11">
        <v>7.5</v>
      </c>
    </row>
    <row r="4066" spans="1:9" x14ac:dyDescent="0.35">
      <c r="A4066" s="2" t="s">
        <v>376</v>
      </c>
      <c r="B4066" s="3">
        <v>45536</v>
      </c>
      <c r="C4066" s="2">
        <v>17</v>
      </c>
      <c r="D4066" s="2">
        <v>25624</v>
      </c>
      <c r="E4066" s="17">
        <v>55777.21</v>
      </c>
      <c r="F4066" s="11">
        <v>7</v>
      </c>
      <c r="G4066" s="9">
        <v>3654.7</v>
      </c>
      <c r="H4066" s="10">
        <v>0.35299999999999998</v>
      </c>
      <c r="I4066" s="11">
        <v>6.2</v>
      </c>
    </row>
    <row r="4067" spans="1:9" x14ac:dyDescent="0.35">
      <c r="A4067" s="2" t="s">
        <v>376</v>
      </c>
      <c r="B4067" s="3">
        <v>45566</v>
      </c>
      <c r="C4067" s="2">
        <v>18</v>
      </c>
      <c r="D4067" s="2">
        <v>28310</v>
      </c>
      <c r="E4067" s="17">
        <v>61901.73</v>
      </c>
      <c r="F4067" s="11">
        <v>6.3</v>
      </c>
      <c r="G4067" s="9">
        <v>4578.7</v>
      </c>
      <c r="H4067" s="10">
        <v>0.33300000000000002</v>
      </c>
      <c r="I4067" s="11">
        <v>7.1</v>
      </c>
    </row>
    <row r="4068" spans="1:9" x14ac:dyDescent="0.35">
      <c r="A4068" s="2" t="s">
        <v>376</v>
      </c>
      <c r="B4068" s="3">
        <v>45597</v>
      </c>
      <c r="C4068" s="2">
        <v>16</v>
      </c>
      <c r="D4068" s="2">
        <v>17955</v>
      </c>
      <c r="E4068" s="17">
        <v>40329.9</v>
      </c>
      <c r="F4068" s="11">
        <v>6.45</v>
      </c>
      <c r="G4068" s="9">
        <v>2751.1</v>
      </c>
      <c r="H4068" s="10">
        <v>0.5</v>
      </c>
      <c r="I4068" s="11">
        <v>7.6</v>
      </c>
    </row>
    <row r="4069" spans="1:9" x14ac:dyDescent="0.35">
      <c r="A4069" s="2" t="s">
        <v>376</v>
      </c>
      <c r="B4069" s="3">
        <v>45627</v>
      </c>
      <c r="C4069" s="2">
        <v>19</v>
      </c>
      <c r="D4069" s="2">
        <v>28927</v>
      </c>
      <c r="E4069" s="17">
        <v>66328.08</v>
      </c>
      <c r="F4069" s="11">
        <v>6.55</v>
      </c>
      <c r="G4069" s="9">
        <v>4475.7</v>
      </c>
      <c r="H4069" s="10">
        <v>0.47399999999999998</v>
      </c>
      <c r="I4069" s="11">
        <v>6.8</v>
      </c>
    </row>
    <row r="4070" spans="1:9" x14ac:dyDescent="0.35">
      <c r="A4070" s="2" t="s">
        <v>378</v>
      </c>
      <c r="B4070" s="3">
        <v>44562</v>
      </c>
      <c r="C4070" s="2">
        <v>21</v>
      </c>
      <c r="D4070" s="2">
        <v>27950</v>
      </c>
      <c r="E4070" s="17">
        <v>59962.37</v>
      </c>
      <c r="F4070" s="11">
        <v>6.58</v>
      </c>
      <c r="G4070" s="9">
        <v>4312.6000000000004</v>
      </c>
      <c r="H4070" s="10">
        <v>0.33300000000000002</v>
      </c>
      <c r="I4070" s="11">
        <v>7.2</v>
      </c>
    </row>
    <row r="4071" spans="1:9" x14ac:dyDescent="0.35">
      <c r="A4071" s="2" t="s">
        <v>378</v>
      </c>
      <c r="B4071" s="3">
        <v>44593</v>
      </c>
      <c r="C4071" s="2">
        <v>18</v>
      </c>
      <c r="D4071" s="2">
        <v>24328</v>
      </c>
      <c r="E4071" s="17">
        <v>52068.65</v>
      </c>
      <c r="F4071" s="11">
        <v>6.49</v>
      </c>
      <c r="G4071" s="9">
        <v>3887.2</v>
      </c>
      <c r="H4071" s="10">
        <v>0.222</v>
      </c>
      <c r="I4071" s="11">
        <v>7</v>
      </c>
    </row>
    <row r="4072" spans="1:9" x14ac:dyDescent="0.35">
      <c r="A4072" s="2" t="s">
        <v>378</v>
      </c>
      <c r="B4072" s="3">
        <v>44621</v>
      </c>
      <c r="C4072" s="2">
        <v>21</v>
      </c>
      <c r="D4072" s="2">
        <v>30261</v>
      </c>
      <c r="E4072" s="17">
        <v>68160.710000000006</v>
      </c>
      <c r="F4072" s="11">
        <v>6.65</v>
      </c>
      <c r="G4072" s="9">
        <v>4579.8999999999996</v>
      </c>
      <c r="H4072" s="10">
        <v>0.23799999999999999</v>
      </c>
      <c r="I4072" s="11">
        <v>6.9</v>
      </c>
    </row>
    <row r="4073" spans="1:9" x14ac:dyDescent="0.35">
      <c r="A4073" s="2" t="s">
        <v>378</v>
      </c>
      <c r="B4073" s="3">
        <v>44652</v>
      </c>
      <c r="C4073" s="2">
        <v>18</v>
      </c>
      <c r="D4073" s="2">
        <v>27031</v>
      </c>
      <c r="E4073" s="17">
        <v>55587.99</v>
      </c>
      <c r="F4073" s="11">
        <v>6.35</v>
      </c>
      <c r="G4073" s="9">
        <v>4287.7</v>
      </c>
      <c r="H4073" s="10">
        <v>0.38900000000000001</v>
      </c>
      <c r="I4073" s="11">
        <v>6.8</v>
      </c>
    </row>
    <row r="4074" spans="1:9" x14ac:dyDescent="0.35">
      <c r="A4074" s="2" t="s">
        <v>378</v>
      </c>
      <c r="B4074" s="3">
        <v>44682</v>
      </c>
      <c r="C4074" s="2">
        <v>34</v>
      </c>
      <c r="D4074" s="2">
        <v>44108</v>
      </c>
      <c r="E4074" s="17">
        <v>95174.53</v>
      </c>
      <c r="F4074" s="11">
        <v>6.48</v>
      </c>
      <c r="G4074" s="9">
        <v>6833.8</v>
      </c>
      <c r="H4074" s="10">
        <v>0.38200000000000001</v>
      </c>
      <c r="I4074" s="11">
        <v>7.4</v>
      </c>
    </row>
    <row r="4075" spans="1:9" x14ac:dyDescent="0.35">
      <c r="A4075" s="2" t="s">
        <v>378</v>
      </c>
      <c r="B4075" s="3">
        <v>44713</v>
      </c>
      <c r="C4075" s="2">
        <v>16</v>
      </c>
      <c r="D4075" s="2">
        <v>24011</v>
      </c>
      <c r="E4075" s="17">
        <v>54106.91</v>
      </c>
      <c r="F4075" s="11">
        <v>6.68</v>
      </c>
      <c r="G4075" s="9">
        <v>3686.2</v>
      </c>
      <c r="H4075" s="10">
        <v>0.438</v>
      </c>
      <c r="I4075" s="11">
        <v>6.8</v>
      </c>
    </row>
    <row r="4076" spans="1:9" x14ac:dyDescent="0.35">
      <c r="A4076" s="2" t="s">
        <v>378</v>
      </c>
      <c r="B4076" s="3">
        <v>44743</v>
      </c>
      <c r="C4076" s="2">
        <v>19</v>
      </c>
      <c r="D4076" s="2">
        <v>27500</v>
      </c>
      <c r="E4076" s="17">
        <v>56594.05</v>
      </c>
      <c r="F4076" s="11">
        <v>6.44</v>
      </c>
      <c r="G4076" s="9">
        <v>4268.5</v>
      </c>
      <c r="H4076" s="10">
        <v>0.26300000000000001</v>
      </c>
      <c r="I4076" s="11">
        <v>6.9</v>
      </c>
    </row>
    <row r="4077" spans="1:9" x14ac:dyDescent="0.35">
      <c r="A4077" s="2" t="s">
        <v>378</v>
      </c>
      <c r="B4077" s="3">
        <v>44774</v>
      </c>
      <c r="C4077" s="2">
        <v>17</v>
      </c>
      <c r="D4077" s="2">
        <v>17319</v>
      </c>
      <c r="E4077" s="17">
        <v>33393.949999999997</v>
      </c>
      <c r="F4077" s="11">
        <v>6.64</v>
      </c>
      <c r="G4077" s="9">
        <v>2615.4</v>
      </c>
      <c r="H4077" s="10">
        <v>0.35299999999999998</v>
      </c>
      <c r="I4077" s="11">
        <v>7.9</v>
      </c>
    </row>
    <row r="4078" spans="1:9" x14ac:dyDescent="0.35">
      <c r="A4078" s="2" t="s">
        <v>378</v>
      </c>
      <c r="B4078" s="3">
        <v>44805</v>
      </c>
      <c r="C4078" s="2">
        <v>19</v>
      </c>
      <c r="D4078" s="2">
        <v>26459</v>
      </c>
      <c r="E4078" s="17">
        <v>55442.080000000002</v>
      </c>
      <c r="F4078" s="11">
        <v>6.51</v>
      </c>
      <c r="G4078" s="9">
        <v>4130.6000000000004</v>
      </c>
      <c r="H4078" s="10">
        <v>0.316</v>
      </c>
      <c r="I4078" s="11">
        <v>5.8</v>
      </c>
    </row>
    <row r="4079" spans="1:9" x14ac:dyDescent="0.35">
      <c r="A4079" s="2" t="s">
        <v>378</v>
      </c>
      <c r="B4079" s="3">
        <v>44835</v>
      </c>
      <c r="C4079" s="2">
        <v>18</v>
      </c>
      <c r="D4079" s="2">
        <v>16949</v>
      </c>
      <c r="E4079" s="17">
        <v>37741.870000000003</v>
      </c>
      <c r="F4079" s="11">
        <v>6.52</v>
      </c>
      <c r="G4079" s="9">
        <v>2621.3000000000002</v>
      </c>
      <c r="H4079" s="10">
        <v>0.61099999999999999</v>
      </c>
      <c r="I4079" s="11">
        <v>6.7</v>
      </c>
    </row>
    <row r="4080" spans="1:9" x14ac:dyDescent="0.35">
      <c r="A4080" s="2" t="s">
        <v>378</v>
      </c>
      <c r="B4080" s="3">
        <v>44866</v>
      </c>
      <c r="C4080" s="2">
        <v>15</v>
      </c>
      <c r="D4080" s="2">
        <v>16877</v>
      </c>
      <c r="E4080" s="17">
        <v>39195.18</v>
      </c>
      <c r="F4080" s="11">
        <v>6.75</v>
      </c>
      <c r="G4080" s="9">
        <v>2536.9</v>
      </c>
      <c r="H4080" s="10">
        <v>0.6</v>
      </c>
      <c r="I4080" s="11">
        <v>6.6</v>
      </c>
    </row>
    <row r="4081" spans="1:9" x14ac:dyDescent="0.35">
      <c r="A4081" s="2" t="s">
        <v>378</v>
      </c>
      <c r="B4081" s="3">
        <v>44896</v>
      </c>
      <c r="C4081" s="2">
        <v>24</v>
      </c>
      <c r="D4081" s="2">
        <v>33385</v>
      </c>
      <c r="E4081" s="17">
        <v>76946.14</v>
      </c>
      <c r="F4081" s="11">
        <v>6.56</v>
      </c>
      <c r="G4081" s="9">
        <v>5173.6000000000004</v>
      </c>
      <c r="H4081" s="10">
        <v>0.5</v>
      </c>
      <c r="I4081" s="11">
        <v>6.8</v>
      </c>
    </row>
    <row r="4082" spans="1:9" x14ac:dyDescent="0.35">
      <c r="A4082" s="2" t="s">
        <v>378</v>
      </c>
      <c r="B4082" s="3">
        <v>44927</v>
      </c>
      <c r="C4082" s="2">
        <v>18</v>
      </c>
      <c r="D4082" s="2">
        <v>26181</v>
      </c>
      <c r="E4082" s="17">
        <v>55150.17</v>
      </c>
      <c r="F4082" s="11">
        <v>6.48</v>
      </c>
      <c r="G4082" s="9">
        <v>4099.3999999999996</v>
      </c>
      <c r="H4082" s="10">
        <v>0.72199999999999998</v>
      </c>
      <c r="I4082" s="11">
        <v>7.9</v>
      </c>
    </row>
    <row r="4083" spans="1:9" x14ac:dyDescent="0.35">
      <c r="A4083" s="2" t="s">
        <v>378</v>
      </c>
      <c r="B4083" s="3">
        <v>44958</v>
      </c>
      <c r="C4083" s="2">
        <v>24</v>
      </c>
      <c r="D4083" s="2">
        <v>28521</v>
      </c>
      <c r="E4083" s="17">
        <v>57995.73</v>
      </c>
      <c r="F4083" s="11">
        <v>6.48</v>
      </c>
      <c r="G4083" s="9">
        <v>4461.7</v>
      </c>
      <c r="H4083" s="10">
        <v>0.625</v>
      </c>
      <c r="I4083" s="11">
        <v>7.2</v>
      </c>
    </row>
    <row r="4084" spans="1:9" x14ac:dyDescent="0.35">
      <c r="A4084" s="2" t="s">
        <v>378</v>
      </c>
      <c r="B4084" s="3">
        <v>44986</v>
      </c>
      <c r="C4084" s="2">
        <v>16</v>
      </c>
      <c r="D4084" s="2">
        <v>22710</v>
      </c>
      <c r="E4084" s="17">
        <v>52937.36</v>
      </c>
      <c r="F4084" s="11">
        <v>6.37</v>
      </c>
      <c r="G4084" s="9">
        <v>3508.6</v>
      </c>
      <c r="H4084" s="10">
        <v>0.75</v>
      </c>
      <c r="I4084" s="11">
        <v>7</v>
      </c>
    </row>
    <row r="4085" spans="1:9" x14ac:dyDescent="0.35">
      <c r="A4085" s="2" t="s">
        <v>378</v>
      </c>
      <c r="B4085" s="3">
        <v>45017</v>
      </c>
      <c r="C4085" s="2">
        <v>18</v>
      </c>
      <c r="D4085" s="2">
        <v>30233</v>
      </c>
      <c r="E4085" s="17">
        <v>61284.87</v>
      </c>
      <c r="F4085" s="11">
        <v>6.24</v>
      </c>
      <c r="G4085" s="9">
        <v>4803</v>
      </c>
      <c r="H4085" s="10">
        <v>0.5</v>
      </c>
      <c r="I4085" s="11">
        <v>6.6</v>
      </c>
    </row>
    <row r="4086" spans="1:9" x14ac:dyDescent="0.35">
      <c r="A4086" s="2" t="s">
        <v>378</v>
      </c>
      <c r="B4086" s="3">
        <v>45047</v>
      </c>
      <c r="C4086" s="2">
        <v>20</v>
      </c>
      <c r="D4086" s="2">
        <v>28347</v>
      </c>
      <c r="E4086" s="17">
        <v>58301.7</v>
      </c>
      <c r="F4086" s="11">
        <v>6.5</v>
      </c>
      <c r="G4086" s="9">
        <v>4400.6000000000004</v>
      </c>
      <c r="H4086" s="10">
        <v>0.4</v>
      </c>
      <c r="I4086" s="11">
        <v>6.5</v>
      </c>
    </row>
    <row r="4087" spans="1:9" x14ac:dyDescent="0.35">
      <c r="A4087" s="2" t="s">
        <v>378</v>
      </c>
      <c r="B4087" s="3">
        <v>45078</v>
      </c>
      <c r="C4087" s="2">
        <v>16</v>
      </c>
      <c r="D4087" s="2">
        <v>20598</v>
      </c>
      <c r="E4087" s="17">
        <v>41759.879999999997</v>
      </c>
      <c r="F4087" s="11">
        <v>6.59</v>
      </c>
      <c r="G4087" s="9">
        <v>3123.5</v>
      </c>
      <c r="H4087" s="10">
        <v>0.375</v>
      </c>
      <c r="I4087" s="11">
        <v>6.6</v>
      </c>
    </row>
    <row r="4088" spans="1:9" x14ac:dyDescent="0.35">
      <c r="A4088" s="2" t="s">
        <v>378</v>
      </c>
      <c r="B4088" s="3">
        <v>45108</v>
      </c>
      <c r="C4088" s="2">
        <v>21</v>
      </c>
      <c r="D4088" s="2">
        <v>29562</v>
      </c>
      <c r="E4088" s="17">
        <v>61526.55</v>
      </c>
      <c r="F4088" s="11">
        <v>6.5</v>
      </c>
      <c r="G4088" s="9">
        <v>4559.3</v>
      </c>
      <c r="H4088" s="10">
        <v>0.61899999999999999</v>
      </c>
      <c r="I4088" s="11">
        <v>7.5</v>
      </c>
    </row>
    <row r="4089" spans="1:9" x14ac:dyDescent="0.35">
      <c r="A4089" s="2" t="s">
        <v>378</v>
      </c>
      <c r="B4089" s="3">
        <v>45139</v>
      </c>
      <c r="C4089" s="2">
        <v>20</v>
      </c>
      <c r="D4089" s="2">
        <v>33445</v>
      </c>
      <c r="E4089" s="17">
        <v>68794.27</v>
      </c>
      <c r="F4089" s="11">
        <v>6.37</v>
      </c>
      <c r="G4089" s="9">
        <v>5367.5</v>
      </c>
      <c r="H4089" s="10">
        <v>0.35</v>
      </c>
      <c r="I4089" s="11">
        <v>7.8</v>
      </c>
    </row>
    <row r="4090" spans="1:9" x14ac:dyDescent="0.35">
      <c r="A4090" s="2" t="s">
        <v>378</v>
      </c>
      <c r="B4090" s="3">
        <v>45170</v>
      </c>
      <c r="C4090" s="2">
        <v>23</v>
      </c>
      <c r="D4090" s="2">
        <v>36406</v>
      </c>
      <c r="E4090" s="17">
        <v>77780.710000000006</v>
      </c>
      <c r="F4090" s="11">
        <v>6.35</v>
      </c>
      <c r="G4090" s="9">
        <v>5759.9</v>
      </c>
      <c r="H4090" s="10">
        <v>0.435</v>
      </c>
      <c r="I4090" s="11">
        <v>7.2</v>
      </c>
    </row>
    <row r="4091" spans="1:9" x14ac:dyDescent="0.35">
      <c r="A4091" s="2" t="s">
        <v>378</v>
      </c>
      <c r="B4091" s="3">
        <v>45200</v>
      </c>
      <c r="C4091" s="2">
        <v>21</v>
      </c>
      <c r="D4091" s="2">
        <v>36052</v>
      </c>
      <c r="E4091" s="17">
        <v>80835.179999999993</v>
      </c>
      <c r="F4091" s="11">
        <v>6.65</v>
      </c>
      <c r="G4091" s="9">
        <v>5454.7</v>
      </c>
      <c r="H4091" s="10">
        <v>0.52400000000000002</v>
      </c>
      <c r="I4091" s="11">
        <v>6.5</v>
      </c>
    </row>
    <row r="4092" spans="1:9" x14ac:dyDescent="0.35">
      <c r="A4092" s="2" t="s">
        <v>378</v>
      </c>
      <c r="B4092" s="3">
        <v>45231</v>
      </c>
      <c r="C4092" s="2">
        <v>30</v>
      </c>
      <c r="D4092" s="2">
        <v>41078</v>
      </c>
      <c r="E4092" s="17">
        <v>93248.76</v>
      </c>
      <c r="F4092" s="11">
        <v>6.3</v>
      </c>
      <c r="G4092" s="9">
        <v>6582.6</v>
      </c>
      <c r="H4092" s="10">
        <v>0.4</v>
      </c>
      <c r="I4092" s="11">
        <v>7.3</v>
      </c>
    </row>
    <row r="4093" spans="1:9" x14ac:dyDescent="0.35">
      <c r="A4093" s="2" t="s">
        <v>378</v>
      </c>
      <c r="B4093" s="3">
        <v>45261</v>
      </c>
      <c r="C4093" s="2">
        <v>12</v>
      </c>
      <c r="D4093" s="2">
        <v>15251</v>
      </c>
      <c r="E4093" s="17">
        <v>31229.01</v>
      </c>
      <c r="F4093" s="11">
        <v>6.3</v>
      </c>
      <c r="G4093" s="9">
        <v>2410.9</v>
      </c>
      <c r="H4093" s="10">
        <v>0.58299999999999996</v>
      </c>
      <c r="I4093" s="11">
        <v>7.2</v>
      </c>
    </row>
    <row r="4094" spans="1:9" x14ac:dyDescent="0.35">
      <c r="A4094" s="2" t="s">
        <v>378</v>
      </c>
      <c r="B4094" s="3">
        <v>45292</v>
      </c>
      <c r="C4094" s="2">
        <v>17</v>
      </c>
      <c r="D4094" s="2">
        <v>22902</v>
      </c>
      <c r="E4094" s="17">
        <v>46775.21</v>
      </c>
      <c r="F4094" s="11">
        <v>6.76</v>
      </c>
      <c r="G4094" s="9">
        <v>3391.4</v>
      </c>
      <c r="H4094" s="10">
        <v>0.58799999999999997</v>
      </c>
      <c r="I4094" s="11">
        <v>7.2</v>
      </c>
    </row>
    <row r="4095" spans="1:9" x14ac:dyDescent="0.35">
      <c r="A4095" s="2" t="s">
        <v>378</v>
      </c>
      <c r="B4095" s="3">
        <v>45323</v>
      </c>
      <c r="C4095" s="2">
        <v>18</v>
      </c>
      <c r="D4095" s="2">
        <v>30107</v>
      </c>
      <c r="E4095" s="17">
        <v>64256.72</v>
      </c>
      <c r="F4095" s="11">
        <v>6.6</v>
      </c>
      <c r="G4095" s="9">
        <v>4670.8</v>
      </c>
      <c r="H4095" s="10">
        <v>0.5</v>
      </c>
      <c r="I4095" s="11">
        <v>6.4</v>
      </c>
    </row>
    <row r="4096" spans="1:9" x14ac:dyDescent="0.35">
      <c r="A4096" s="2" t="s">
        <v>378</v>
      </c>
      <c r="B4096" s="3">
        <v>45352</v>
      </c>
      <c r="C4096" s="2">
        <v>15</v>
      </c>
      <c r="D4096" s="2">
        <v>22206</v>
      </c>
      <c r="E4096" s="17">
        <v>44140.43</v>
      </c>
      <c r="F4096" s="11">
        <v>6.51</v>
      </c>
      <c r="G4096" s="9">
        <v>3511</v>
      </c>
      <c r="H4096" s="10">
        <v>0.4</v>
      </c>
      <c r="I4096" s="11">
        <v>7.3</v>
      </c>
    </row>
    <row r="4097" spans="1:9" x14ac:dyDescent="0.35">
      <c r="A4097" s="2" t="s">
        <v>378</v>
      </c>
      <c r="B4097" s="3">
        <v>45383</v>
      </c>
      <c r="C4097" s="2">
        <v>17</v>
      </c>
      <c r="D4097" s="2">
        <v>24134</v>
      </c>
      <c r="E4097" s="17">
        <v>54282.400000000001</v>
      </c>
      <c r="F4097" s="11">
        <v>6.34</v>
      </c>
      <c r="G4097" s="9">
        <v>3827.7</v>
      </c>
      <c r="H4097" s="10">
        <v>0.47099999999999997</v>
      </c>
      <c r="I4097" s="11">
        <v>7</v>
      </c>
    </row>
    <row r="4098" spans="1:9" x14ac:dyDescent="0.35">
      <c r="A4098" s="2" t="s">
        <v>378</v>
      </c>
      <c r="B4098" s="3">
        <v>45413</v>
      </c>
      <c r="C4098" s="2">
        <v>22</v>
      </c>
      <c r="D4098" s="2">
        <v>34900</v>
      </c>
      <c r="E4098" s="17">
        <v>76075.88</v>
      </c>
      <c r="F4098" s="11">
        <v>6.28</v>
      </c>
      <c r="G4098" s="9">
        <v>5653</v>
      </c>
      <c r="H4098" s="10">
        <v>0.5</v>
      </c>
      <c r="I4098" s="11">
        <v>7.1</v>
      </c>
    </row>
    <row r="4099" spans="1:9" x14ac:dyDescent="0.35">
      <c r="A4099" s="2" t="s">
        <v>378</v>
      </c>
      <c r="B4099" s="3">
        <v>45444</v>
      </c>
      <c r="C4099" s="2">
        <v>15</v>
      </c>
      <c r="D4099" s="2">
        <v>25009</v>
      </c>
      <c r="E4099" s="17">
        <v>52863.89</v>
      </c>
      <c r="F4099" s="11">
        <v>6.4</v>
      </c>
      <c r="G4099" s="9">
        <v>3914.7</v>
      </c>
      <c r="H4099" s="10">
        <v>0.46700000000000003</v>
      </c>
      <c r="I4099" s="11">
        <v>9</v>
      </c>
    </row>
    <row r="4100" spans="1:9" x14ac:dyDescent="0.35">
      <c r="A4100" s="2" t="s">
        <v>378</v>
      </c>
      <c r="B4100" s="3">
        <v>45474</v>
      </c>
      <c r="C4100" s="2">
        <v>28</v>
      </c>
      <c r="D4100" s="2">
        <v>44393</v>
      </c>
      <c r="E4100" s="17">
        <v>91444.84</v>
      </c>
      <c r="F4100" s="11">
        <v>6.42</v>
      </c>
      <c r="G4100" s="9">
        <v>6964.1</v>
      </c>
      <c r="H4100" s="10">
        <v>0.46400000000000002</v>
      </c>
      <c r="I4100" s="11">
        <v>7.2</v>
      </c>
    </row>
    <row r="4101" spans="1:9" x14ac:dyDescent="0.35">
      <c r="A4101" s="2" t="s">
        <v>378</v>
      </c>
      <c r="B4101" s="3">
        <v>45505</v>
      </c>
      <c r="C4101" s="2">
        <v>20</v>
      </c>
      <c r="D4101" s="2">
        <v>35451</v>
      </c>
      <c r="E4101" s="17">
        <v>71579.05</v>
      </c>
      <c r="F4101" s="11">
        <v>6.59</v>
      </c>
      <c r="G4101" s="9">
        <v>5405.1</v>
      </c>
      <c r="H4101" s="10">
        <v>0.55000000000000004</v>
      </c>
      <c r="I4101" s="11">
        <v>6.6</v>
      </c>
    </row>
    <row r="4102" spans="1:9" x14ac:dyDescent="0.35">
      <c r="A4102" s="2" t="s">
        <v>378</v>
      </c>
      <c r="B4102" s="3">
        <v>45536</v>
      </c>
      <c r="C4102" s="2">
        <v>13</v>
      </c>
      <c r="D4102" s="2">
        <v>16628</v>
      </c>
      <c r="E4102" s="17">
        <v>34274.54</v>
      </c>
      <c r="F4102" s="11">
        <v>6.44</v>
      </c>
      <c r="G4102" s="9">
        <v>2587.6</v>
      </c>
      <c r="H4102" s="10">
        <v>0.53800000000000003</v>
      </c>
      <c r="I4102" s="11">
        <v>8.1</v>
      </c>
    </row>
    <row r="4103" spans="1:9" x14ac:dyDescent="0.35">
      <c r="A4103" s="2" t="s">
        <v>378</v>
      </c>
      <c r="B4103" s="3">
        <v>45566</v>
      </c>
      <c r="C4103" s="2">
        <v>29</v>
      </c>
      <c r="D4103" s="2">
        <v>39316</v>
      </c>
      <c r="E4103" s="17">
        <v>87697.93</v>
      </c>
      <c r="F4103" s="11">
        <v>6.62</v>
      </c>
      <c r="G4103" s="9">
        <v>5867.7</v>
      </c>
      <c r="H4103" s="10">
        <v>0.51700000000000002</v>
      </c>
      <c r="I4103" s="11">
        <v>6.4</v>
      </c>
    </row>
    <row r="4104" spans="1:9" x14ac:dyDescent="0.35">
      <c r="A4104" s="2" t="s">
        <v>378</v>
      </c>
      <c r="B4104" s="3">
        <v>45597</v>
      </c>
      <c r="C4104" s="2">
        <v>15</v>
      </c>
      <c r="D4104" s="2">
        <v>19933</v>
      </c>
      <c r="E4104" s="17">
        <v>42620.57</v>
      </c>
      <c r="F4104" s="11">
        <v>6.45</v>
      </c>
      <c r="G4104" s="9">
        <v>3147.5</v>
      </c>
      <c r="H4104" s="10">
        <v>0.46700000000000003</v>
      </c>
      <c r="I4104" s="11">
        <v>7.4</v>
      </c>
    </row>
    <row r="4105" spans="1:9" x14ac:dyDescent="0.35">
      <c r="A4105" s="2" t="s">
        <v>378</v>
      </c>
      <c r="B4105" s="3">
        <v>45627</v>
      </c>
      <c r="C4105" s="2">
        <v>22</v>
      </c>
      <c r="D4105" s="2">
        <v>30153</v>
      </c>
      <c r="E4105" s="17">
        <v>61179.98</v>
      </c>
      <c r="F4105" s="11">
        <v>6.61</v>
      </c>
      <c r="G4105" s="9">
        <v>4580</v>
      </c>
      <c r="H4105" s="10">
        <v>0.36399999999999999</v>
      </c>
      <c r="I4105" s="11">
        <v>7.8</v>
      </c>
    </row>
    <row r="4106" spans="1:9" x14ac:dyDescent="0.35">
      <c r="A4106" s="2" t="s">
        <v>382</v>
      </c>
      <c r="B4106" s="3">
        <v>44562</v>
      </c>
      <c r="C4106" s="2">
        <v>22</v>
      </c>
      <c r="D4106" s="2">
        <v>30226</v>
      </c>
      <c r="E4106" s="17">
        <v>66310.559999999998</v>
      </c>
      <c r="F4106" s="11">
        <v>6.67</v>
      </c>
      <c r="G4106" s="9">
        <v>4449.3999999999996</v>
      </c>
      <c r="H4106" s="10">
        <v>0.40899999999999997</v>
      </c>
      <c r="I4106" s="11">
        <v>7.3</v>
      </c>
    </row>
    <row r="4107" spans="1:9" x14ac:dyDescent="0.35">
      <c r="A4107" s="2" t="s">
        <v>382</v>
      </c>
      <c r="B4107" s="3">
        <v>44593</v>
      </c>
      <c r="C4107" s="2">
        <v>15</v>
      </c>
      <c r="D4107" s="2">
        <v>19008</v>
      </c>
      <c r="E4107" s="17">
        <v>36498.46</v>
      </c>
      <c r="F4107" s="11">
        <v>6.33</v>
      </c>
      <c r="G4107" s="9">
        <v>2993.1</v>
      </c>
      <c r="H4107" s="10">
        <v>0.6</v>
      </c>
      <c r="I4107" s="11">
        <v>6.5</v>
      </c>
    </row>
    <row r="4108" spans="1:9" x14ac:dyDescent="0.35">
      <c r="A4108" s="2" t="s">
        <v>382</v>
      </c>
      <c r="B4108" s="3">
        <v>44621</v>
      </c>
      <c r="C4108" s="2">
        <v>20</v>
      </c>
      <c r="D4108" s="2">
        <v>35016</v>
      </c>
      <c r="E4108" s="17">
        <v>70668.62</v>
      </c>
      <c r="F4108" s="11">
        <v>6.51</v>
      </c>
      <c r="G4108" s="9">
        <v>5456.5</v>
      </c>
      <c r="H4108" s="10">
        <v>0.5</v>
      </c>
      <c r="I4108" s="11">
        <v>6.4</v>
      </c>
    </row>
    <row r="4109" spans="1:9" x14ac:dyDescent="0.35">
      <c r="A4109" s="2" t="s">
        <v>382</v>
      </c>
      <c r="B4109" s="3">
        <v>44652</v>
      </c>
      <c r="C4109" s="2">
        <v>23</v>
      </c>
      <c r="D4109" s="2">
        <v>34400</v>
      </c>
      <c r="E4109" s="17">
        <v>75443.53</v>
      </c>
      <c r="F4109" s="11">
        <v>6.72</v>
      </c>
      <c r="G4109" s="9">
        <v>5243.3</v>
      </c>
      <c r="H4109" s="10">
        <v>0.47799999999999998</v>
      </c>
      <c r="I4109" s="11">
        <v>5.4</v>
      </c>
    </row>
    <row r="4110" spans="1:9" x14ac:dyDescent="0.35">
      <c r="A4110" s="2" t="s">
        <v>382</v>
      </c>
      <c r="B4110" s="3">
        <v>44682</v>
      </c>
      <c r="C4110" s="2">
        <v>13</v>
      </c>
      <c r="D4110" s="2">
        <v>18439</v>
      </c>
      <c r="E4110" s="17">
        <v>40058.120000000003</v>
      </c>
      <c r="F4110" s="11">
        <v>6.76</v>
      </c>
      <c r="G4110" s="9">
        <v>2731</v>
      </c>
      <c r="H4110" s="10">
        <v>0.308</v>
      </c>
      <c r="I4110" s="11">
        <v>6.7</v>
      </c>
    </row>
    <row r="4111" spans="1:9" x14ac:dyDescent="0.35">
      <c r="A4111" s="2" t="s">
        <v>382</v>
      </c>
      <c r="B4111" s="3">
        <v>44713</v>
      </c>
      <c r="C4111" s="2">
        <v>14</v>
      </c>
      <c r="D4111" s="2">
        <v>14616</v>
      </c>
      <c r="E4111" s="17">
        <v>31045.81</v>
      </c>
      <c r="F4111" s="11">
        <v>6.4</v>
      </c>
      <c r="G4111" s="9">
        <v>2258.8000000000002</v>
      </c>
      <c r="H4111" s="10">
        <v>0.42899999999999999</v>
      </c>
      <c r="I4111" s="11">
        <v>6.6</v>
      </c>
    </row>
    <row r="4112" spans="1:9" x14ac:dyDescent="0.35">
      <c r="A4112" s="2" t="s">
        <v>382</v>
      </c>
      <c r="B4112" s="3">
        <v>44743</v>
      </c>
      <c r="C4112" s="2">
        <v>17</v>
      </c>
      <c r="D4112" s="2">
        <v>26074</v>
      </c>
      <c r="E4112" s="17">
        <v>54371.31</v>
      </c>
      <c r="F4112" s="11">
        <v>6.61</v>
      </c>
      <c r="G4112" s="9">
        <v>3997.8</v>
      </c>
      <c r="H4112" s="10">
        <v>0.47099999999999997</v>
      </c>
      <c r="I4112" s="11">
        <v>7.4</v>
      </c>
    </row>
    <row r="4113" spans="1:9" x14ac:dyDescent="0.35">
      <c r="A4113" s="2" t="s">
        <v>382</v>
      </c>
      <c r="B4113" s="3">
        <v>44774</v>
      </c>
      <c r="C4113" s="2">
        <v>21</v>
      </c>
      <c r="D4113" s="2">
        <v>30157</v>
      </c>
      <c r="E4113" s="17">
        <v>65706.679999999993</v>
      </c>
      <c r="F4113" s="11">
        <v>6.56</v>
      </c>
      <c r="G4113" s="9">
        <v>4680.1000000000004</v>
      </c>
      <c r="H4113" s="10">
        <v>0.52400000000000002</v>
      </c>
      <c r="I4113" s="11">
        <v>7.2</v>
      </c>
    </row>
    <row r="4114" spans="1:9" x14ac:dyDescent="0.35">
      <c r="A4114" s="2" t="s">
        <v>382</v>
      </c>
      <c r="B4114" s="3">
        <v>44805</v>
      </c>
      <c r="C4114" s="2">
        <v>15</v>
      </c>
      <c r="D4114" s="2">
        <v>20909</v>
      </c>
      <c r="E4114" s="17">
        <v>46573.919999999998</v>
      </c>
      <c r="F4114" s="11">
        <v>6.34</v>
      </c>
      <c r="G4114" s="9">
        <v>3233.6</v>
      </c>
      <c r="H4114" s="10">
        <v>0.53300000000000003</v>
      </c>
      <c r="I4114" s="11">
        <v>7.1</v>
      </c>
    </row>
    <row r="4115" spans="1:9" x14ac:dyDescent="0.35">
      <c r="A4115" s="2" t="s">
        <v>382</v>
      </c>
      <c r="B4115" s="3">
        <v>44835</v>
      </c>
      <c r="C4115" s="2">
        <v>15</v>
      </c>
      <c r="D4115" s="2">
        <v>18553</v>
      </c>
      <c r="E4115" s="17">
        <v>37328.6</v>
      </c>
      <c r="F4115" s="11">
        <v>6.39</v>
      </c>
      <c r="G4115" s="9">
        <v>2899.1</v>
      </c>
      <c r="H4115" s="10">
        <v>0.6</v>
      </c>
      <c r="I4115" s="11">
        <v>6.7</v>
      </c>
    </row>
    <row r="4116" spans="1:9" x14ac:dyDescent="0.35">
      <c r="A4116" s="2" t="s">
        <v>382</v>
      </c>
      <c r="B4116" s="3">
        <v>44866</v>
      </c>
      <c r="C4116" s="2">
        <v>18</v>
      </c>
      <c r="D4116" s="2">
        <v>27274</v>
      </c>
      <c r="E4116" s="17">
        <v>57874.19</v>
      </c>
      <c r="F4116" s="11">
        <v>6.65</v>
      </c>
      <c r="G4116" s="9">
        <v>4186.5</v>
      </c>
      <c r="H4116" s="10">
        <v>0.27800000000000002</v>
      </c>
      <c r="I4116" s="11">
        <v>6.4</v>
      </c>
    </row>
    <row r="4117" spans="1:9" x14ac:dyDescent="0.35">
      <c r="A4117" s="2" t="s">
        <v>382</v>
      </c>
      <c r="B4117" s="3">
        <v>44896</v>
      </c>
      <c r="C4117" s="2">
        <v>23</v>
      </c>
      <c r="D4117" s="2">
        <v>34052</v>
      </c>
      <c r="E4117" s="17">
        <v>70616.84</v>
      </c>
      <c r="F4117" s="11">
        <v>6.39</v>
      </c>
      <c r="G4117" s="9">
        <v>5289.8</v>
      </c>
      <c r="H4117" s="10">
        <v>0.34799999999999998</v>
      </c>
      <c r="I4117" s="11">
        <v>6.9</v>
      </c>
    </row>
    <row r="4118" spans="1:9" x14ac:dyDescent="0.35">
      <c r="A4118" s="2" t="s">
        <v>382</v>
      </c>
      <c r="B4118" s="3">
        <v>44927</v>
      </c>
      <c r="C4118" s="2">
        <v>21</v>
      </c>
      <c r="D4118" s="2">
        <v>35709</v>
      </c>
      <c r="E4118" s="17">
        <v>78708.100000000006</v>
      </c>
      <c r="F4118" s="11">
        <v>6.72</v>
      </c>
      <c r="G4118" s="9">
        <v>5404.5</v>
      </c>
      <c r="H4118" s="10">
        <v>0.47599999999999998</v>
      </c>
      <c r="I4118" s="11">
        <v>7.5</v>
      </c>
    </row>
    <row r="4119" spans="1:9" x14ac:dyDescent="0.35">
      <c r="A4119" s="2" t="s">
        <v>382</v>
      </c>
      <c r="B4119" s="3">
        <v>44958</v>
      </c>
      <c r="C4119" s="2">
        <v>23</v>
      </c>
      <c r="D4119" s="2">
        <v>30002</v>
      </c>
      <c r="E4119" s="17">
        <v>73122.740000000005</v>
      </c>
      <c r="F4119" s="11">
        <v>6.52</v>
      </c>
      <c r="G4119" s="9">
        <v>4736.3</v>
      </c>
      <c r="H4119" s="10">
        <v>0.52200000000000002</v>
      </c>
      <c r="I4119" s="11">
        <v>7.6</v>
      </c>
    </row>
    <row r="4120" spans="1:9" x14ac:dyDescent="0.35">
      <c r="A4120" s="2" t="s">
        <v>382</v>
      </c>
      <c r="B4120" s="3">
        <v>44986</v>
      </c>
      <c r="C4120" s="2">
        <v>18</v>
      </c>
      <c r="D4120" s="2">
        <v>26774</v>
      </c>
      <c r="E4120" s="17">
        <v>57638.37</v>
      </c>
      <c r="F4120" s="11">
        <v>6.65</v>
      </c>
      <c r="G4120" s="9">
        <v>4142.8</v>
      </c>
      <c r="H4120" s="10">
        <v>0.61099999999999999</v>
      </c>
      <c r="I4120" s="11">
        <v>6.7</v>
      </c>
    </row>
    <row r="4121" spans="1:9" x14ac:dyDescent="0.35">
      <c r="A4121" s="2" t="s">
        <v>382</v>
      </c>
      <c r="B4121" s="3">
        <v>45017</v>
      </c>
      <c r="C4121" s="2">
        <v>9</v>
      </c>
      <c r="D4121" s="2">
        <v>15227</v>
      </c>
      <c r="E4121" s="17">
        <v>30291.52</v>
      </c>
      <c r="F4121" s="11">
        <v>6.53</v>
      </c>
      <c r="G4121" s="9">
        <v>2341.8000000000002</v>
      </c>
      <c r="H4121" s="10">
        <v>0.55600000000000005</v>
      </c>
      <c r="I4121" s="11">
        <v>7.2</v>
      </c>
    </row>
    <row r="4122" spans="1:9" x14ac:dyDescent="0.35">
      <c r="A4122" s="2" t="s">
        <v>382</v>
      </c>
      <c r="B4122" s="3">
        <v>45047</v>
      </c>
      <c r="C4122" s="2">
        <v>14</v>
      </c>
      <c r="D4122" s="2">
        <v>17585</v>
      </c>
      <c r="E4122" s="17">
        <v>37582.959999999999</v>
      </c>
      <c r="F4122" s="11">
        <v>6.56</v>
      </c>
      <c r="G4122" s="9">
        <v>2686.1</v>
      </c>
      <c r="H4122" s="10">
        <v>0.5</v>
      </c>
      <c r="I4122" s="11">
        <v>8.1</v>
      </c>
    </row>
    <row r="4123" spans="1:9" x14ac:dyDescent="0.35">
      <c r="A4123" s="2" t="s">
        <v>382</v>
      </c>
      <c r="B4123" s="3">
        <v>45078</v>
      </c>
      <c r="C4123" s="2">
        <v>20</v>
      </c>
      <c r="D4123" s="2">
        <v>25539</v>
      </c>
      <c r="E4123" s="17">
        <v>57650.66</v>
      </c>
      <c r="F4123" s="11">
        <v>6.7</v>
      </c>
      <c r="G4123" s="9">
        <v>3882.6</v>
      </c>
      <c r="H4123" s="10">
        <v>0.4</v>
      </c>
      <c r="I4123" s="11">
        <v>7.1</v>
      </c>
    </row>
    <row r="4124" spans="1:9" x14ac:dyDescent="0.35">
      <c r="A4124" s="2" t="s">
        <v>382</v>
      </c>
      <c r="B4124" s="3">
        <v>45108</v>
      </c>
      <c r="C4124" s="2">
        <v>12</v>
      </c>
      <c r="D4124" s="2">
        <v>20031</v>
      </c>
      <c r="E4124" s="17">
        <v>42216.56</v>
      </c>
      <c r="F4124" s="11">
        <v>6.58</v>
      </c>
      <c r="G4124" s="9">
        <v>3100.8</v>
      </c>
      <c r="H4124" s="10">
        <v>0.75</v>
      </c>
      <c r="I4124" s="11">
        <v>8.6999999999999993</v>
      </c>
    </row>
    <row r="4125" spans="1:9" x14ac:dyDescent="0.35">
      <c r="A4125" s="2" t="s">
        <v>382</v>
      </c>
      <c r="B4125" s="3">
        <v>45139</v>
      </c>
      <c r="C4125" s="2">
        <v>9</v>
      </c>
      <c r="D4125" s="2">
        <v>9212</v>
      </c>
      <c r="E4125" s="17">
        <v>17721.7</v>
      </c>
      <c r="F4125" s="11">
        <v>6.5</v>
      </c>
      <c r="G4125" s="9">
        <v>1456.2</v>
      </c>
      <c r="H4125" s="10">
        <v>0.44400000000000001</v>
      </c>
      <c r="I4125" s="11">
        <v>6.5</v>
      </c>
    </row>
    <row r="4126" spans="1:9" x14ac:dyDescent="0.35">
      <c r="A4126" s="2" t="s">
        <v>382</v>
      </c>
      <c r="B4126" s="3">
        <v>45170</v>
      </c>
      <c r="C4126" s="2">
        <v>20</v>
      </c>
      <c r="D4126" s="2">
        <v>35029</v>
      </c>
      <c r="E4126" s="17">
        <v>79844.3</v>
      </c>
      <c r="F4126" s="11">
        <v>6.46</v>
      </c>
      <c r="G4126" s="9">
        <v>5507.9</v>
      </c>
      <c r="H4126" s="10">
        <v>0.65</v>
      </c>
      <c r="I4126" s="11">
        <v>7.6</v>
      </c>
    </row>
    <row r="4127" spans="1:9" x14ac:dyDescent="0.35">
      <c r="A4127" s="2" t="s">
        <v>382</v>
      </c>
      <c r="B4127" s="3">
        <v>45200</v>
      </c>
      <c r="C4127" s="2">
        <v>23</v>
      </c>
      <c r="D4127" s="2">
        <v>39775</v>
      </c>
      <c r="E4127" s="17">
        <v>79504.009999999995</v>
      </c>
      <c r="F4127" s="11">
        <v>6.51</v>
      </c>
      <c r="G4127" s="9">
        <v>6252</v>
      </c>
      <c r="H4127" s="10">
        <v>0.47799999999999998</v>
      </c>
      <c r="I4127" s="11">
        <v>7.2</v>
      </c>
    </row>
    <row r="4128" spans="1:9" x14ac:dyDescent="0.35">
      <c r="A4128" s="2" t="s">
        <v>382</v>
      </c>
      <c r="B4128" s="3">
        <v>45231</v>
      </c>
      <c r="C4128" s="2">
        <v>20</v>
      </c>
      <c r="D4128" s="2">
        <v>31708</v>
      </c>
      <c r="E4128" s="17">
        <v>60977.3</v>
      </c>
      <c r="F4128" s="11">
        <v>6.43</v>
      </c>
      <c r="G4128" s="9">
        <v>5074.5</v>
      </c>
      <c r="H4128" s="10">
        <v>0.45</v>
      </c>
      <c r="I4128" s="11">
        <v>7.3</v>
      </c>
    </row>
    <row r="4129" spans="1:9" x14ac:dyDescent="0.35">
      <c r="A4129" s="2" t="s">
        <v>382</v>
      </c>
      <c r="B4129" s="3">
        <v>45261</v>
      </c>
      <c r="C4129" s="2">
        <v>17</v>
      </c>
      <c r="D4129" s="2">
        <v>25579</v>
      </c>
      <c r="E4129" s="17">
        <v>55497.21</v>
      </c>
      <c r="F4129" s="11">
        <v>6.55</v>
      </c>
      <c r="G4129" s="9">
        <v>3937.6</v>
      </c>
      <c r="H4129" s="10">
        <v>0.41199999999999998</v>
      </c>
      <c r="I4129" s="11">
        <v>6.9</v>
      </c>
    </row>
    <row r="4130" spans="1:9" x14ac:dyDescent="0.35">
      <c r="A4130" s="2" t="s">
        <v>382</v>
      </c>
      <c r="B4130" s="3">
        <v>45292</v>
      </c>
      <c r="C4130" s="2">
        <v>19</v>
      </c>
      <c r="D4130" s="2">
        <v>24540</v>
      </c>
      <c r="E4130" s="17">
        <v>52934.03</v>
      </c>
      <c r="F4130" s="11">
        <v>6.5</v>
      </c>
      <c r="G4130" s="9">
        <v>3799.2</v>
      </c>
      <c r="H4130" s="10">
        <v>0.36799999999999999</v>
      </c>
      <c r="I4130" s="11">
        <v>7</v>
      </c>
    </row>
    <row r="4131" spans="1:9" x14ac:dyDescent="0.35">
      <c r="A4131" s="2" t="s">
        <v>382</v>
      </c>
      <c r="B4131" s="3">
        <v>45323</v>
      </c>
      <c r="C4131" s="2">
        <v>17</v>
      </c>
      <c r="D4131" s="2">
        <v>23299</v>
      </c>
      <c r="E4131" s="17">
        <v>51976.07</v>
      </c>
      <c r="F4131" s="11">
        <v>6.85</v>
      </c>
      <c r="G4131" s="9">
        <v>3421.9</v>
      </c>
      <c r="H4131" s="10">
        <v>0.41199999999999998</v>
      </c>
      <c r="I4131" s="11">
        <v>7.8</v>
      </c>
    </row>
    <row r="4132" spans="1:9" x14ac:dyDescent="0.35">
      <c r="A4132" s="2" t="s">
        <v>382</v>
      </c>
      <c r="B4132" s="3">
        <v>45352</v>
      </c>
      <c r="C4132" s="2">
        <v>21</v>
      </c>
      <c r="D4132" s="2">
        <v>27046</v>
      </c>
      <c r="E4132" s="17">
        <v>58208.01</v>
      </c>
      <c r="F4132" s="11">
        <v>6.52</v>
      </c>
      <c r="G4132" s="9">
        <v>4284.1000000000004</v>
      </c>
      <c r="H4132" s="10">
        <v>0.38100000000000001</v>
      </c>
      <c r="I4132" s="11">
        <v>6.6</v>
      </c>
    </row>
    <row r="4133" spans="1:9" x14ac:dyDescent="0.35">
      <c r="A4133" s="2" t="s">
        <v>382</v>
      </c>
      <c r="B4133" s="3">
        <v>45383</v>
      </c>
      <c r="C4133" s="2">
        <v>24</v>
      </c>
      <c r="D4133" s="2">
        <v>33757</v>
      </c>
      <c r="E4133" s="17">
        <v>75943.38</v>
      </c>
      <c r="F4133" s="11">
        <v>6.61</v>
      </c>
      <c r="G4133" s="9">
        <v>5134</v>
      </c>
      <c r="H4133" s="10">
        <v>0.45800000000000002</v>
      </c>
      <c r="I4133" s="11">
        <v>6.1</v>
      </c>
    </row>
    <row r="4134" spans="1:9" x14ac:dyDescent="0.35">
      <c r="A4134" s="2" t="s">
        <v>382</v>
      </c>
      <c r="B4134" s="3">
        <v>45413</v>
      </c>
      <c r="C4134" s="2">
        <v>26</v>
      </c>
      <c r="D4134" s="2">
        <v>36361</v>
      </c>
      <c r="E4134" s="17">
        <v>82244.47</v>
      </c>
      <c r="F4134" s="11">
        <v>6.57</v>
      </c>
      <c r="G4134" s="9">
        <v>5463.5</v>
      </c>
      <c r="H4134" s="10">
        <v>0.38500000000000001</v>
      </c>
      <c r="I4134" s="11">
        <v>7.9</v>
      </c>
    </row>
    <row r="4135" spans="1:9" x14ac:dyDescent="0.35">
      <c r="A4135" s="2" t="s">
        <v>382</v>
      </c>
      <c r="B4135" s="3">
        <v>45444</v>
      </c>
      <c r="C4135" s="2">
        <v>15</v>
      </c>
      <c r="D4135" s="2">
        <v>21252</v>
      </c>
      <c r="E4135" s="17">
        <v>44270.95</v>
      </c>
      <c r="F4135" s="11">
        <v>6.38</v>
      </c>
      <c r="G4135" s="9">
        <v>3311.2</v>
      </c>
      <c r="H4135" s="10">
        <v>0.46700000000000003</v>
      </c>
      <c r="I4135" s="11">
        <v>7.4</v>
      </c>
    </row>
    <row r="4136" spans="1:9" x14ac:dyDescent="0.35">
      <c r="A4136" s="2" t="s">
        <v>382</v>
      </c>
      <c r="B4136" s="3">
        <v>45474</v>
      </c>
      <c r="C4136" s="2">
        <v>15</v>
      </c>
      <c r="D4136" s="2">
        <v>22328</v>
      </c>
      <c r="E4136" s="17">
        <v>45473.47</v>
      </c>
      <c r="F4136" s="11">
        <v>6.42</v>
      </c>
      <c r="G4136" s="9">
        <v>3468.9</v>
      </c>
      <c r="H4136" s="10">
        <v>0.46700000000000003</v>
      </c>
      <c r="I4136" s="11">
        <v>6.7</v>
      </c>
    </row>
    <row r="4137" spans="1:9" x14ac:dyDescent="0.35">
      <c r="A4137" s="2" t="s">
        <v>382</v>
      </c>
      <c r="B4137" s="3">
        <v>45505</v>
      </c>
      <c r="C4137" s="2">
        <v>27</v>
      </c>
      <c r="D4137" s="2">
        <v>48066</v>
      </c>
      <c r="E4137" s="17">
        <v>105809.17</v>
      </c>
      <c r="F4137" s="11">
        <v>6.58</v>
      </c>
      <c r="G4137" s="9">
        <v>7316.7</v>
      </c>
      <c r="H4137" s="10">
        <v>0.33300000000000002</v>
      </c>
      <c r="I4137" s="11">
        <v>7.7</v>
      </c>
    </row>
    <row r="4138" spans="1:9" x14ac:dyDescent="0.35">
      <c r="A4138" s="2" t="s">
        <v>382</v>
      </c>
      <c r="B4138" s="3">
        <v>45536</v>
      </c>
      <c r="C4138" s="2">
        <v>20</v>
      </c>
      <c r="D4138" s="2">
        <v>31667</v>
      </c>
      <c r="E4138" s="17">
        <v>67138.899999999994</v>
      </c>
      <c r="F4138" s="11">
        <v>6.59</v>
      </c>
      <c r="G4138" s="9">
        <v>4762.5</v>
      </c>
      <c r="H4138" s="10">
        <v>0.75</v>
      </c>
      <c r="I4138" s="11">
        <v>6.6</v>
      </c>
    </row>
    <row r="4139" spans="1:9" x14ac:dyDescent="0.35">
      <c r="A4139" s="2" t="s">
        <v>382</v>
      </c>
      <c r="B4139" s="3">
        <v>45566</v>
      </c>
      <c r="C4139" s="2">
        <v>18</v>
      </c>
      <c r="D4139" s="2">
        <v>19205</v>
      </c>
      <c r="E4139" s="17">
        <v>42378.38</v>
      </c>
      <c r="F4139" s="11">
        <v>6.29</v>
      </c>
      <c r="G4139" s="9">
        <v>3086.5</v>
      </c>
      <c r="H4139" s="10">
        <v>0.38900000000000001</v>
      </c>
      <c r="I4139" s="11">
        <v>7.1</v>
      </c>
    </row>
    <row r="4140" spans="1:9" x14ac:dyDescent="0.35">
      <c r="A4140" s="2" t="s">
        <v>382</v>
      </c>
      <c r="B4140" s="3">
        <v>45597</v>
      </c>
      <c r="C4140" s="2">
        <v>24</v>
      </c>
      <c r="D4140" s="2">
        <v>34883</v>
      </c>
      <c r="E4140" s="17">
        <v>81183.289999999994</v>
      </c>
      <c r="F4140" s="11">
        <v>6.7</v>
      </c>
      <c r="G4140" s="9">
        <v>5255.9</v>
      </c>
      <c r="H4140" s="10">
        <v>0.5</v>
      </c>
      <c r="I4140" s="11">
        <v>6.8</v>
      </c>
    </row>
    <row r="4141" spans="1:9" x14ac:dyDescent="0.35">
      <c r="A4141" s="2" t="s">
        <v>382</v>
      </c>
      <c r="B4141" s="3">
        <v>45627</v>
      </c>
      <c r="C4141" s="2">
        <v>19</v>
      </c>
      <c r="D4141" s="2">
        <v>27297</v>
      </c>
      <c r="E4141" s="17">
        <v>65714.259999999995</v>
      </c>
      <c r="F4141" s="11">
        <v>6.65</v>
      </c>
      <c r="G4141" s="9">
        <v>4096.3999999999996</v>
      </c>
      <c r="H4141" s="10">
        <v>0.36799999999999999</v>
      </c>
      <c r="I4141" s="11">
        <v>7.1</v>
      </c>
    </row>
    <row r="4142" spans="1:9" x14ac:dyDescent="0.35">
      <c r="A4142" s="2" t="s">
        <v>384</v>
      </c>
      <c r="B4142" s="3">
        <v>44562</v>
      </c>
      <c r="C4142" s="2">
        <v>24</v>
      </c>
      <c r="D4142" s="2">
        <v>32596</v>
      </c>
      <c r="E4142" s="17">
        <v>68534.86</v>
      </c>
      <c r="F4142" s="11">
        <v>6.44</v>
      </c>
      <c r="G4142" s="9">
        <v>5093.7</v>
      </c>
      <c r="H4142" s="10">
        <v>0.375</v>
      </c>
      <c r="I4142" s="11">
        <v>6.7</v>
      </c>
    </row>
    <row r="4143" spans="1:9" x14ac:dyDescent="0.35">
      <c r="A4143" s="2" t="s">
        <v>384</v>
      </c>
      <c r="B4143" s="3">
        <v>44593</v>
      </c>
      <c r="C4143" s="2">
        <v>18</v>
      </c>
      <c r="D4143" s="2">
        <v>30407</v>
      </c>
      <c r="E4143" s="17">
        <v>57323.38</v>
      </c>
      <c r="F4143" s="11">
        <v>6.7</v>
      </c>
      <c r="G4143" s="9">
        <v>4565.6000000000004</v>
      </c>
      <c r="H4143" s="10">
        <v>0.61099999999999999</v>
      </c>
      <c r="I4143" s="11">
        <v>7</v>
      </c>
    </row>
    <row r="4144" spans="1:9" x14ac:dyDescent="0.35">
      <c r="A4144" s="2" t="s">
        <v>384</v>
      </c>
      <c r="B4144" s="3">
        <v>44621</v>
      </c>
      <c r="C4144" s="2">
        <v>21</v>
      </c>
      <c r="D4144" s="2">
        <v>18600</v>
      </c>
      <c r="E4144" s="17">
        <v>38132.03</v>
      </c>
      <c r="F4144" s="11">
        <v>6.56</v>
      </c>
      <c r="G4144" s="9">
        <v>2906.4</v>
      </c>
      <c r="H4144" s="10">
        <v>0.28599999999999998</v>
      </c>
      <c r="I4144" s="11">
        <v>6.5</v>
      </c>
    </row>
    <row r="4145" spans="1:9" x14ac:dyDescent="0.35">
      <c r="A4145" s="2" t="s">
        <v>384</v>
      </c>
      <c r="B4145" s="3">
        <v>44652</v>
      </c>
      <c r="C4145" s="2">
        <v>20</v>
      </c>
      <c r="D4145" s="2">
        <v>26719</v>
      </c>
      <c r="E4145" s="17">
        <v>52865.440000000002</v>
      </c>
      <c r="F4145" s="11">
        <v>6.72</v>
      </c>
      <c r="G4145" s="9">
        <v>4047.9</v>
      </c>
      <c r="H4145" s="10">
        <v>0.4</v>
      </c>
      <c r="I4145" s="11">
        <v>6.7</v>
      </c>
    </row>
    <row r="4146" spans="1:9" x14ac:dyDescent="0.35">
      <c r="A4146" s="2" t="s">
        <v>384</v>
      </c>
      <c r="B4146" s="3">
        <v>44682</v>
      </c>
      <c r="C4146" s="2">
        <v>18</v>
      </c>
      <c r="D4146" s="2">
        <v>25192</v>
      </c>
      <c r="E4146" s="17">
        <v>55345.22</v>
      </c>
      <c r="F4146" s="11">
        <v>6.54</v>
      </c>
      <c r="G4146" s="9">
        <v>3888.7</v>
      </c>
      <c r="H4146" s="10">
        <v>0.33300000000000002</v>
      </c>
      <c r="I4146" s="11">
        <v>8.9</v>
      </c>
    </row>
    <row r="4147" spans="1:9" x14ac:dyDescent="0.35">
      <c r="A4147" s="2" t="s">
        <v>384</v>
      </c>
      <c r="B4147" s="3">
        <v>44713</v>
      </c>
      <c r="C4147" s="2">
        <v>20</v>
      </c>
      <c r="D4147" s="2">
        <v>27411</v>
      </c>
      <c r="E4147" s="17">
        <v>54512.51</v>
      </c>
      <c r="F4147" s="11">
        <v>6.54</v>
      </c>
      <c r="G4147" s="9">
        <v>4314.3999999999996</v>
      </c>
      <c r="H4147" s="10">
        <v>0.45</v>
      </c>
      <c r="I4147" s="11">
        <v>7.6</v>
      </c>
    </row>
    <row r="4148" spans="1:9" x14ac:dyDescent="0.35">
      <c r="A4148" s="2" t="s">
        <v>384</v>
      </c>
      <c r="B4148" s="3">
        <v>44743</v>
      </c>
      <c r="C4148" s="2">
        <v>15</v>
      </c>
      <c r="D4148" s="2">
        <v>19826</v>
      </c>
      <c r="E4148" s="17">
        <v>39179.51</v>
      </c>
      <c r="F4148" s="11">
        <v>6.43</v>
      </c>
      <c r="G4148" s="9">
        <v>3174</v>
      </c>
      <c r="H4148" s="10">
        <v>0.6</v>
      </c>
      <c r="I4148" s="11">
        <v>7.3</v>
      </c>
    </row>
    <row r="4149" spans="1:9" x14ac:dyDescent="0.35">
      <c r="A4149" s="2" t="s">
        <v>384</v>
      </c>
      <c r="B4149" s="3">
        <v>44774</v>
      </c>
      <c r="C4149" s="2">
        <v>17</v>
      </c>
      <c r="D4149" s="2">
        <v>18949</v>
      </c>
      <c r="E4149" s="17">
        <v>39965.69</v>
      </c>
      <c r="F4149" s="11">
        <v>6.2</v>
      </c>
      <c r="G4149" s="9">
        <v>3026.4</v>
      </c>
      <c r="H4149" s="10">
        <v>0.41199999999999998</v>
      </c>
      <c r="I4149" s="11">
        <v>6.5</v>
      </c>
    </row>
    <row r="4150" spans="1:9" x14ac:dyDescent="0.35">
      <c r="A4150" s="2" t="s">
        <v>384</v>
      </c>
      <c r="B4150" s="3">
        <v>44805</v>
      </c>
      <c r="C4150" s="2">
        <v>27</v>
      </c>
      <c r="D4150" s="2">
        <v>34027</v>
      </c>
      <c r="E4150" s="17">
        <v>71963.399999999994</v>
      </c>
      <c r="F4150" s="11">
        <v>6.32</v>
      </c>
      <c r="G4150" s="9">
        <v>5464.3</v>
      </c>
      <c r="H4150" s="10">
        <v>0.63</v>
      </c>
      <c r="I4150" s="11">
        <v>7.4</v>
      </c>
    </row>
    <row r="4151" spans="1:9" x14ac:dyDescent="0.35">
      <c r="A4151" s="2" t="s">
        <v>384</v>
      </c>
      <c r="B4151" s="3">
        <v>44835</v>
      </c>
      <c r="C4151" s="2">
        <v>16</v>
      </c>
      <c r="D4151" s="2">
        <v>18032</v>
      </c>
      <c r="E4151" s="17">
        <v>35158.86</v>
      </c>
      <c r="F4151" s="11">
        <v>6.35</v>
      </c>
      <c r="G4151" s="9">
        <v>2859.8</v>
      </c>
      <c r="H4151" s="10">
        <v>0.5</v>
      </c>
      <c r="I4151" s="11">
        <v>6.9</v>
      </c>
    </row>
    <row r="4152" spans="1:9" x14ac:dyDescent="0.35">
      <c r="A4152" s="2" t="s">
        <v>384</v>
      </c>
      <c r="B4152" s="3">
        <v>44866</v>
      </c>
      <c r="C4152" s="2">
        <v>17</v>
      </c>
      <c r="D4152" s="2">
        <v>22907</v>
      </c>
      <c r="E4152" s="17">
        <v>45522.3</v>
      </c>
      <c r="F4152" s="11">
        <v>6.41</v>
      </c>
      <c r="G4152" s="9">
        <v>3608.8</v>
      </c>
      <c r="H4152" s="10">
        <v>0.58799999999999997</v>
      </c>
      <c r="I4152" s="11">
        <v>5.4</v>
      </c>
    </row>
    <row r="4153" spans="1:9" x14ac:dyDescent="0.35">
      <c r="A4153" s="2" t="s">
        <v>384</v>
      </c>
      <c r="B4153" s="3">
        <v>44896</v>
      </c>
      <c r="C4153" s="2">
        <v>18</v>
      </c>
      <c r="D4153" s="2">
        <v>24336</v>
      </c>
      <c r="E4153" s="17">
        <v>50288.93</v>
      </c>
      <c r="F4153" s="11">
        <v>6.36</v>
      </c>
      <c r="G4153" s="9">
        <v>3811.8</v>
      </c>
      <c r="H4153" s="10">
        <v>0.38900000000000001</v>
      </c>
      <c r="I4153" s="11">
        <v>6.7</v>
      </c>
    </row>
    <row r="4154" spans="1:9" x14ac:dyDescent="0.35">
      <c r="A4154" s="2" t="s">
        <v>384</v>
      </c>
      <c r="B4154" s="3">
        <v>44927</v>
      </c>
      <c r="C4154" s="2">
        <v>18</v>
      </c>
      <c r="D4154" s="2">
        <v>28822</v>
      </c>
      <c r="E4154" s="17">
        <v>61287.32</v>
      </c>
      <c r="F4154" s="11">
        <v>6.28</v>
      </c>
      <c r="G4154" s="9">
        <v>4651.8</v>
      </c>
      <c r="H4154" s="10">
        <v>0.38900000000000001</v>
      </c>
      <c r="I4154" s="11">
        <v>7.3</v>
      </c>
    </row>
    <row r="4155" spans="1:9" x14ac:dyDescent="0.35">
      <c r="A4155" s="2" t="s">
        <v>384</v>
      </c>
      <c r="B4155" s="3">
        <v>44958</v>
      </c>
      <c r="C4155" s="2">
        <v>18</v>
      </c>
      <c r="D4155" s="2">
        <v>24597</v>
      </c>
      <c r="E4155" s="17">
        <v>55830.21</v>
      </c>
      <c r="F4155" s="11">
        <v>6.3</v>
      </c>
      <c r="G4155" s="9">
        <v>3906</v>
      </c>
      <c r="H4155" s="10">
        <v>0.61099999999999999</v>
      </c>
      <c r="I4155" s="11">
        <v>6.7</v>
      </c>
    </row>
    <row r="4156" spans="1:9" x14ac:dyDescent="0.35">
      <c r="A4156" s="2" t="s">
        <v>384</v>
      </c>
      <c r="B4156" s="3">
        <v>44986</v>
      </c>
      <c r="C4156" s="2">
        <v>22</v>
      </c>
      <c r="D4156" s="2">
        <v>29974</v>
      </c>
      <c r="E4156" s="17">
        <v>65809.23</v>
      </c>
      <c r="F4156" s="11">
        <v>6.72</v>
      </c>
      <c r="G4156" s="9">
        <v>4485.5</v>
      </c>
      <c r="H4156" s="10">
        <v>0.63600000000000001</v>
      </c>
      <c r="I4156" s="11">
        <v>8.1999999999999993</v>
      </c>
    </row>
    <row r="4157" spans="1:9" x14ac:dyDescent="0.35">
      <c r="A4157" s="2" t="s">
        <v>384</v>
      </c>
      <c r="B4157" s="3">
        <v>45017</v>
      </c>
      <c r="C4157" s="2">
        <v>23</v>
      </c>
      <c r="D4157" s="2">
        <v>35749</v>
      </c>
      <c r="E4157" s="17">
        <v>82661.41</v>
      </c>
      <c r="F4157" s="11">
        <v>6.49</v>
      </c>
      <c r="G4157" s="9">
        <v>5404.6</v>
      </c>
      <c r="H4157" s="10">
        <v>0.435</v>
      </c>
      <c r="I4157" s="11">
        <v>5.9</v>
      </c>
    </row>
    <row r="4158" spans="1:9" x14ac:dyDescent="0.35">
      <c r="A4158" s="2" t="s">
        <v>384</v>
      </c>
      <c r="B4158" s="3">
        <v>45047</v>
      </c>
      <c r="C4158" s="2">
        <v>15</v>
      </c>
      <c r="D4158" s="2">
        <v>19233</v>
      </c>
      <c r="E4158" s="17">
        <v>44685.15</v>
      </c>
      <c r="F4158" s="11">
        <v>6.18</v>
      </c>
      <c r="G4158" s="9">
        <v>3187.6</v>
      </c>
      <c r="H4158" s="10">
        <v>0.2</v>
      </c>
      <c r="I4158" s="11">
        <v>7</v>
      </c>
    </row>
    <row r="4159" spans="1:9" x14ac:dyDescent="0.35">
      <c r="A4159" s="2" t="s">
        <v>384</v>
      </c>
      <c r="B4159" s="3">
        <v>45078</v>
      </c>
      <c r="C4159" s="2">
        <v>16</v>
      </c>
      <c r="D4159" s="2">
        <v>25559</v>
      </c>
      <c r="E4159" s="17">
        <v>54573.37</v>
      </c>
      <c r="F4159" s="11">
        <v>6.48</v>
      </c>
      <c r="G4159" s="9">
        <v>3934.9</v>
      </c>
      <c r="H4159" s="10">
        <v>0.375</v>
      </c>
      <c r="I4159" s="11">
        <v>8</v>
      </c>
    </row>
    <row r="4160" spans="1:9" x14ac:dyDescent="0.35">
      <c r="A4160" s="2" t="s">
        <v>384</v>
      </c>
      <c r="B4160" s="3">
        <v>45108</v>
      </c>
      <c r="C4160" s="2">
        <v>30</v>
      </c>
      <c r="D4160" s="2">
        <v>50508</v>
      </c>
      <c r="E4160" s="17">
        <v>108759.66</v>
      </c>
      <c r="F4160" s="11">
        <v>6.45</v>
      </c>
      <c r="G4160" s="9">
        <v>7916.3</v>
      </c>
      <c r="H4160" s="10">
        <v>0.36699999999999999</v>
      </c>
      <c r="I4160" s="11">
        <v>7.1</v>
      </c>
    </row>
    <row r="4161" spans="1:9" x14ac:dyDescent="0.35">
      <c r="A4161" s="2" t="s">
        <v>384</v>
      </c>
      <c r="B4161" s="3">
        <v>45139</v>
      </c>
      <c r="C4161" s="2">
        <v>21</v>
      </c>
      <c r="D4161" s="2">
        <v>31283</v>
      </c>
      <c r="E4161" s="17">
        <v>67995.53</v>
      </c>
      <c r="F4161" s="11">
        <v>6.43</v>
      </c>
      <c r="G4161" s="9">
        <v>4882.2</v>
      </c>
      <c r="H4161" s="10">
        <v>0.33300000000000002</v>
      </c>
      <c r="I4161" s="11">
        <v>6.6</v>
      </c>
    </row>
    <row r="4162" spans="1:9" x14ac:dyDescent="0.35">
      <c r="A4162" s="2" t="s">
        <v>384</v>
      </c>
      <c r="B4162" s="3">
        <v>45170</v>
      </c>
      <c r="C4162" s="2">
        <v>15</v>
      </c>
      <c r="D4162" s="2">
        <v>23222</v>
      </c>
      <c r="E4162" s="17">
        <v>53813.32</v>
      </c>
      <c r="F4162" s="11">
        <v>6.52</v>
      </c>
      <c r="G4162" s="9">
        <v>3664.2</v>
      </c>
      <c r="H4162" s="10">
        <v>0.46700000000000003</v>
      </c>
      <c r="I4162" s="11">
        <v>7.2</v>
      </c>
    </row>
    <row r="4163" spans="1:9" x14ac:dyDescent="0.35">
      <c r="A4163" s="2" t="s">
        <v>384</v>
      </c>
      <c r="B4163" s="3">
        <v>45200</v>
      </c>
      <c r="C4163" s="2">
        <v>16</v>
      </c>
      <c r="D4163" s="2">
        <v>20694</v>
      </c>
      <c r="E4163" s="17">
        <v>41074.67</v>
      </c>
      <c r="F4163" s="11">
        <v>6.69</v>
      </c>
      <c r="G4163" s="9">
        <v>3091.3</v>
      </c>
      <c r="H4163" s="10">
        <v>0.438</v>
      </c>
      <c r="I4163" s="11">
        <v>6.5</v>
      </c>
    </row>
    <row r="4164" spans="1:9" x14ac:dyDescent="0.35">
      <c r="A4164" s="2" t="s">
        <v>384</v>
      </c>
      <c r="B4164" s="3">
        <v>45231</v>
      </c>
      <c r="C4164" s="2">
        <v>25</v>
      </c>
      <c r="D4164" s="2">
        <v>37427</v>
      </c>
      <c r="E4164" s="17">
        <v>79866.080000000002</v>
      </c>
      <c r="F4164" s="11">
        <v>6.46</v>
      </c>
      <c r="G4164" s="9">
        <v>5880.1</v>
      </c>
      <c r="H4164" s="10">
        <v>0.56000000000000005</v>
      </c>
      <c r="I4164" s="11">
        <v>7</v>
      </c>
    </row>
    <row r="4165" spans="1:9" x14ac:dyDescent="0.35">
      <c r="A4165" s="2" t="s">
        <v>384</v>
      </c>
      <c r="B4165" s="3">
        <v>45261</v>
      </c>
      <c r="C4165" s="2">
        <v>18</v>
      </c>
      <c r="D4165" s="2">
        <v>28030</v>
      </c>
      <c r="E4165" s="17">
        <v>56194.13</v>
      </c>
      <c r="F4165" s="11">
        <v>6.64</v>
      </c>
      <c r="G4165" s="9">
        <v>4260.1000000000004</v>
      </c>
      <c r="H4165" s="10">
        <v>0.222</v>
      </c>
      <c r="I4165" s="11">
        <v>7.3</v>
      </c>
    </row>
    <row r="4166" spans="1:9" x14ac:dyDescent="0.35">
      <c r="A4166" s="2" t="s">
        <v>384</v>
      </c>
      <c r="B4166" s="3">
        <v>45292</v>
      </c>
      <c r="C4166" s="2">
        <v>21</v>
      </c>
      <c r="D4166" s="2">
        <v>31387</v>
      </c>
      <c r="E4166" s="17">
        <v>64860.28</v>
      </c>
      <c r="F4166" s="11">
        <v>6.51</v>
      </c>
      <c r="G4166" s="9">
        <v>4820.8999999999996</v>
      </c>
      <c r="H4166" s="10">
        <v>0.47599999999999998</v>
      </c>
      <c r="I4166" s="11">
        <v>7.5</v>
      </c>
    </row>
    <row r="4167" spans="1:9" x14ac:dyDescent="0.35">
      <c r="A4167" s="2" t="s">
        <v>384</v>
      </c>
      <c r="B4167" s="3">
        <v>45323</v>
      </c>
      <c r="C4167" s="2">
        <v>17</v>
      </c>
      <c r="D4167" s="2">
        <v>27014</v>
      </c>
      <c r="E4167" s="17">
        <v>61578.68</v>
      </c>
      <c r="F4167" s="11">
        <v>6.42</v>
      </c>
      <c r="G4167" s="9">
        <v>4243.3999999999996</v>
      </c>
      <c r="H4167" s="10">
        <v>0.35299999999999998</v>
      </c>
      <c r="I4167" s="11">
        <v>7</v>
      </c>
    </row>
    <row r="4168" spans="1:9" x14ac:dyDescent="0.35">
      <c r="A4168" s="2" t="s">
        <v>384</v>
      </c>
      <c r="B4168" s="3">
        <v>45352</v>
      </c>
      <c r="C4168" s="2">
        <v>19</v>
      </c>
      <c r="D4168" s="2">
        <v>24471</v>
      </c>
      <c r="E4168" s="17">
        <v>49447</v>
      </c>
      <c r="F4168" s="11">
        <v>6.62</v>
      </c>
      <c r="G4168" s="9">
        <v>3653.3</v>
      </c>
      <c r="H4168" s="10">
        <v>0.42099999999999999</v>
      </c>
      <c r="I4168" s="11">
        <v>7.6</v>
      </c>
    </row>
    <row r="4169" spans="1:9" x14ac:dyDescent="0.35">
      <c r="A4169" s="2" t="s">
        <v>384</v>
      </c>
      <c r="B4169" s="3">
        <v>45383</v>
      </c>
      <c r="C4169" s="2">
        <v>27</v>
      </c>
      <c r="D4169" s="2">
        <v>39668</v>
      </c>
      <c r="E4169" s="17">
        <v>84570.04</v>
      </c>
      <c r="F4169" s="11">
        <v>6.46</v>
      </c>
      <c r="G4169" s="9">
        <v>6185.1</v>
      </c>
      <c r="H4169" s="10">
        <v>0.44400000000000001</v>
      </c>
      <c r="I4169" s="11">
        <v>7.1</v>
      </c>
    </row>
    <row r="4170" spans="1:9" x14ac:dyDescent="0.35">
      <c r="A4170" s="2" t="s">
        <v>384</v>
      </c>
      <c r="B4170" s="3">
        <v>45413</v>
      </c>
      <c r="C4170" s="2">
        <v>19</v>
      </c>
      <c r="D4170" s="2">
        <v>24648</v>
      </c>
      <c r="E4170" s="17">
        <v>53481</v>
      </c>
      <c r="F4170" s="11">
        <v>6.27</v>
      </c>
      <c r="G4170" s="9">
        <v>3929.2</v>
      </c>
      <c r="H4170" s="10">
        <v>0.52600000000000002</v>
      </c>
      <c r="I4170" s="11">
        <v>7.6</v>
      </c>
    </row>
    <row r="4171" spans="1:9" x14ac:dyDescent="0.35">
      <c r="A4171" s="2" t="s">
        <v>384</v>
      </c>
      <c r="B4171" s="3">
        <v>45444</v>
      </c>
      <c r="C4171" s="2">
        <v>23</v>
      </c>
      <c r="D4171" s="2">
        <v>30778</v>
      </c>
      <c r="E4171" s="17">
        <v>65465.09</v>
      </c>
      <c r="F4171" s="11">
        <v>6.43</v>
      </c>
      <c r="G4171" s="9">
        <v>4772.5</v>
      </c>
      <c r="H4171" s="10">
        <v>0.65200000000000002</v>
      </c>
      <c r="I4171" s="11">
        <v>6.8</v>
      </c>
    </row>
    <row r="4172" spans="1:9" x14ac:dyDescent="0.35">
      <c r="A4172" s="2" t="s">
        <v>384</v>
      </c>
      <c r="B4172" s="3">
        <v>45474</v>
      </c>
      <c r="C4172" s="2">
        <v>32</v>
      </c>
      <c r="D4172" s="2">
        <v>49991</v>
      </c>
      <c r="E4172" s="17">
        <v>114721.21</v>
      </c>
      <c r="F4172" s="11">
        <v>6.32</v>
      </c>
      <c r="G4172" s="9">
        <v>7953.7</v>
      </c>
      <c r="H4172" s="10">
        <v>0.438</v>
      </c>
      <c r="I4172" s="11">
        <v>6.9</v>
      </c>
    </row>
    <row r="4173" spans="1:9" x14ac:dyDescent="0.35">
      <c r="A4173" s="2" t="s">
        <v>384</v>
      </c>
      <c r="B4173" s="3">
        <v>45505</v>
      </c>
      <c r="C4173" s="2">
        <v>18</v>
      </c>
      <c r="D4173" s="2">
        <v>23765</v>
      </c>
      <c r="E4173" s="17">
        <v>52658.28</v>
      </c>
      <c r="F4173" s="11">
        <v>6.48</v>
      </c>
      <c r="G4173" s="9">
        <v>3675.2</v>
      </c>
      <c r="H4173" s="10">
        <v>0.44400000000000001</v>
      </c>
      <c r="I4173" s="11">
        <v>7.3</v>
      </c>
    </row>
    <row r="4174" spans="1:9" x14ac:dyDescent="0.35">
      <c r="A4174" s="2" t="s">
        <v>384</v>
      </c>
      <c r="B4174" s="3">
        <v>45536</v>
      </c>
      <c r="C4174" s="2">
        <v>18</v>
      </c>
      <c r="D4174" s="2">
        <v>27513</v>
      </c>
      <c r="E4174" s="17">
        <v>63344.57</v>
      </c>
      <c r="F4174" s="11">
        <v>6.53</v>
      </c>
      <c r="G4174" s="9">
        <v>4266.6000000000004</v>
      </c>
      <c r="H4174" s="10">
        <v>0.38900000000000001</v>
      </c>
      <c r="I4174" s="11">
        <v>7.4</v>
      </c>
    </row>
    <row r="4175" spans="1:9" x14ac:dyDescent="0.35">
      <c r="A4175" s="2" t="s">
        <v>384</v>
      </c>
      <c r="B4175" s="3">
        <v>45566</v>
      </c>
      <c r="C4175" s="2">
        <v>17</v>
      </c>
      <c r="D4175" s="2">
        <v>28225</v>
      </c>
      <c r="E4175" s="17">
        <v>65385.04</v>
      </c>
      <c r="F4175" s="11">
        <v>6.68</v>
      </c>
      <c r="G4175" s="9">
        <v>4202.5</v>
      </c>
      <c r="H4175" s="10">
        <v>0.52900000000000003</v>
      </c>
      <c r="I4175" s="11">
        <v>6.6</v>
      </c>
    </row>
    <row r="4176" spans="1:9" x14ac:dyDescent="0.35">
      <c r="A4176" s="2" t="s">
        <v>384</v>
      </c>
      <c r="B4176" s="3">
        <v>45597</v>
      </c>
      <c r="C4176" s="2">
        <v>19</v>
      </c>
      <c r="D4176" s="2">
        <v>18973</v>
      </c>
      <c r="E4176" s="17">
        <v>40238.17</v>
      </c>
      <c r="F4176" s="11">
        <v>6.44</v>
      </c>
      <c r="G4176" s="9">
        <v>2998.7</v>
      </c>
      <c r="H4176" s="10">
        <v>0.36799999999999999</v>
      </c>
      <c r="I4176" s="11">
        <v>7.4</v>
      </c>
    </row>
    <row r="4177" spans="1:9" x14ac:dyDescent="0.35">
      <c r="A4177" s="2" t="s">
        <v>384</v>
      </c>
      <c r="B4177" s="3">
        <v>45627</v>
      </c>
      <c r="C4177" s="2">
        <v>13</v>
      </c>
      <c r="D4177" s="2">
        <v>19032</v>
      </c>
      <c r="E4177" s="17">
        <v>45963.83</v>
      </c>
      <c r="F4177" s="11">
        <v>6.47</v>
      </c>
      <c r="G4177" s="9">
        <v>2981.3</v>
      </c>
      <c r="H4177" s="10">
        <v>0.46200000000000002</v>
      </c>
      <c r="I4177" s="11">
        <v>7</v>
      </c>
    </row>
    <row r="4178" spans="1:9" x14ac:dyDescent="0.35">
      <c r="A4178" s="2" t="s">
        <v>386</v>
      </c>
      <c r="B4178" s="3">
        <v>44562</v>
      </c>
      <c r="C4178" s="2">
        <v>23</v>
      </c>
      <c r="D4178" s="2">
        <v>34001</v>
      </c>
      <c r="E4178" s="17">
        <v>74305.89</v>
      </c>
      <c r="F4178" s="11">
        <v>6.4</v>
      </c>
      <c r="G4178" s="9">
        <v>5297.7</v>
      </c>
      <c r="H4178" s="10">
        <v>0.39100000000000001</v>
      </c>
      <c r="I4178" s="11">
        <v>6.6</v>
      </c>
    </row>
    <row r="4179" spans="1:9" x14ac:dyDescent="0.35">
      <c r="A4179" s="2" t="s">
        <v>386</v>
      </c>
      <c r="B4179" s="3">
        <v>44593</v>
      </c>
      <c r="C4179" s="2">
        <v>20</v>
      </c>
      <c r="D4179" s="2">
        <v>28479</v>
      </c>
      <c r="E4179" s="17">
        <v>61356.03</v>
      </c>
      <c r="F4179" s="11">
        <v>6.47</v>
      </c>
      <c r="G4179" s="9">
        <v>4380.2</v>
      </c>
      <c r="H4179" s="10">
        <v>0.5</v>
      </c>
      <c r="I4179" s="11">
        <v>7.6</v>
      </c>
    </row>
    <row r="4180" spans="1:9" x14ac:dyDescent="0.35">
      <c r="A4180" s="2" t="s">
        <v>386</v>
      </c>
      <c r="B4180" s="3">
        <v>44621</v>
      </c>
      <c r="C4180" s="2">
        <v>22</v>
      </c>
      <c r="D4180" s="2">
        <v>32624</v>
      </c>
      <c r="E4180" s="17">
        <v>68629.27</v>
      </c>
      <c r="F4180" s="11">
        <v>6.42</v>
      </c>
      <c r="G4180" s="9">
        <v>5115.8</v>
      </c>
      <c r="H4180" s="10">
        <v>0.45500000000000002</v>
      </c>
      <c r="I4180" s="11">
        <v>7.1</v>
      </c>
    </row>
    <row r="4181" spans="1:9" x14ac:dyDescent="0.35">
      <c r="A4181" s="2" t="s">
        <v>386</v>
      </c>
      <c r="B4181" s="3">
        <v>44652</v>
      </c>
      <c r="C4181" s="2">
        <v>17</v>
      </c>
      <c r="D4181" s="2">
        <v>20029</v>
      </c>
      <c r="E4181" s="17">
        <v>40763.01</v>
      </c>
      <c r="F4181" s="11">
        <v>6.37</v>
      </c>
      <c r="G4181" s="9">
        <v>3102.2</v>
      </c>
      <c r="H4181" s="10">
        <v>0.35299999999999998</v>
      </c>
      <c r="I4181" s="11">
        <v>4.9000000000000004</v>
      </c>
    </row>
    <row r="4182" spans="1:9" x14ac:dyDescent="0.35">
      <c r="A4182" s="2" t="s">
        <v>386</v>
      </c>
      <c r="B4182" s="3">
        <v>44682</v>
      </c>
      <c r="C4182" s="2">
        <v>18</v>
      </c>
      <c r="D4182" s="2">
        <v>29495</v>
      </c>
      <c r="E4182" s="17">
        <v>61455.97</v>
      </c>
      <c r="F4182" s="11">
        <v>6.65</v>
      </c>
      <c r="G4182" s="9">
        <v>4405</v>
      </c>
      <c r="H4182" s="10">
        <v>0.5</v>
      </c>
      <c r="I4182" s="11">
        <v>7.3</v>
      </c>
    </row>
    <row r="4183" spans="1:9" x14ac:dyDescent="0.35">
      <c r="A4183" s="2" t="s">
        <v>386</v>
      </c>
      <c r="B4183" s="3">
        <v>44713</v>
      </c>
      <c r="C4183" s="2">
        <v>15</v>
      </c>
      <c r="D4183" s="2">
        <v>24645</v>
      </c>
      <c r="E4183" s="17">
        <v>53827.94</v>
      </c>
      <c r="F4183" s="11">
        <v>6.61</v>
      </c>
      <c r="G4183" s="9">
        <v>3717.4</v>
      </c>
      <c r="H4183" s="10">
        <v>0.46700000000000003</v>
      </c>
      <c r="I4183" s="11">
        <v>6.7</v>
      </c>
    </row>
    <row r="4184" spans="1:9" x14ac:dyDescent="0.35">
      <c r="A4184" s="2" t="s">
        <v>386</v>
      </c>
      <c r="B4184" s="3">
        <v>44743</v>
      </c>
      <c r="C4184" s="2">
        <v>16</v>
      </c>
      <c r="D4184" s="2">
        <v>22144</v>
      </c>
      <c r="E4184" s="17">
        <v>51118.03</v>
      </c>
      <c r="F4184" s="11">
        <v>6.64</v>
      </c>
      <c r="G4184" s="9">
        <v>3399.4</v>
      </c>
      <c r="H4184" s="10">
        <v>0.375</v>
      </c>
      <c r="I4184" s="11">
        <v>6.6</v>
      </c>
    </row>
    <row r="4185" spans="1:9" x14ac:dyDescent="0.35">
      <c r="A4185" s="2" t="s">
        <v>386</v>
      </c>
      <c r="B4185" s="3">
        <v>44774</v>
      </c>
      <c r="C4185" s="2">
        <v>23</v>
      </c>
      <c r="D4185" s="2">
        <v>40303</v>
      </c>
      <c r="E4185" s="17">
        <v>87321.600000000006</v>
      </c>
      <c r="F4185" s="11">
        <v>6.72</v>
      </c>
      <c r="G4185" s="9">
        <v>6070</v>
      </c>
      <c r="H4185" s="10">
        <v>0.52200000000000002</v>
      </c>
      <c r="I4185" s="11">
        <v>7</v>
      </c>
    </row>
    <row r="4186" spans="1:9" x14ac:dyDescent="0.35">
      <c r="A4186" s="2" t="s">
        <v>386</v>
      </c>
      <c r="B4186" s="3">
        <v>44805</v>
      </c>
      <c r="C4186" s="2">
        <v>16</v>
      </c>
      <c r="D4186" s="2">
        <v>24038</v>
      </c>
      <c r="E4186" s="17">
        <v>52312.32</v>
      </c>
      <c r="F4186" s="11">
        <v>6.4</v>
      </c>
      <c r="G4186" s="9">
        <v>3772.4</v>
      </c>
      <c r="H4186" s="10">
        <v>0.312</v>
      </c>
      <c r="I4186" s="11">
        <v>6.7</v>
      </c>
    </row>
    <row r="4187" spans="1:9" x14ac:dyDescent="0.35">
      <c r="A4187" s="2" t="s">
        <v>386</v>
      </c>
      <c r="B4187" s="3">
        <v>44835</v>
      </c>
      <c r="C4187" s="2">
        <v>13</v>
      </c>
      <c r="D4187" s="2">
        <v>19013</v>
      </c>
      <c r="E4187" s="17">
        <v>38298.07</v>
      </c>
      <c r="F4187" s="11">
        <v>6.28</v>
      </c>
      <c r="G4187" s="9">
        <v>3032.3</v>
      </c>
      <c r="H4187" s="10">
        <v>0.46200000000000002</v>
      </c>
      <c r="I4187" s="11">
        <v>5.5</v>
      </c>
    </row>
    <row r="4188" spans="1:9" x14ac:dyDescent="0.35">
      <c r="A4188" s="2" t="s">
        <v>386</v>
      </c>
      <c r="B4188" s="3">
        <v>44866</v>
      </c>
      <c r="C4188" s="2">
        <v>20</v>
      </c>
      <c r="D4188" s="2">
        <v>23397</v>
      </c>
      <c r="E4188" s="17">
        <v>52093.17</v>
      </c>
      <c r="F4188" s="11">
        <v>6.48</v>
      </c>
      <c r="G4188" s="9">
        <v>3598.8</v>
      </c>
      <c r="H4188" s="10">
        <v>0.55000000000000004</v>
      </c>
      <c r="I4188" s="11">
        <v>7.9</v>
      </c>
    </row>
    <row r="4189" spans="1:9" x14ac:dyDescent="0.35">
      <c r="A4189" s="2" t="s">
        <v>386</v>
      </c>
      <c r="B4189" s="3">
        <v>44896</v>
      </c>
      <c r="C4189" s="2">
        <v>27</v>
      </c>
      <c r="D4189" s="2">
        <v>40630</v>
      </c>
      <c r="E4189" s="17">
        <v>91565.62</v>
      </c>
      <c r="F4189" s="11">
        <v>6.54</v>
      </c>
      <c r="G4189" s="9">
        <v>6284.9</v>
      </c>
      <c r="H4189" s="10">
        <v>0.40699999999999997</v>
      </c>
      <c r="I4189" s="11">
        <v>6.8</v>
      </c>
    </row>
    <row r="4190" spans="1:9" x14ac:dyDescent="0.35">
      <c r="A4190" s="2" t="s">
        <v>386</v>
      </c>
      <c r="B4190" s="3">
        <v>44927</v>
      </c>
      <c r="C4190" s="2">
        <v>19</v>
      </c>
      <c r="D4190" s="2">
        <v>28696</v>
      </c>
      <c r="E4190" s="17">
        <v>63955.94</v>
      </c>
      <c r="F4190" s="11">
        <v>6.58</v>
      </c>
      <c r="G4190" s="9">
        <v>4412.7</v>
      </c>
      <c r="H4190" s="10">
        <v>0.57899999999999996</v>
      </c>
      <c r="I4190" s="11">
        <v>6.4</v>
      </c>
    </row>
    <row r="4191" spans="1:9" x14ac:dyDescent="0.35">
      <c r="A4191" s="2" t="s">
        <v>386</v>
      </c>
      <c r="B4191" s="3">
        <v>44958</v>
      </c>
      <c r="C4191" s="2">
        <v>11</v>
      </c>
      <c r="D4191" s="2">
        <v>16955</v>
      </c>
      <c r="E4191" s="17">
        <v>37862.589999999997</v>
      </c>
      <c r="F4191" s="11">
        <v>6.68</v>
      </c>
      <c r="G4191" s="9">
        <v>2542.9</v>
      </c>
      <c r="H4191" s="10">
        <v>0.36399999999999999</v>
      </c>
      <c r="I4191" s="11">
        <v>7.5</v>
      </c>
    </row>
    <row r="4192" spans="1:9" x14ac:dyDescent="0.35">
      <c r="A4192" s="2" t="s">
        <v>386</v>
      </c>
      <c r="B4192" s="3">
        <v>44986</v>
      </c>
      <c r="C4192" s="2">
        <v>14</v>
      </c>
      <c r="D4192" s="2">
        <v>16395</v>
      </c>
      <c r="E4192" s="17">
        <v>32281.5</v>
      </c>
      <c r="F4192" s="11">
        <v>6.4</v>
      </c>
      <c r="G4192" s="9">
        <v>2569.6999999999998</v>
      </c>
      <c r="H4192" s="10">
        <v>0.28599999999999998</v>
      </c>
      <c r="I4192" s="11">
        <v>7.5</v>
      </c>
    </row>
    <row r="4193" spans="1:9" x14ac:dyDescent="0.35">
      <c r="A4193" s="2" t="s">
        <v>386</v>
      </c>
      <c r="B4193" s="3">
        <v>45017</v>
      </c>
      <c r="C4193" s="2">
        <v>13</v>
      </c>
      <c r="D4193" s="2">
        <v>15364</v>
      </c>
      <c r="E4193" s="17">
        <v>35012.83</v>
      </c>
      <c r="F4193" s="11">
        <v>6.61</v>
      </c>
      <c r="G4193" s="9">
        <v>2354.3000000000002</v>
      </c>
      <c r="H4193" s="10">
        <v>0.53800000000000003</v>
      </c>
      <c r="I4193" s="11">
        <v>6.5</v>
      </c>
    </row>
    <row r="4194" spans="1:9" x14ac:dyDescent="0.35">
      <c r="A4194" s="2" t="s">
        <v>386</v>
      </c>
      <c r="B4194" s="3">
        <v>45047</v>
      </c>
      <c r="C4194" s="2">
        <v>13</v>
      </c>
      <c r="D4194" s="2">
        <v>24368</v>
      </c>
      <c r="E4194" s="17">
        <v>53084.5</v>
      </c>
      <c r="F4194" s="11">
        <v>6.57</v>
      </c>
      <c r="G4194" s="9">
        <v>3747</v>
      </c>
      <c r="H4194" s="10">
        <v>0.46200000000000002</v>
      </c>
      <c r="I4194" s="11">
        <v>5.9</v>
      </c>
    </row>
    <row r="4195" spans="1:9" x14ac:dyDescent="0.35">
      <c r="A4195" s="2" t="s">
        <v>386</v>
      </c>
      <c r="B4195" s="3">
        <v>45078</v>
      </c>
      <c r="C4195" s="2">
        <v>18</v>
      </c>
      <c r="D4195" s="2">
        <v>26561</v>
      </c>
      <c r="E4195" s="17">
        <v>58461.86</v>
      </c>
      <c r="F4195" s="11">
        <v>6.6</v>
      </c>
      <c r="G4195" s="9">
        <v>4062</v>
      </c>
      <c r="H4195" s="10">
        <v>0.44400000000000001</v>
      </c>
      <c r="I4195" s="11">
        <v>7.8</v>
      </c>
    </row>
    <row r="4196" spans="1:9" x14ac:dyDescent="0.35">
      <c r="A4196" s="2" t="s">
        <v>386</v>
      </c>
      <c r="B4196" s="3">
        <v>45108</v>
      </c>
      <c r="C4196" s="2">
        <v>21</v>
      </c>
      <c r="D4196" s="2">
        <v>33467</v>
      </c>
      <c r="E4196" s="17">
        <v>74918.570000000007</v>
      </c>
      <c r="F4196" s="11">
        <v>6.53</v>
      </c>
      <c r="G4196" s="9">
        <v>5164.3</v>
      </c>
      <c r="H4196" s="10">
        <v>0.47599999999999998</v>
      </c>
      <c r="I4196" s="11">
        <v>7.7</v>
      </c>
    </row>
    <row r="4197" spans="1:9" x14ac:dyDescent="0.35">
      <c r="A4197" s="2" t="s">
        <v>386</v>
      </c>
      <c r="B4197" s="3">
        <v>45139</v>
      </c>
      <c r="C4197" s="2">
        <v>15</v>
      </c>
      <c r="D4197" s="2">
        <v>22429</v>
      </c>
      <c r="E4197" s="17">
        <v>45209.91</v>
      </c>
      <c r="F4197" s="11">
        <v>6.29</v>
      </c>
      <c r="G4197" s="9">
        <v>3620.1</v>
      </c>
      <c r="H4197" s="10">
        <v>0.33300000000000002</v>
      </c>
      <c r="I4197" s="11">
        <v>6.3</v>
      </c>
    </row>
    <row r="4198" spans="1:9" x14ac:dyDescent="0.35">
      <c r="A4198" s="2" t="s">
        <v>386</v>
      </c>
      <c r="B4198" s="3">
        <v>45170</v>
      </c>
      <c r="C4198" s="2">
        <v>19</v>
      </c>
      <c r="D4198" s="2">
        <v>31911</v>
      </c>
      <c r="E4198" s="17">
        <v>69695.47</v>
      </c>
      <c r="F4198" s="11">
        <v>6.41</v>
      </c>
      <c r="G4198" s="9">
        <v>4974.3</v>
      </c>
      <c r="H4198" s="10">
        <v>0.26300000000000001</v>
      </c>
      <c r="I4198" s="11">
        <v>7.4</v>
      </c>
    </row>
    <row r="4199" spans="1:9" x14ac:dyDescent="0.35">
      <c r="A4199" s="2" t="s">
        <v>386</v>
      </c>
      <c r="B4199" s="3">
        <v>45200</v>
      </c>
      <c r="C4199" s="2">
        <v>16</v>
      </c>
      <c r="D4199" s="2">
        <v>23071</v>
      </c>
      <c r="E4199" s="17">
        <v>45869.79</v>
      </c>
      <c r="F4199" s="11">
        <v>6.34</v>
      </c>
      <c r="G4199" s="9">
        <v>3625.7</v>
      </c>
      <c r="H4199" s="10">
        <v>0.438</v>
      </c>
      <c r="I4199" s="11">
        <v>7.2</v>
      </c>
    </row>
    <row r="4200" spans="1:9" x14ac:dyDescent="0.35">
      <c r="A4200" s="2" t="s">
        <v>386</v>
      </c>
      <c r="B4200" s="3">
        <v>45231</v>
      </c>
      <c r="C4200" s="2">
        <v>22</v>
      </c>
      <c r="D4200" s="2">
        <v>32204</v>
      </c>
      <c r="E4200" s="17">
        <v>60778.080000000002</v>
      </c>
      <c r="F4200" s="11">
        <v>6.73</v>
      </c>
      <c r="G4200" s="9">
        <v>4882.6000000000004</v>
      </c>
      <c r="H4200" s="10">
        <v>0.36399999999999999</v>
      </c>
      <c r="I4200" s="11">
        <v>6.7</v>
      </c>
    </row>
    <row r="4201" spans="1:9" x14ac:dyDescent="0.35">
      <c r="A4201" s="2" t="s">
        <v>386</v>
      </c>
      <c r="B4201" s="3">
        <v>45261</v>
      </c>
      <c r="C4201" s="2">
        <v>24</v>
      </c>
      <c r="D4201" s="2">
        <v>27964</v>
      </c>
      <c r="E4201" s="17">
        <v>60210.34</v>
      </c>
      <c r="F4201" s="11">
        <v>6.42</v>
      </c>
      <c r="G4201" s="9">
        <v>4444.8999999999996</v>
      </c>
      <c r="H4201" s="10">
        <v>0.29199999999999998</v>
      </c>
      <c r="I4201" s="11">
        <v>6.4</v>
      </c>
    </row>
    <row r="4202" spans="1:9" x14ac:dyDescent="0.35">
      <c r="A4202" s="2" t="s">
        <v>386</v>
      </c>
      <c r="B4202" s="3">
        <v>45292</v>
      </c>
      <c r="C4202" s="2">
        <v>18</v>
      </c>
      <c r="D4202" s="2">
        <v>21043</v>
      </c>
      <c r="E4202" s="17">
        <v>49959.360000000001</v>
      </c>
      <c r="F4202" s="11">
        <v>6.39</v>
      </c>
      <c r="G4202" s="9">
        <v>3316.6</v>
      </c>
      <c r="H4202" s="10">
        <v>0.61099999999999999</v>
      </c>
      <c r="I4202" s="11">
        <v>6.9</v>
      </c>
    </row>
    <row r="4203" spans="1:9" x14ac:dyDescent="0.35">
      <c r="A4203" s="2" t="s">
        <v>386</v>
      </c>
      <c r="B4203" s="3">
        <v>45323</v>
      </c>
      <c r="C4203" s="2">
        <v>13</v>
      </c>
      <c r="D4203" s="2">
        <v>18326</v>
      </c>
      <c r="E4203" s="17">
        <v>36027.980000000003</v>
      </c>
      <c r="F4203" s="11">
        <v>6.23</v>
      </c>
      <c r="G4203" s="9">
        <v>2941</v>
      </c>
      <c r="H4203" s="10">
        <v>0.38500000000000001</v>
      </c>
      <c r="I4203" s="11">
        <v>6.4</v>
      </c>
    </row>
    <row r="4204" spans="1:9" x14ac:dyDescent="0.35">
      <c r="A4204" s="2" t="s">
        <v>386</v>
      </c>
      <c r="B4204" s="3">
        <v>45352</v>
      </c>
      <c r="C4204" s="2">
        <v>20</v>
      </c>
      <c r="D4204" s="2">
        <v>23910</v>
      </c>
      <c r="E4204" s="17">
        <v>50221.64</v>
      </c>
      <c r="F4204" s="11">
        <v>6.5</v>
      </c>
      <c r="G4204" s="9">
        <v>3605.4</v>
      </c>
      <c r="H4204" s="10">
        <v>0.6</v>
      </c>
      <c r="I4204" s="11">
        <v>6.6</v>
      </c>
    </row>
    <row r="4205" spans="1:9" x14ac:dyDescent="0.35">
      <c r="A4205" s="2" t="s">
        <v>386</v>
      </c>
      <c r="B4205" s="3">
        <v>45383</v>
      </c>
      <c r="C4205" s="2">
        <v>26</v>
      </c>
      <c r="D4205" s="2">
        <v>44019</v>
      </c>
      <c r="E4205" s="17">
        <v>99974.34</v>
      </c>
      <c r="F4205" s="11">
        <v>6.47</v>
      </c>
      <c r="G4205" s="9">
        <v>6818.1</v>
      </c>
      <c r="H4205" s="10">
        <v>0.42299999999999999</v>
      </c>
      <c r="I4205" s="11">
        <v>7.9</v>
      </c>
    </row>
    <row r="4206" spans="1:9" x14ac:dyDescent="0.35">
      <c r="A4206" s="2" t="s">
        <v>386</v>
      </c>
      <c r="B4206" s="3">
        <v>45413</v>
      </c>
      <c r="C4206" s="2">
        <v>23</v>
      </c>
      <c r="D4206" s="2">
        <v>41603</v>
      </c>
      <c r="E4206" s="17">
        <v>89154.22</v>
      </c>
      <c r="F4206" s="11">
        <v>6.35</v>
      </c>
      <c r="G4206" s="9">
        <v>6623.7</v>
      </c>
      <c r="H4206" s="10">
        <v>0.52200000000000002</v>
      </c>
      <c r="I4206" s="11">
        <v>7.3</v>
      </c>
    </row>
    <row r="4207" spans="1:9" x14ac:dyDescent="0.35">
      <c r="A4207" s="2" t="s">
        <v>386</v>
      </c>
      <c r="B4207" s="3">
        <v>45444</v>
      </c>
      <c r="C4207" s="2">
        <v>17</v>
      </c>
      <c r="D4207" s="2">
        <v>20945</v>
      </c>
      <c r="E4207" s="17">
        <v>45269.84</v>
      </c>
      <c r="F4207" s="11">
        <v>6.45</v>
      </c>
      <c r="G4207" s="9">
        <v>3276.9</v>
      </c>
      <c r="H4207" s="10">
        <v>0.52900000000000003</v>
      </c>
      <c r="I4207" s="11">
        <v>6.6</v>
      </c>
    </row>
    <row r="4208" spans="1:9" x14ac:dyDescent="0.35">
      <c r="A4208" s="2" t="s">
        <v>386</v>
      </c>
      <c r="B4208" s="3">
        <v>45474</v>
      </c>
      <c r="C4208" s="2">
        <v>12</v>
      </c>
      <c r="D4208" s="2">
        <v>19525</v>
      </c>
      <c r="E4208" s="17">
        <v>39450.800000000003</v>
      </c>
      <c r="F4208" s="11">
        <v>6.59</v>
      </c>
      <c r="G4208" s="9">
        <v>2997</v>
      </c>
      <c r="H4208" s="10">
        <v>0.5</v>
      </c>
      <c r="I4208" s="11">
        <v>6.9</v>
      </c>
    </row>
    <row r="4209" spans="1:9" x14ac:dyDescent="0.35">
      <c r="A4209" s="2" t="s">
        <v>386</v>
      </c>
      <c r="B4209" s="3">
        <v>45505</v>
      </c>
      <c r="C4209" s="2">
        <v>28</v>
      </c>
      <c r="D4209" s="2">
        <v>43409</v>
      </c>
      <c r="E4209" s="17">
        <v>89701.69</v>
      </c>
      <c r="F4209" s="11">
        <v>6.55</v>
      </c>
      <c r="G4209" s="9">
        <v>6690</v>
      </c>
      <c r="H4209" s="10">
        <v>0.5</v>
      </c>
      <c r="I4209" s="11">
        <v>7.2</v>
      </c>
    </row>
    <row r="4210" spans="1:9" x14ac:dyDescent="0.35">
      <c r="A4210" s="2" t="s">
        <v>386</v>
      </c>
      <c r="B4210" s="3">
        <v>45536</v>
      </c>
      <c r="C4210" s="2">
        <v>22</v>
      </c>
      <c r="D4210" s="2">
        <v>30297</v>
      </c>
      <c r="E4210" s="17">
        <v>66321.08</v>
      </c>
      <c r="F4210" s="11">
        <v>6.45</v>
      </c>
      <c r="G4210" s="9">
        <v>4687.2</v>
      </c>
      <c r="H4210" s="10">
        <v>0.40899999999999997</v>
      </c>
      <c r="I4210" s="11">
        <v>6.9</v>
      </c>
    </row>
    <row r="4211" spans="1:9" x14ac:dyDescent="0.35">
      <c r="A4211" s="2" t="s">
        <v>386</v>
      </c>
      <c r="B4211" s="3">
        <v>45566</v>
      </c>
      <c r="C4211" s="2">
        <v>12</v>
      </c>
      <c r="D4211" s="2">
        <v>13802</v>
      </c>
      <c r="E4211" s="17">
        <v>27131.98</v>
      </c>
      <c r="F4211" s="11">
        <v>6.59</v>
      </c>
      <c r="G4211" s="9">
        <v>2087.1</v>
      </c>
      <c r="H4211" s="10">
        <v>0.41699999999999998</v>
      </c>
      <c r="I4211" s="11">
        <v>9</v>
      </c>
    </row>
    <row r="4212" spans="1:9" x14ac:dyDescent="0.35">
      <c r="A4212" s="2" t="s">
        <v>386</v>
      </c>
      <c r="B4212" s="3">
        <v>45597</v>
      </c>
      <c r="C4212" s="2">
        <v>21</v>
      </c>
      <c r="D4212" s="2">
        <v>28111</v>
      </c>
      <c r="E4212" s="17">
        <v>60940.4</v>
      </c>
      <c r="F4212" s="11">
        <v>6.32</v>
      </c>
      <c r="G4212" s="9">
        <v>4528.1000000000004</v>
      </c>
      <c r="H4212" s="10">
        <v>0.42899999999999999</v>
      </c>
      <c r="I4212" s="11">
        <v>7</v>
      </c>
    </row>
    <row r="4213" spans="1:9" x14ac:dyDescent="0.35">
      <c r="A4213" s="2" t="s">
        <v>386</v>
      </c>
      <c r="B4213" s="3">
        <v>45627</v>
      </c>
      <c r="C4213" s="2">
        <v>21</v>
      </c>
      <c r="D4213" s="2">
        <v>32546</v>
      </c>
      <c r="E4213" s="17">
        <v>73584.59</v>
      </c>
      <c r="F4213" s="11">
        <v>6.33</v>
      </c>
      <c r="G4213" s="9">
        <v>5210.3999999999996</v>
      </c>
      <c r="H4213" s="10">
        <v>0.47599999999999998</v>
      </c>
      <c r="I4213" s="11">
        <v>6.9</v>
      </c>
    </row>
    <row r="4214" spans="1:9" x14ac:dyDescent="0.35">
      <c r="A4214" s="2" t="s">
        <v>388</v>
      </c>
      <c r="B4214" s="3">
        <v>44562</v>
      </c>
      <c r="C4214" s="2">
        <v>10</v>
      </c>
      <c r="D4214" s="2">
        <v>19919</v>
      </c>
      <c r="E4214" s="17">
        <v>40824.92</v>
      </c>
      <c r="F4214" s="11">
        <v>6.41</v>
      </c>
      <c r="G4214" s="9">
        <v>3180.7</v>
      </c>
      <c r="H4214" s="10">
        <v>0.3</v>
      </c>
      <c r="I4214" s="11">
        <v>7.2</v>
      </c>
    </row>
    <row r="4215" spans="1:9" x14ac:dyDescent="0.35">
      <c r="A4215" s="2" t="s">
        <v>388</v>
      </c>
      <c r="B4215" s="3">
        <v>44593</v>
      </c>
      <c r="C4215" s="2">
        <v>12</v>
      </c>
      <c r="D4215" s="2">
        <v>22161</v>
      </c>
      <c r="E4215" s="17">
        <v>48293.43</v>
      </c>
      <c r="F4215" s="11">
        <v>6.34</v>
      </c>
      <c r="G4215" s="9">
        <v>3486.6</v>
      </c>
      <c r="H4215" s="10">
        <v>0.5</v>
      </c>
      <c r="I4215" s="11">
        <v>5.5</v>
      </c>
    </row>
    <row r="4216" spans="1:9" x14ac:dyDescent="0.35">
      <c r="A4216" s="2" t="s">
        <v>388</v>
      </c>
      <c r="B4216" s="3">
        <v>44621</v>
      </c>
      <c r="C4216" s="2">
        <v>13</v>
      </c>
      <c r="D4216" s="2">
        <v>18201</v>
      </c>
      <c r="E4216" s="17">
        <v>37630</v>
      </c>
      <c r="F4216" s="11">
        <v>6.55</v>
      </c>
      <c r="G4216" s="9">
        <v>2777</v>
      </c>
      <c r="H4216" s="10">
        <v>0.46200000000000002</v>
      </c>
      <c r="I4216" s="11">
        <v>7.1</v>
      </c>
    </row>
    <row r="4217" spans="1:9" x14ac:dyDescent="0.35">
      <c r="A4217" s="2" t="s">
        <v>388</v>
      </c>
      <c r="B4217" s="3">
        <v>44652</v>
      </c>
      <c r="C4217" s="2">
        <v>22</v>
      </c>
      <c r="D4217" s="2">
        <v>37013</v>
      </c>
      <c r="E4217" s="17">
        <v>85300.02</v>
      </c>
      <c r="F4217" s="11">
        <v>6.55</v>
      </c>
      <c r="G4217" s="9">
        <v>5723.1</v>
      </c>
      <c r="H4217" s="10">
        <v>0.40899999999999997</v>
      </c>
      <c r="I4217" s="11">
        <v>7.5</v>
      </c>
    </row>
    <row r="4218" spans="1:9" x14ac:dyDescent="0.35">
      <c r="A4218" s="2" t="s">
        <v>388</v>
      </c>
      <c r="B4218" s="3">
        <v>44682</v>
      </c>
      <c r="C4218" s="2">
        <v>16</v>
      </c>
      <c r="D4218" s="2">
        <v>26546</v>
      </c>
      <c r="E4218" s="17">
        <v>57179.53</v>
      </c>
      <c r="F4218" s="11">
        <v>6.58</v>
      </c>
      <c r="G4218" s="9">
        <v>4062.2</v>
      </c>
      <c r="H4218" s="10">
        <v>0.375</v>
      </c>
      <c r="I4218" s="11">
        <v>8.1999999999999993</v>
      </c>
    </row>
    <row r="4219" spans="1:9" x14ac:dyDescent="0.35">
      <c r="A4219" s="2" t="s">
        <v>388</v>
      </c>
      <c r="B4219" s="3">
        <v>44713</v>
      </c>
      <c r="C4219" s="2">
        <v>19</v>
      </c>
      <c r="D4219" s="2">
        <v>23935</v>
      </c>
      <c r="E4219" s="17">
        <v>56805.32</v>
      </c>
      <c r="F4219" s="11">
        <v>6.36</v>
      </c>
      <c r="G4219" s="9">
        <v>3783.3</v>
      </c>
      <c r="H4219" s="10">
        <v>0.36799999999999999</v>
      </c>
      <c r="I4219" s="11">
        <v>6.5</v>
      </c>
    </row>
    <row r="4220" spans="1:9" x14ac:dyDescent="0.35">
      <c r="A4220" s="2" t="s">
        <v>388</v>
      </c>
      <c r="B4220" s="3">
        <v>44743</v>
      </c>
      <c r="C4220" s="2">
        <v>23</v>
      </c>
      <c r="D4220" s="2">
        <v>34381</v>
      </c>
      <c r="E4220" s="17">
        <v>71152.53</v>
      </c>
      <c r="F4220" s="11">
        <v>6.51</v>
      </c>
      <c r="G4220" s="9">
        <v>5361.4</v>
      </c>
      <c r="H4220" s="10">
        <v>0.60899999999999999</v>
      </c>
      <c r="I4220" s="11">
        <v>8.4</v>
      </c>
    </row>
    <row r="4221" spans="1:9" x14ac:dyDescent="0.35">
      <c r="A4221" s="2" t="s">
        <v>388</v>
      </c>
      <c r="B4221" s="3">
        <v>44774</v>
      </c>
      <c r="C4221" s="2">
        <v>19</v>
      </c>
      <c r="D4221" s="2">
        <v>27578</v>
      </c>
      <c r="E4221" s="17">
        <v>63707.93</v>
      </c>
      <c r="F4221" s="11">
        <v>6.61</v>
      </c>
      <c r="G4221" s="9">
        <v>4219.3999999999996</v>
      </c>
      <c r="H4221" s="10">
        <v>0.52600000000000002</v>
      </c>
      <c r="I4221" s="11">
        <v>7.3</v>
      </c>
    </row>
    <row r="4222" spans="1:9" x14ac:dyDescent="0.35">
      <c r="A4222" s="2" t="s">
        <v>388</v>
      </c>
      <c r="B4222" s="3">
        <v>44805</v>
      </c>
      <c r="C4222" s="2">
        <v>14</v>
      </c>
      <c r="D4222" s="2">
        <v>23340</v>
      </c>
      <c r="E4222" s="17">
        <v>49603.32</v>
      </c>
      <c r="F4222" s="11">
        <v>6.6</v>
      </c>
      <c r="G4222" s="9">
        <v>3470.7</v>
      </c>
      <c r="H4222" s="10">
        <v>0.57099999999999995</v>
      </c>
      <c r="I4222" s="11">
        <v>6.8</v>
      </c>
    </row>
    <row r="4223" spans="1:9" x14ac:dyDescent="0.35">
      <c r="A4223" s="2" t="s">
        <v>388</v>
      </c>
      <c r="B4223" s="3">
        <v>44835</v>
      </c>
      <c r="C4223" s="2">
        <v>19</v>
      </c>
      <c r="D4223" s="2">
        <v>25725</v>
      </c>
      <c r="E4223" s="17">
        <v>52801.440000000002</v>
      </c>
      <c r="F4223" s="11">
        <v>6.44</v>
      </c>
      <c r="G4223" s="9">
        <v>3989.1</v>
      </c>
      <c r="H4223" s="10">
        <v>0.47399999999999998</v>
      </c>
      <c r="I4223" s="11">
        <v>7.2</v>
      </c>
    </row>
    <row r="4224" spans="1:9" x14ac:dyDescent="0.35">
      <c r="A4224" s="2" t="s">
        <v>388</v>
      </c>
      <c r="B4224" s="3">
        <v>44866</v>
      </c>
      <c r="C4224" s="2">
        <v>23</v>
      </c>
      <c r="D4224" s="2">
        <v>35522</v>
      </c>
      <c r="E4224" s="17">
        <v>81628.11</v>
      </c>
      <c r="F4224" s="11">
        <v>6.61</v>
      </c>
      <c r="G4224" s="9">
        <v>5482.5</v>
      </c>
      <c r="H4224" s="10">
        <v>0.34799999999999998</v>
      </c>
      <c r="I4224" s="11">
        <v>6.7</v>
      </c>
    </row>
    <row r="4225" spans="1:9" x14ac:dyDescent="0.35">
      <c r="A4225" s="2" t="s">
        <v>388</v>
      </c>
      <c r="B4225" s="3">
        <v>44896</v>
      </c>
      <c r="C4225" s="2">
        <v>26</v>
      </c>
      <c r="D4225" s="2">
        <v>34471</v>
      </c>
      <c r="E4225" s="17">
        <v>75033.240000000005</v>
      </c>
      <c r="F4225" s="11">
        <v>6.48</v>
      </c>
      <c r="G4225" s="9">
        <v>5360.6</v>
      </c>
      <c r="H4225" s="10">
        <v>0.5</v>
      </c>
      <c r="I4225" s="11">
        <v>7.3</v>
      </c>
    </row>
    <row r="4226" spans="1:9" x14ac:dyDescent="0.35">
      <c r="A4226" s="2" t="s">
        <v>388</v>
      </c>
      <c r="B4226" s="3">
        <v>44927</v>
      </c>
      <c r="C4226" s="2">
        <v>17</v>
      </c>
      <c r="D4226" s="2">
        <v>26448</v>
      </c>
      <c r="E4226" s="17">
        <v>49511.58</v>
      </c>
      <c r="F4226" s="11">
        <v>6.27</v>
      </c>
      <c r="G4226" s="9">
        <v>4217</v>
      </c>
      <c r="H4226" s="10">
        <v>0.41199999999999998</v>
      </c>
      <c r="I4226" s="11">
        <v>7</v>
      </c>
    </row>
    <row r="4227" spans="1:9" x14ac:dyDescent="0.35">
      <c r="A4227" s="2" t="s">
        <v>388</v>
      </c>
      <c r="B4227" s="3">
        <v>44958</v>
      </c>
      <c r="C4227" s="2">
        <v>17</v>
      </c>
      <c r="D4227" s="2">
        <v>27817</v>
      </c>
      <c r="E4227" s="17">
        <v>60150.78</v>
      </c>
      <c r="F4227" s="11">
        <v>6.81</v>
      </c>
      <c r="G4227" s="9">
        <v>4056.8</v>
      </c>
      <c r="H4227" s="10">
        <v>0.47099999999999997</v>
      </c>
      <c r="I4227" s="11">
        <v>6.7</v>
      </c>
    </row>
    <row r="4228" spans="1:9" x14ac:dyDescent="0.35">
      <c r="A4228" s="2" t="s">
        <v>388</v>
      </c>
      <c r="B4228" s="3">
        <v>44986</v>
      </c>
      <c r="C4228" s="2">
        <v>23</v>
      </c>
      <c r="D4228" s="2">
        <v>33435</v>
      </c>
      <c r="E4228" s="17">
        <v>76791.289999999994</v>
      </c>
      <c r="F4228" s="11">
        <v>6.67</v>
      </c>
      <c r="G4228" s="9">
        <v>5084.8</v>
      </c>
      <c r="H4228" s="10">
        <v>0.435</v>
      </c>
      <c r="I4228" s="11">
        <v>7.7</v>
      </c>
    </row>
    <row r="4229" spans="1:9" x14ac:dyDescent="0.35">
      <c r="A4229" s="2" t="s">
        <v>388</v>
      </c>
      <c r="B4229" s="3">
        <v>45017</v>
      </c>
      <c r="C4229" s="2">
        <v>19</v>
      </c>
      <c r="D4229" s="2">
        <v>23882</v>
      </c>
      <c r="E4229" s="17">
        <v>53310.14</v>
      </c>
      <c r="F4229" s="11">
        <v>6.46</v>
      </c>
      <c r="G4229" s="9">
        <v>3684.8</v>
      </c>
      <c r="H4229" s="10">
        <v>0.36799999999999999</v>
      </c>
      <c r="I4229" s="11">
        <v>7.3</v>
      </c>
    </row>
    <row r="4230" spans="1:9" x14ac:dyDescent="0.35">
      <c r="A4230" s="2" t="s">
        <v>388</v>
      </c>
      <c r="B4230" s="3">
        <v>45047</v>
      </c>
      <c r="C4230" s="2">
        <v>19</v>
      </c>
      <c r="D4230" s="2">
        <v>25529</v>
      </c>
      <c r="E4230" s="17">
        <v>55085.03</v>
      </c>
      <c r="F4230" s="11">
        <v>6.72</v>
      </c>
      <c r="G4230" s="9">
        <v>3809</v>
      </c>
      <c r="H4230" s="10">
        <v>0.52600000000000002</v>
      </c>
      <c r="I4230" s="11">
        <v>6.5</v>
      </c>
    </row>
    <row r="4231" spans="1:9" x14ac:dyDescent="0.35">
      <c r="A4231" s="2" t="s">
        <v>388</v>
      </c>
      <c r="B4231" s="3">
        <v>45078</v>
      </c>
      <c r="C4231" s="2">
        <v>24</v>
      </c>
      <c r="D4231" s="2">
        <v>37980</v>
      </c>
      <c r="E4231" s="17">
        <v>86225.29</v>
      </c>
      <c r="F4231" s="11">
        <v>6.47</v>
      </c>
      <c r="G4231" s="9">
        <v>5906.4</v>
      </c>
      <c r="H4231" s="10">
        <v>0.29199999999999998</v>
      </c>
      <c r="I4231" s="11">
        <v>6.4</v>
      </c>
    </row>
    <row r="4232" spans="1:9" x14ac:dyDescent="0.35">
      <c r="A4232" s="2" t="s">
        <v>388</v>
      </c>
      <c r="B4232" s="3">
        <v>45108</v>
      </c>
      <c r="C4232" s="2">
        <v>25</v>
      </c>
      <c r="D4232" s="2">
        <v>30061</v>
      </c>
      <c r="E4232" s="17">
        <v>60701.23</v>
      </c>
      <c r="F4232" s="11">
        <v>6.52</v>
      </c>
      <c r="G4232" s="9">
        <v>4693.8999999999996</v>
      </c>
      <c r="H4232" s="10">
        <v>0.52</v>
      </c>
      <c r="I4232" s="11">
        <v>7.4</v>
      </c>
    </row>
    <row r="4233" spans="1:9" x14ac:dyDescent="0.35">
      <c r="A4233" s="2" t="s">
        <v>388</v>
      </c>
      <c r="B4233" s="3">
        <v>45139</v>
      </c>
      <c r="C4233" s="2">
        <v>16</v>
      </c>
      <c r="D4233" s="2">
        <v>25448</v>
      </c>
      <c r="E4233" s="17">
        <v>58336.21</v>
      </c>
      <c r="F4233" s="11">
        <v>6.4</v>
      </c>
      <c r="G4233" s="9">
        <v>4044.6</v>
      </c>
      <c r="H4233" s="10">
        <v>0.188</v>
      </c>
      <c r="I4233" s="11">
        <v>8.4</v>
      </c>
    </row>
    <row r="4234" spans="1:9" x14ac:dyDescent="0.35">
      <c r="A4234" s="2" t="s">
        <v>388</v>
      </c>
      <c r="B4234" s="3">
        <v>45170</v>
      </c>
      <c r="C4234" s="2">
        <v>14</v>
      </c>
      <c r="D4234" s="2">
        <v>17342</v>
      </c>
      <c r="E4234" s="17">
        <v>36954.19</v>
      </c>
      <c r="F4234" s="11">
        <v>6.44</v>
      </c>
      <c r="G4234" s="9">
        <v>2676.1</v>
      </c>
      <c r="H4234" s="10">
        <v>0.42899999999999999</v>
      </c>
      <c r="I4234" s="11">
        <v>7.4</v>
      </c>
    </row>
    <row r="4235" spans="1:9" x14ac:dyDescent="0.35">
      <c r="A4235" s="2" t="s">
        <v>388</v>
      </c>
      <c r="B4235" s="3">
        <v>45200</v>
      </c>
      <c r="C4235" s="2">
        <v>22</v>
      </c>
      <c r="D4235" s="2">
        <v>32714</v>
      </c>
      <c r="E4235" s="17">
        <v>71298.789999999994</v>
      </c>
      <c r="F4235" s="11">
        <v>6.43</v>
      </c>
      <c r="G4235" s="9">
        <v>5158.3999999999996</v>
      </c>
      <c r="H4235" s="10">
        <v>0.40899999999999997</v>
      </c>
      <c r="I4235" s="11">
        <v>6.9</v>
      </c>
    </row>
    <row r="4236" spans="1:9" x14ac:dyDescent="0.35">
      <c r="A4236" s="2" t="s">
        <v>388</v>
      </c>
      <c r="B4236" s="3">
        <v>45231</v>
      </c>
      <c r="C4236" s="2">
        <v>14</v>
      </c>
      <c r="D4236" s="2">
        <v>18716</v>
      </c>
      <c r="E4236" s="17">
        <v>43895.71</v>
      </c>
      <c r="F4236" s="11">
        <v>6.52</v>
      </c>
      <c r="G4236" s="9">
        <v>2862.7</v>
      </c>
      <c r="H4236" s="10">
        <v>0.57099999999999995</v>
      </c>
      <c r="I4236" s="11">
        <v>7</v>
      </c>
    </row>
    <row r="4237" spans="1:9" x14ac:dyDescent="0.35">
      <c r="A4237" s="2" t="s">
        <v>388</v>
      </c>
      <c r="B4237" s="3">
        <v>45261</v>
      </c>
      <c r="C4237" s="2">
        <v>18</v>
      </c>
      <c r="D4237" s="2">
        <v>22099</v>
      </c>
      <c r="E4237" s="17">
        <v>46280.79</v>
      </c>
      <c r="F4237" s="11">
        <v>6.58</v>
      </c>
      <c r="G4237" s="9">
        <v>3399.9</v>
      </c>
      <c r="H4237" s="10">
        <v>0.44400000000000001</v>
      </c>
      <c r="I4237" s="11">
        <v>6.9</v>
      </c>
    </row>
    <row r="4238" spans="1:9" x14ac:dyDescent="0.35">
      <c r="A4238" s="2" t="s">
        <v>388</v>
      </c>
      <c r="B4238" s="3">
        <v>45292</v>
      </c>
      <c r="C4238" s="2">
        <v>20</v>
      </c>
      <c r="D4238" s="2">
        <v>26096</v>
      </c>
      <c r="E4238" s="17">
        <v>57921.3</v>
      </c>
      <c r="F4238" s="11">
        <v>6.41</v>
      </c>
      <c r="G4238" s="9">
        <v>4110.2</v>
      </c>
      <c r="H4238" s="10">
        <v>0.5</v>
      </c>
      <c r="I4238" s="11">
        <v>6.8</v>
      </c>
    </row>
    <row r="4239" spans="1:9" x14ac:dyDescent="0.35">
      <c r="A4239" s="2" t="s">
        <v>388</v>
      </c>
      <c r="B4239" s="3">
        <v>45323</v>
      </c>
      <c r="C4239" s="2">
        <v>18</v>
      </c>
      <c r="D4239" s="2">
        <v>21945</v>
      </c>
      <c r="E4239" s="17">
        <v>47730.35</v>
      </c>
      <c r="F4239" s="11">
        <v>6.39</v>
      </c>
      <c r="G4239" s="9">
        <v>3462.7</v>
      </c>
      <c r="H4239" s="10">
        <v>0.55600000000000005</v>
      </c>
      <c r="I4239" s="11">
        <v>5.9</v>
      </c>
    </row>
    <row r="4240" spans="1:9" x14ac:dyDescent="0.35">
      <c r="A4240" s="2" t="s">
        <v>388</v>
      </c>
      <c r="B4240" s="3">
        <v>45352</v>
      </c>
      <c r="C4240" s="2">
        <v>16</v>
      </c>
      <c r="D4240" s="2">
        <v>24693</v>
      </c>
      <c r="E4240" s="17">
        <v>51815.96</v>
      </c>
      <c r="F4240" s="11">
        <v>6.57</v>
      </c>
      <c r="G4240" s="9">
        <v>3811.3</v>
      </c>
      <c r="H4240" s="10">
        <v>0.25</v>
      </c>
      <c r="I4240" s="11">
        <v>6.9</v>
      </c>
    </row>
    <row r="4241" spans="1:9" x14ac:dyDescent="0.35">
      <c r="A4241" s="2" t="s">
        <v>388</v>
      </c>
      <c r="B4241" s="3">
        <v>45383</v>
      </c>
      <c r="C4241" s="2">
        <v>20</v>
      </c>
      <c r="D4241" s="2">
        <v>36539</v>
      </c>
      <c r="E4241" s="17">
        <v>81670.97</v>
      </c>
      <c r="F4241" s="11">
        <v>6.61</v>
      </c>
      <c r="G4241" s="9">
        <v>5712.3</v>
      </c>
      <c r="H4241" s="10">
        <v>0.35</v>
      </c>
      <c r="I4241" s="11">
        <v>7</v>
      </c>
    </row>
    <row r="4242" spans="1:9" x14ac:dyDescent="0.35">
      <c r="A4242" s="2" t="s">
        <v>388</v>
      </c>
      <c r="B4242" s="3">
        <v>45413</v>
      </c>
      <c r="C4242" s="2">
        <v>18</v>
      </c>
      <c r="D4242" s="2">
        <v>26339</v>
      </c>
      <c r="E4242" s="17">
        <v>57861.64</v>
      </c>
      <c r="F4242" s="11">
        <v>6.39</v>
      </c>
      <c r="G4242" s="9">
        <v>4170</v>
      </c>
      <c r="H4242" s="10">
        <v>0.5</v>
      </c>
      <c r="I4242" s="11">
        <v>6.1</v>
      </c>
    </row>
    <row r="4243" spans="1:9" x14ac:dyDescent="0.35">
      <c r="A4243" s="2" t="s">
        <v>388</v>
      </c>
      <c r="B4243" s="3">
        <v>45444</v>
      </c>
      <c r="C4243" s="2">
        <v>28</v>
      </c>
      <c r="D4243" s="2">
        <v>44139</v>
      </c>
      <c r="E4243" s="17">
        <v>95602.41</v>
      </c>
      <c r="F4243" s="11">
        <v>6.64</v>
      </c>
      <c r="G4243" s="9">
        <v>6729.4</v>
      </c>
      <c r="H4243" s="10">
        <v>0.32100000000000001</v>
      </c>
      <c r="I4243" s="11">
        <v>7.1</v>
      </c>
    </row>
    <row r="4244" spans="1:9" x14ac:dyDescent="0.35">
      <c r="A4244" s="2" t="s">
        <v>388</v>
      </c>
      <c r="B4244" s="3">
        <v>45474</v>
      </c>
      <c r="C4244" s="2">
        <v>18</v>
      </c>
      <c r="D4244" s="2">
        <v>25227</v>
      </c>
      <c r="E4244" s="17">
        <v>55134.33</v>
      </c>
      <c r="F4244" s="11">
        <v>6.56</v>
      </c>
      <c r="G4244" s="9">
        <v>3833.4</v>
      </c>
      <c r="H4244" s="10">
        <v>0.38900000000000001</v>
      </c>
      <c r="I4244" s="11">
        <v>7.1</v>
      </c>
    </row>
    <row r="4245" spans="1:9" x14ac:dyDescent="0.35">
      <c r="A4245" s="2" t="s">
        <v>388</v>
      </c>
      <c r="B4245" s="3">
        <v>45505</v>
      </c>
      <c r="C4245" s="2">
        <v>25</v>
      </c>
      <c r="D4245" s="2">
        <v>33745</v>
      </c>
      <c r="E4245" s="17">
        <v>72371.990000000005</v>
      </c>
      <c r="F4245" s="11">
        <v>6.32</v>
      </c>
      <c r="G4245" s="9">
        <v>5345.1</v>
      </c>
      <c r="H4245" s="10">
        <v>0.36</v>
      </c>
      <c r="I4245" s="11">
        <v>6.6</v>
      </c>
    </row>
    <row r="4246" spans="1:9" x14ac:dyDescent="0.35">
      <c r="A4246" s="2" t="s">
        <v>388</v>
      </c>
      <c r="B4246" s="3">
        <v>45536</v>
      </c>
      <c r="C4246" s="2">
        <v>20</v>
      </c>
      <c r="D4246" s="2">
        <v>22184</v>
      </c>
      <c r="E4246" s="17">
        <v>41784.71</v>
      </c>
      <c r="F4246" s="11">
        <v>6.51</v>
      </c>
      <c r="G4246" s="9">
        <v>3447.2</v>
      </c>
      <c r="H4246" s="10">
        <v>0.6</v>
      </c>
      <c r="I4246" s="11">
        <v>6.7</v>
      </c>
    </row>
    <row r="4247" spans="1:9" x14ac:dyDescent="0.35">
      <c r="A4247" s="2" t="s">
        <v>388</v>
      </c>
      <c r="B4247" s="3">
        <v>45566</v>
      </c>
      <c r="C4247" s="2">
        <v>25</v>
      </c>
      <c r="D4247" s="2">
        <v>35365</v>
      </c>
      <c r="E4247" s="17">
        <v>72946.83</v>
      </c>
      <c r="F4247" s="11">
        <v>6.57</v>
      </c>
      <c r="G4247" s="9">
        <v>5512.8</v>
      </c>
      <c r="H4247" s="10">
        <v>0.48</v>
      </c>
      <c r="I4247" s="11">
        <v>7.3</v>
      </c>
    </row>
    <row r="4248" spans="1:9" x14ac:dyDescent="0.35">
      <c r="A4248" s="2" t="s">
        <v>388</v>
      </c>
      <c r="B4248" s="3">
        <v>45597</v>
      </c>
      <c r="C4248" s="2">
        <v>14</v>
      </c>
      <c r="D4248" s="2">
        <v>15772</v>
      </c>
      <c r="E4248" s="17">
        <v>34397.129999999997</v>
      </c>
      <c r="F4248" s="11">
        <v>6.56</v>
      </c>
      <c r="G4248" s="9">
        <v>2443.6999999999998</v>
      </c>
      <c r="H4248" s="10">
        <v>0.28599999999999998</v>
      </c>
      <c r="I4248" s="11">
        <v>7.3</v>
      </c>
    </row>
    <row r="4249" spans="1:9" x14ac:dyDescent="0.35">
      <c r="A4249" s="2" t="s">
        <v>388</v>
      </c>
      <c r="B4249" s="3">
        <v>45627</v>
      </c>
      <c r="C4249" s="2">
        <v>22</v>
      </c>
      <c r="D4249" s="2">
        <v>30113</v>
      </c>
      <c r="E4249" s="17">
        <v>75071.710000000006</v>
      </c>
      <c r="F4249" s="11">
        <v>6.67</v>
      </c>
      <c r="G4249" s="9">
        <v>4662.5</v>
      </c>
      <c r="H4249" s="10">
        <v>0.36399999999999999</v>
      </c>
      <c r="I4249" s="11">
        <v>6.5</v>
      </c>
    </row>
    <row r="4250" spans="1:9" x14ac:dyDescent="0.35">
      <c r="A4250" s="2" t="s">
        <v>390</v>
      </c>
      <c r="B4250" s="3">
        <v>44562</v>
      </c>
      <c r="C4250" s="2">
        <v>23</v>
      </c>
      <c r="D4250" s="2">
        <v>30235</v>
      </c>
      <c r="E4250" s="17">
        <v>68221.33</v>
      </c>
      <c r="F4250" s="11">
        <v>6.48</v>
      </c>
      <c r="G4250" s="9">
        <v>4668.7</v>
      </c>
      <c r="H4250" s="10">
        <v>0.52200000000000002</v>
      </c>
      <c r="I4250" s="11">
        <v>7.4</v>
      </c>
    </row>
    <row r="4251" spans="1:9" x14ac:dyDescent="0.35">
      <c r="A4251" s="2" t="s">
        <v>390</v>
      </c>
      <c r="B4251" s="3">
        <v>44593</v>
      </c>
      <c r="C4251" s="2">
        <v>18</v>
      </c>
      <c r="D4251" s="2">
        <v>23581</v>
      </c>
      <c r="E4251" s="17">
        <v>50267.09</v>
      </c>
      <c r="F4251" s="11">
        <v>6.32</v>
      </c>
      <c r="G4251" s="9">
        <v>3750.3</v>
      </c>
      <c r="H4251" s="10">
        <v>0.44400000000000001</v>
      </c>
      <c r="I4251" s="11">
        <v>7.8</v>
      </c>
    </row>
    <row r="4252" spans="1:9" x14ac:dyDescent="0.35">
      <c r="A4252" s="2" t="s">
        <v>390</v>
      </c>
      <c r="B4252" s="3">
        <v>44621</v>
      </c>
      <c r="C4252" s="2">
        <v>29</v>
      </c>
      <c r="D4252" s="2">
        <v>39553</v>
      </c>
      <c r="E4252" s="17">
        <v>82386.25</v>
      </c>
      <c r="F4252" s="11">
        <v>6.46</v>
      </c>
      <c r="G4252" s="9">
        <v>6196.1</v>
      </c>
      <c r="H4252" s="10">
        <v>0.41399999999999998</v>
      </c>
      <c r="I4252" s="11">
        <v>7.1</v>
      </c>
    </row>
    <row r="4253" spans="1:9" x14ac:dyDescent="0.35">
      <c r="A4253" s="2" t="s">
        <v>390</v>
      </c>
      <c r="B4253" s="3">
        <v>44652</v>
      </c>
      <c r="C4253" s="2">
        <v>19</v>
      </c>
      <c r="D4253" s="2">
        <v>30372</v>
      </c>
      <c r="E4253" s="17">
        <v>62245.22</v>
      </c>
      <c r="F4253" s="11">
        <v>6.43</v>
      </c>
      <c r="G4253" s="9">
        <v>4747</v>
      </c>
      <c r="H4253" s="10">
        <v>0.52600000000000002</v>
      </c>
      <c r="I4253" s="11">
        <v>6</v>
      </c>
    </row>
    <row r="4254" spans="1:9" x14ac:dyDescent="0.35">
      <c r="A4254" s="2" t="s">
        <v>390</v>
      </c>
      <c r="B4254" s="3">
        <v>44682</v>
      </c>
      <c r="C4254" s="2">
        <v>19</v>
      </c>
      <c r="D4254" s="2">
        <v>27459</v>
      </c>
      <c r="E4254" s="17">
        <v>59750</v>
      </c>
      <c r="F4254" s="11">
        <v>6.43</v>
      </c>
      <c r="G4254" s="9">
        <v>4354.1000000000004</v>
      </c>
      <c r="H4254" s="10">
        <v>0.47399999999999998</v>
      </c>
      <c r="I4254" s="11">
        <v>6.9</v>
      </c>
    </row>
    <row r="4255" spans="1:9" x14ac:dyDescent="0.35">
      <c r="A4255" s="2" t="s">
        <v>390</v>
      </c>
      <c r="B4255" s="3">
        <v>44713</v>
      </c>
      <c r="C4255" s="2">
        <v>17</v>
      </c>
      <c r="D4255" s="2">
        <v>24340</v>
      </c>
      <c r="E4255" s="17">
        <v>54643.59</v>
      </c>
      <c r="F4255" s="11">
        <v>6.44</v>
      </c>
      <c r="G4255" s="9">
        <v>3791.8</v>
      </c>
      <c r="H4255" s="10">
        <v>0.35299999999999998</v>
      </c>
      <c r="I4255" s="11">
        <v>6.1</v>
      </c>
    </row>
    <row r="4256" spans="1:9" x14ac:dyDescent="0.35">
      <c r="A4256" s="2" t="s">
        <v>390</v>
      </c>
      <c r="B4256" s="3">
        <v>44743</v>
      </c>
      <c r="C4256" s="2">
        <v>15</v>
      </c>
      <c r="D4256" s="2">
        <v>18740</v>
      </c>
      <c r="E4256" s="17">
        <v>40239.11</v>
      </c>
      <c r="F4256" s="11">
        <v>6.65</v>
      </c>
      <c r="G4256" s="9">
        <v>2841.3</v>
      </c>
      <c r="H4256" s="10">
        <v>0.53300000000000003</v>
      </c>
      <c r="I4256" s="11">
        <v>6.2</v>
      </c>
    </row>
    <row r="4257" spans="1:9" x14ac:dyDescent="0.35">
      <c r="A4257" s="2" t="s">
        <v>390</v>
      </c>
      <c r="B4257" s="3">
        <v>44774</v>
      </c>
      <c r="C4257" s="2">
        <v>18</v>
      </c>
      <c r="D4257" s="2">
        <v>22869</v>
      </c>
      <c r="E4257" s="17">
        <v>50913.760000000002</v>
      </c>
      <c r="F4257" s="11">
        <v>6.35</v>
      </c>
      <c r="G4257" s="9">
        <v>3570</v>
      </c>
      <c r="H4257" s="10">
        <v>0.5</v>
      </c>
      <c r="I4257" s="11">
        <v>6.3</v>
      </c>
    </row>
    <row r="4258" spans="1:9" x14ac:dyDescent="0.35">
      <c r="A4258" s="2" t="s">
        <v>390</v>
      </c>
      <c r="B4258" s="3">
        <v>44805</v>
      </c>
      <c r="C4258" s="2">
        <v>12</v>
      </c>
      <c r="D4258" s="2">
        <v>20150</v>
      </c>
      <c r="E4258" s="17">
        <v>41962.49</v>
      </c>
      <c r="F4258" s="11">
        <v>6.31</v>
      </c>
      <c r="G4258" s="9">
        <v>3321</v>
      </c>
      <c r="H4258" s="10">
        <v>0.25</v>
      </c>
      <c r="I4258" s="11">
        <v>6.3</v>
      </c>
    </row>
    <row r="4259" spans="1:9" x14ac:dyDescent="0.35">
      <c r="A4259" s="2" t="s">
        <v>390</v>
      </c>
      <c r="B4259" s="3">
        <v>44835</v>
      </c>
      <c r="C4259" s="2">
        <v>29</v>
      </c>
      <c r="D4259" s="2">
        <v>34222</v>
      </c>
      <c r="E4259" s="17">
        <v>74885.570000000007</v>
      </c>
      <c r="F4259" s="11">
        <v>6.48</v>
      </c>
      <c r="G4259" s="9">
        <v>5377.7</v>
      </c>
      <c r="H4259" s="10">
        <v>0.44800000000000001</v>
      </c>
      <c r="I4259" s="11">
        <v>7</v>
      </c>
    </row>
    <row r="4260" spans="1:9" x14ac:dyDescent="0.35">
      <c r="A4260" s="2" t="s">
        <v>390</v>
      </c>
      <c r="B4260" s="3">
        <v>44866</v>
      </c>
      <c r="C4260" s="2">
        <v>13</v>
      </c>
      <c r="D4260" s="2">
        <v>17666</v>
      </c>
      <c r="E4260" s="17">
        <v>36413.730000000003</v>
      </c>
      <c r="F4260" s="11">
        <v>6.61</v>
      </c>
      <c r="G4260" s="9">
        <v>2692.3</v>
      </c>
      <c r="H4260" s="10">
        <v>0.46200000000000002</v>
      </c>
      <c r="I4260" s="11">
        <v>6.6</v>
      </c>
    </row>
    <row r="4261" spans="1:9" x14ac:dyDescent="0.35">
      <c r="A4261" s="2" t="s">
        <v>390</v>
      </c>
      <c r="B4261" s="3">
        <v>44896</v>
      </c>
      <c r="C4261" s="2">
        <v>16</v>
      </c>
      <c r="D4261" s="2">
        <v>23512</v>
      </c>
      <c r="E4261" s="17">
        <v>53297.52</v>
      </c>
      <c r="F4261" s="11">
        <v>6.51</v>
      </c>
      <c r="G4261" s="9">
        <v>3648</v>
      </c>
      <c r="H4261" s="10">
        <v>0.375</v>
      </c>
      <c r="I4261" s="11">
        <v>8.3000000000000007</v>
      </c>
    </row>
    <row r="4262" spans="1:9" x14ac:dyDescent="0.35">
      <c r="A4262" s="2" t="s">
        <v>390</v>
      </c>
      <c r="B4262" s="3">
        <v>44927</v>
      </c>
      <c r="C4262" s="2">
        <v>13</v>
      </c>
      <c r="D4262" s="2">
        <v>18642</v>
      </c>
      <c r="E4262" s="17">
        <v>35449.61</v>
      </c>
      <c r="F4262" s="11">
        <v>6.47</v>
      </c>
      <c r="G4262" s="9">
        <v>2903.5</v>
      </c>
      <c r="H4262" s="10">
        <v>0.38500000000000001</v>
      </c>
      <c r="I4262" s="11">
        <v>6.2</v>
      </c>
    </row>
    <row r="4263" spans="1:9" x14ac:dyDescent="0.35">
      <c r="A4263" s="2" t="s">
        <v>390</v>
      </c>
      <c r="B4263" s="3">
        <v>44958</v>
      </c>
      <c r="C4263" s="2">
        <v>14</v>
      </c>
      <c r="D4263" s="2">
        <v>18959</v>
      </c>
      <c r="E4263" s="17">
        <v>41016.58</v>
      </c>
      <c r="F4263" s="11">
        <v>6.54</v>
      </c>
      <c r="G4263" s="9">
        <v>2899.7</v>
      </c>
      <c r="H4263" s="10">
        <v>0.214</v>
      </c>
      <c r="I4263" s="11">
        <v>6</v>
      </c>
    </row>
    <row r="4264" spans="1:9" x14ac:dyDescent="0.35">
      <c r="A4264" s="2" t="s">
        <v>390</v>
      </c>
      <c r="B4264" s="3">
        <v>44986</v>
      </c>
      <c r="C4264" s="2">
        <v>11</v>
      </c>
      <c r="D4264" s="2">
        <v>16634</v>
      </c>
      <c r="E4264" s="17">
        <v>34826.9</v>
      </c>
      <c r="F4264" s="11">
        <v>6.15</v>
      </c>
      <c r="G4264" s="9">
        <v>2661.1</v>
      </c>
      <c r="H4264" s="10">
        <v>0.45500000000000002</v>
      </c>
      <c r="I4264" s="11">
        <v>8.6999999999999993</v>
      </c>
    </row>
    <row r="4265" spans="1:9" x14ac:dyDescent="0.35">
      <c r="A4265" s="2" t="s">
        <v>390</v>
      </c>
      <c r="B4265" s="3">
        <v>45017</v>
      </c>
      <c r="C4265" s="2">
        <v>17</v>
      </c>
      <c r="D4265" s="2">
        <v>27217</v>
      </c>
      <c r="E4265" s="17">
        <v>59771.33</v>
      </c>
      <c r="F4265" s="11">
        <v>6.35</v>
      </c>
      <c r="G4265" s="9">
        <v>4364.5</v>
      </c>
      <c r="H4265" s="10">
        <v>0.52900000000000003</v>
      </c>
      <c r="I4265" s="11">
        <v>7.3</v>
      </c>
    </row>
    <row r="4266" spans="1:9" x14ac:dyDescent="0.35">
      <c r="A4266" s="2" t="s">
        <v>390</v>
      </c>
      <c r="B4266" s="3">
        <v>45047</v>
      </c>
      <c r="C4266" s="2">
        <v>16</v>
      </c>
      <c r="D4266" s="2">
        <v>21002</v>
      </c>
      <c r="E4266" s="17">
        <v>43945.08</v>
      </c>
      <c r="F4266" s="11">
        <v>6.74</v>
      </c>
      <c r="G4266" s="9">
        <v>3173.5</v>
      </c>
      <c r="H4266" s="10">
        <v>0.438</v>
      </c>
      <c r="I4266" s="11">
        <v>7.2</v>
      </c>
    </row>
    <row r="4267" spans="1:9" x14ac:dyDescent="0.35">
      <c r="A4267" s="2" t="s">
        <v>390</v>
      </c>
      <c r="B4267" s="3">
        <v>45078</v>
      </c>
      <c r="C4267" s="2">
        <v>17</v>
      </c>
      <c r="D4267" s="2">
        <v>25181</v>
      </c>
      <c r="E4267" s="17">
        <v>55150.92</v>
      </c>
      <c r="F4267" s="11">
        <v>6.58</v>
      </c>
      <c r="G4267" s="9">
        <v>3869.8</v>
      </c>
      <c r="H4267" s="10">
        <v>0.47099999999999997</v>
      </c>
      <c r="I4267" s="11">
        <v>6.2</v>
      </c>
    </row>
    <row r="4268" spans="1:9" x14ac:dyDescent="0.35">
      <c r="A4268" s="2" t="s">
        <v>390</v>
      </c>
      <c r="B4268" s="3">
        <v>45108</v>
      </c>
      <c r="C4268" s="2">
        <v>23</v>
      </c>
      <c r="D4268" s="2">
        <v>38503</v>
      </c>
      <c r="E4268" s="17">
        <v>86518.88</v>
      </c>
      <c r="F4268" s="11">
        <v>6.69</v>
      </c>
      <c r="G4268" s="9">
        <v>5853.4</v>
      </c>
      <c r="H4268" s="10">
        <v>0.26100000000000001</v>
      </c>
      <c r="I4268" s="11">
        <v>7.2</v>
      </c>
    </row>
    <row r="4269" spans="1:9" x14ac:dyDescent="0.35">
      <c r="A4269" s="2" t="s">
        <v>390</v>
      </c>
      <c r="B4269" s="3">
        <v>45139</v>
      </c>
      <c r="C4269" s="2">
        <v>16</v>
      </c>
      <c r="D4269" s="2">
        <v>23895</v>
      </c>
      <c r="E4269" s="17">
        <v>45333.09</v>
      </c>
      <c r="F4269" s="11">
        <v>6.44</v>
      </c>
      <c r="G4269" s="9">
        <v>3797.7</v>
      </c>
      <c r="H4269" s="10">
        <v>0.375</v>
      </c>
      <c r="I4269" s="11">
        <v>7.6</v>
      </c>
    </row>
    <row r="4270" spans="1:9" x14ac:dyDescent="0.35">
      <c r="A4270" s="2" t="s">
        <v>390</v>
      </c>
      <c r="B4270" s="3">
        <v>45170</v>
      </c>
      <c r="C4270" s="2">
        <v>24</v>
      </c>
      <c r="D4270" s="2">
        <v>34344</v>
      </c>
      <c r="E4270" s="17">
        <v>73225.89</v>
      </c>
      <c r="F4270" s="11">
        <v>6.58</v>
      </c>
      <c r="G4270" s="9">
        <v>5234.5</v>
      </c>
      <c r="H4270" s="10">
        <v>0.45800000000000002</v>
      </c>
      <c r="I4270" s="11">
        <v>7.2</v>
      </c>
    </row>
    <row r="4271" spans="1:9" x14ac:dyDescent="0.35">
      <c r="A4271" s="2" t="s">
        <v>390</v>
      </c>
      <c r="B4271" s="3">
        <v>45200</v>
      </c>
      <c r="C4271" s="2">
        <v>28</v>
      </c>
      <c r="D4271" s="2">
        <v>32346</v>
      </c>
      <c r="E4271" s="17">
        <v>68448.23</v>
      </c>
      <c r="F4271" s="11">
        <v>6.76</v>
      </c>
      <c r="G4271" s="9">
        <v>4807.5</v>
      </c>
      <c r="H4271" s="10">
        <v>0.35699999999999998</v>
      </c>
      <c r="I4271" s="11">
        <v>6.2</v>
      </c>
    </row>
    <row r="4272" spans="1:9" x14ac:dyDescent="0.35">
      <c r="A4272" s="2" t="s">
        <v>390</v>
      </c>
      <c r="B4272" s="3">
        <v>45231</v>
      </c>
      <c r="C4272" s="2">
        <v>16</v>
      </c>
      <c r="D4272" s="2">
        <v>20496</v>
      </c>
      <c r="E4272" s="17">
        <v>43752.69</v>
      </c>
      <c r="F4272" s="11">
        <v>6.44</v>
      </c>
      <c r="G4272" s="9">
        <v>3196.3</v>
      </c>
      <c r="H4272" s="10">
        <v>0.438</v>
      </c>
      <c r="I4272" s="11">
        <v>7.2</v>
      </c>
    </row>
    <row r="4273" spans="1:9" x14ac:dyDescent="0.35">
      <c r="A4273" s="2" t="s">
        <v>390</v>
      </c>
      <c r="B4273" s="3">
        <v>45261</v>
      </c>
      <c r="C4273" s="2">
        <v>17</v>
      </c>
      <c r="D4273" s="2">
        <v>25314</v>
      </c>
      <c r="E4273" s="17">
        <v>57452.36</v>
      </c>
      <c r="F4273" s="11">
        <v>6.45</v>
      </c>
      <c r="G4273" s="9">
        <v>3961.5</v>
      </c>
      <c r="H4273" s="10">
        <v>0.58799999999999997</v>
      </c>
      <c r="I4273" s="11">
        <v>6.8</v>
      </c>
    </row>
    <row r="4274" spans="1:9" x14ac:dyDescent="0.35">
      <c r="A4274" s="2" t="s">
        <v>390</v>
      </c>
      <c r="B4274" s="3">
        <v>45292</v>
      </c>
      <c r="C4274" s="2">
        <v>19</v>
      </c>
      <c r="D4274" s="2">
        <v>33476</v>
      </c>
      <c r="E4274" s="17">
        <v>69010.86</v>
      </c>
      <c r="F4274" s="11">
        <v>6.52</v>
      </c>
      <c r="G4274" s="9">
        <v>5231.2</v>
      </c>
      <c r="H4274" s="10">
        <v>0.52600000000000002</v>
      </c>
      <c r="I4274" s="11">
        <v>7.9</v>
      </c>
    </row>
    <row r="4275" spans="1:9" x14ac:dyDescent="0.35">
      <c r="A4275" s="2" t="s">
        <v>390</v>
      </c>
      <c r="B4275" s="3">
        <v>45323</v>
      </c>
      <c r="C4275" s="2">
        <v>23</v>
      </c>
      <c r="D4275" s="2">
        <v>29877</v>
      </c>
      <c r="E4275" s="17">
        <v>68369.149999999994</v>
      </c>
      <c r="F4275" s="11">
        <v>6.46</v>
      </c>
      <c r="G4275" s="9">
        <v>4585.5</v>
      </c>
      <c r="H4275" s="10">
        <v>0.39100000000000001</v>
      </c>
      <c r="I4275" s="11">
        <v>6.6</v>
      </c>
    </row>
    <row r="4276" spans="1:9" x14ac:dyDescent="0.35">
      <c r="A4276" s="2" t="s">
        <v>390</v>
      </c>
      <c r="B4276" s="3">
        <v>45352</v>
      </c>
      <c r="C4276" s="2">
        <v>17</v>
      </c>
      <c r="D4276" s="2">
        <v>25193</v>
      </c>
      <c r="E4276" s="17">
        <v>58314.04</v>
      </c>
      <c r="F4276" s="11">
        <v>6.47</v>
      </c>
      <c r="G4276" s="9">
        <v>3859.7</v>
      </c>
      <c r="H4276" s="10">
        <v>0.64700000000000002</v>
      </c>
      <c r="I4276" s="11">
        <v>6.9</v>
      </c>
    </row>
    <row r="4277" spans="1:9" x14ac:dyDescent="0.35">
      <c r="A4277" s="2" t="s">
        <v>390</v>
      </c>
      <c r="B4277" s="3">
        <v>45383</v>
      </c>
      <c r="C4277" s="2">
        <v>25</v>
      </c>
      <c r="D4277" s="2">
        <v>30266</v>
      </c>
      <c r="E4277" s="17">
        <v>66499.429999999993</v>
      </c>
      <c r="F4277" s="11">
        <v>6.54</v>
      </c>
      <c r="G4277" s="9">
        <v>4635.1000000000004</v>
      </c>
      <c r="H4277" s="10">
        <v>0.44</v>
      </c>
      <c r="I4277" s="11">
        <v>6.8</v>
      </c>
    </row>
    <row r="4278" spans="1:9" x14ac:dyDescent="0.35">
      <c r="A4278" s="2" t="s">
        <v>390</v>
      </c>
      <c r="B4278" s="3">
        <v>45413</v>
      </c>
      <c r="C4278" s="2">
        <v>19</v>
      </c>
      <c r="D4278" s="2">
        <v>27030</v>
      </c>
      <c r="E4278" s="17">
        <v>60236.480000000003</v>
      </c>
      <c r="F4278" s="11">
        <v>6.43</v>
      </c>
      <c r="G4278" s="9">
        <v>4199.1000000000004</v>
      </c>
      <c r="H4278" s="10">
        <v>0.316</v>
      </c>
      <c r="I4278" s="11">
        <v>6.2</v>
      </c>
    </row>
    <row r="4279" spans="1:9" x14ac:dyDescent="0.35">
      <c r="A4279" s="2" t="s">
        <v>390</v>
      </c>
      <c r="B4279" s="3">
        <v>45444</v>
      </c>
      <c r="C4279" s="2">
        <v>25</v>
      </c>
      <c r="D4279" s="2">
        <v>35351</v>
      </c>
      <c r="E4279" s="17">
        <v>74398.92</v>
      </c>
      <c r="F4279" s="11">
        <v>6.52</v>
      </c>
      <c r="G4279" s="9">
        <v>5517.6</v>
      </c>
      <c r="H4279" s="10">
        <v>0.68</v>
      </c>
      <c r="I4279" s="11">
        <v>6</v>
      </c>
    </row>
    <row r="4280" spans="1:9" x14ac:dyDescent="0.35">
      <c r="A4280" s="2" t="s">
        <v>390</v>
      </c>
      <c r="B4280" s="3">
        <v>45474</v>
      </c>
      <c r="C4280" s="2">
        <v>17</v>
      </c>
      <c r="D4280" s="2">
        <v>21228</v>
      </c>
      <c r="E4280" s="17">
        <v>46147.02</v>
      </c>
      <c r="F4280" s="11">
        <v>6.54</v>
      </c>
      <c r="G4280" s="9">
        <v>3295.4</v>
      </c>
      <c r="H4280" s="10">
        <v>0.64700000000000002</v>
      </c>
      <c r="I4280" s="11">
        <v>7.7</v>
      </c>
    </row>
    <row r="4281" spans="1:9" x14ac:dyDescent="0.35">
      <c r="A4281" s="2" t="s">
        <v>390</v>
      </c>
      <c r="B4281" s="3">
        <v>45505</v>
      </c>
      <c r="C4281" s="2">
        <v>19</v>
      </c>
      <c r="D4281" s="2">
        <v>31303</v>
      </c>
      <c r="E4281" s="17">
        <v>63364.3</v>
      </c>
      <c r="F4281" s="11">
        <v>6.41</v>
      </c>
      <c r="G4281" s="9">
        <v>4897</v>
      </c>
      <c r="H4281" s="10">
        <v>0.47399999999999998</v>
      </c>
      <c r="I4281" s="11">
        <v>6.7</v>
      </c>
    </row>
    <row r="4282" spans="1:9" x14ac:dyDescent="0.35">
      <c r="A4282" s="2" t="s">
        <v>390</v>
      </c>
      <c r="B4282" s="3">
        <v>45536</v>
      </c>
      <c r="C4282" s="2">
        <v>19</v>
      </c>
      <c r="D4282" s="2">
        <v>22687</v>
      </c>
      <c r="E4282" s="17">
        <v>46425.73</v>
      </c>
      <c r="F4282" s="11">
        <v>6.46</v>
      </c>
      <c r="G4282" s="9">
        <v>3551.5</v>
      </c>
      <c r="H4282" s="10">
        <v>0.316</v>
      </c>
      <c r="I4282" s="11">
        <v>7.5</v>
      </c>
    </row>
    <row r="4283" spans="1:9" x14ac:dyDescent="0.35">
      <c r="A4283" s="2" t="s">
        <v>390</v>
      </c>
      <c r="B4283" s="3">
        <v>45566</v>
      </c>
      <c r="C4283" s="2">
        <v>25</v>
      </c>
      <c r="D4283" s="2">
        <v>33935</v>
      </c>
      <c r="E4283" s="17">
        <v>76114.98</v>
      </c>
      <c r="F4283" s="11">
        <v>6.29</v>
      </c>
      <c r="G4283" s="9">
        <v>5413.2</v>
      </c>
      <c r="H4283" s="10">
        <v>0.56000000000000005</v>
      </c>
      <c r="I4283" s="11">
        <v>7.1</v>
      </c>
    </row>
    <row r="4284" spans="1:9" x14ac:dyDescent="0.35">
      <c r="A4284" s="2" t="s">
        <v>390</v>
      </c>
      <c r="B4284" s="3">
        <v>45597</v>
      </c>
      <c r="C4284" s="2">
        <v>15</v>
      </c>
      <c r="D4284" s="2">
        <v>19903</v>
      </c>
      <c r="E4284" s="17">
        <v>44884.7</v>
      </c>
      <c r="F4284" s="11">
        <v>6.31</v>
      </c>
      <c r="G4284" s="9">
        <v>3192.7</v>
      </c>
      <c r="H4284" s="10">
        <v>0.33300000000000002</v>
      </c>
      <c r="I4284" s="11">
        <v>7.1</v>
      </c>
    </row>
    <row r="4285" spans="1:9" x14ac:dyDescent="0.35">
      <c r="A4285" s="2" t="s">
        <v>390</v>
      </c>
      <c r="B4285" s="3">
        <v>45627</v>
      </c>
      <c r="C4285" s="2">
        <v>25</v>
      </c>
      <c r="D4285" s="2">
        <v>32917</v>
      </c>
      <c r="E4285" s="17">
        <v>70163.25</v>
      </c>
      <c r="F4285" s="11">
        <v>6.51</v>
      </c>
      <c r="G4285" s="9">
        <v>5193.2</v>
      </c>
      <c r="H4285" s="10">
        <v>0.32</v>
      </c>
      <c r="I4285" s="11">
        <v>7.4</v>
      </c>
    </row>
    <row r="4286" spans="1:9" x14ac:dyDescent="0.35">
      <c r="A4286" s="2" t="s">
        <v>392</v>
      </c>
      <c r="B4286" s="3">
        <v>44562</v>
      </c>
      <c r="C4286" s="2">
        <v>15</v>
      </c>
      <c r="D4286" s="2">
        <v>16552</v>
      </c>
      <c r="E4286" s="17">
        <v>34880.01</v>
      </c>
      <c r="F4286" s="11">
        <v>6.45</v>
      </c>
      <c r="G4286" s="9">
        <v>2548.4</v>
      </c>
      <c r="H4286" s="10">
        <v>0.4</v>
      </c>
      <c r="I4286" s="11">
        <v>7</v>
      </c>
    </row>
    <row r="4287" spans="1:9" x14ac:dyDescent="0.35">
      <c r="A4287" s="2" t="s">
        <v>392</v>
      </c>
      <c r="B4287" s="3">
        <v>44593</v>
      </c>
      <c r="C4287" s="2">
        <v>22</v>
      </c>
      <c r="D4287" s="2">
        <v>31356</v>
      </c>
      <c r="E4287" s="17">
        <v>71786.06</v>
      </c>
      <c r="F4287" s="11">
        <v>6.46</v>
      </c>
      <c r="G4287" s="9">
        <v>4853.8999999999996</v>
      </c>
      <c r="H4287" s="10">
        <v>0.45500000000000002</v>
      </c>
      <c r="I4287" s="11">
        <v>7.3</v>
      </c>
    </row>
    <row r="4288" spans="1:9" x14ac:dyDescent="0.35">
      <c r="A4288" s="2" t="s">
        <v>392</v>
      </c>
      <c r="B4288" s="3">
        <v>44621</v>
      </c>
      <c r="C4288" s="2">
        <v>19</v>
      </c>
      <c r="D4288" s="2">
        <v>24049</v>
      </c>
      <c r="E4288" s="17">
        <v>54008.160000000003</v>
      </c>
      <c r="F4288" s="11">
        <v>6.6</v>
      </c>
      <c r="G4288" s="9">
        <v>3595</v>
      </c>
      <c r="H4288" s="10">
        <v>0.42099999999999999</v>
      </c>
      <c r="I4288" s="11">
        <v>6.6</v>
      </c>
    </row>
    <row r="4289" spans="1:9" x14ac:dyDescent="0.35">
      <c r="A4289" s="2" t="s">
        <v>392</v>
      </c>
      <c r="B4289" s="3">
        <v>44652</v>
      </c>
      <c r="C4289" s="2">
        <v>21</v>
      </c>
      <c r="D4289" s="2">
        <v>31882</v>
      </c>
      <c r="E4289" s="17">
        <v>64733.03</v>
      </c>
      <c r="F4289" s="11">
        <v>6.44</v>
      </c>
      <c r="G4289" s="9">
        <v>5059.8999999999996</v>
      </c>
      <c r="H4289" s="10">
        <v>0.38100000000000001</v>
      </c>
      <c r="I4289" s="11">
        <v>7.7</v>
      </c>
    </row>
    <row r="4290" spans="1:9" x14ac:dyDescent="0.35">
      <c r="A4290" s="2" t="s">
        <v>392</v>
      </c>
      <c r="B4290" s="3">
        <v>44682</v>
      </c>
      <c r="C4290" s="2">
        <v>23</v>
      </c>
      <c r="D4290" s="2">
        <v>34273</v>
      </c>
      <c r="E4290" s="17">
        <v>70064.77</v>
      </c>
      <c r="F4290" s="11">
        <v>6.44</v>
      </c>
      <c r="G4290" s="9">
        <v>5344</v>
      </c>
      <c r="H4290" s="10">
        <v>0.65200000000000002</v>
      </c>
      <c r="I4290" s="11">
        <v>6.6</v>
      </c>
    </row>
    <row r="4291" spans="1:9" x14ac:dyDescent="0.35">
      <c r="A4291" s="2" t="s">
        <v>392</v>
      </c>
      <c r="B4291" s="3">
        <v>44713</v>
      </c>
      <c r="C4291" s="2">
        <v>16</v>
      </c>
      <c r="D4291" s="2">
        <v>22947</v>
      </c>
      <c r="E4291" s="17">
        <v>49651.33</v>
      </c>
      <c r="F4291" s="11">
        <v>6.51</v>
      </c>
      <c r="G4291" s="9">
        <v>3589.6</v>
      </c>
      <c r="H4291" s="10">
        <v>0.438</v>
      </c>
      <c r="I4291" s="11">
        <v>7.5</v>
      </c>
    </row>
    <row r="4292" spans="1:9" x14ac:dyDescent="0.35">
      <c r="A4292" s="2" t="s">
        <v>392</v>
      </c>
      <c r="B4292" s="3">
        <v>44743</v>
      </c>
      <c r="C4292" s="2">
        <v>20</v>
      </c>
      <c r="D4292" s="2">
        <v>32397</v>
      </c>
      <c r="E4292" s="17">
        <v>71742.47</v>
      </c>
      <c r="F4292" s="11">
        <v>6.52</v>
      </c>
      <c r="G4292" s="9">
        <v>5045</v>
      </c>
      <c r="H4292" s="10">
        <v>0.35</v>
      </c>
      <c r="I4292" s="11">
        <v>7.3</v>
      </c>
    </row>
    <row r="4293" spans="1:9" x14ac:dyDescent="0.35">
      <c r="A4293" s="2" t="s">
        <v>392</v>
      </c>
      <c r="B4293" s="3">
        <v>44774</v>
      </c>
      <c r="C4293" s="2">
        <v>17</v>
      </c>
      <c r="D4293" s="2">
        <v>28614</v>
      </c>
      <c r="E4293" s="17">
        <v>63499.08</v>
      </c>
      <c r="F4293" s="11">
        <v>6.31</v>
      </c>
      <c r="G4293" s="9">
        <v>4566.3999999999996</v>
      </c>
      <c r="H4293" s="10">
        <v>0.47099999999999997</v>
      </c>
      <c r="I4293" s="11">
        <v>6.5</v>
      </c>
    </row>
    <row r="4294" spans="1:9" x14ac:dyDescent="0.35">
      <c r="A4294" s="2" t="s">
        <v>392</v>
      </c>
      <c r="B4294" s="3">
        <v>44805</v>
      </c>
      <c r="C4294" s="2">
        <v>15</v>
      </c>
      <c r="D4294" s="2">
        <v>22698</v>
      </c>
      <c r="E4294" s="17">
        <v>46281.16</v>
      </c>
      <c r="F4294" s="11">
        <v>6.42</v>
      </c>
      <c r="G4294" s="9">
        <v>3628.2</v>
      </c>
      <c r="H4294" s="10">
        <v>0.46700000000000003</v>
      </c>
      <c r="I4294" s="11">
        <v>7.7</v>
      </c>
    </row>
    <row r="4295" spans="1:9" x14ac:dyDescent="0.35">
      <c r="A4295" s="2" t="s">
        <v>392</v>
      </c>
      <c r="B4295" s="3">
        <v>44835</v>
      </c>
      <c r="C4295" s="2">
        <v>28</v>
      </c>
      <c r="D4295" s="2">
        <v>45154</v>
      </c>
      <c r="E4295" s="17">
        <v>101102.67</v>
      </c>
      <c r="F4295" s="11">
        <v>6.52</v>
      </c>
      <c r="G4295" s="9">
        <v>6969.3</v>
      </c>
      <c r="H4295" s="10">
        <v>0.5</v>
      </c>
      <c r="I4295" s="11">
        <v>7.3</v>
      </c>
    </row>
    <row r="4296" spans="1:9" x14ac:dyDescent="0.35">
      <c r="A4296" s="2" t="s">
        <v>392</v>
      </c>
      <c r="B4296" s="3">
        <v>44866</v>
      </c>
      <c r="C4296" s="2">
        <v>15</v>
      </c>
      <c r="D4296" s="2">
        <v>19034</v>
      </c>
      <c r="E4296" s="17">
        <v>39878.449999999997</v>
      </c>
      <c r="F4296" s="11">
        <v>6.43</v>
      </c>
      <c r="G4296" s="9">
        <v>3079.5</v>
      </c>
      <c r="H4296" s="10">
        <v>0.4</v>
      </c>
      <c r="I4296" s="11">
        <v>6.9</v>
      </c>
    </row>
    <row r="4297" spans="1:9" x14ac:dyDescent="0.35">
      <c r="A4297" s="2" t="s">
        <v>392</v>
      </c>
      <c r="B4297" s="3">
        <v>44896</v>
      </c>
      <c r="C4297" s="2">
        <v>21</v>
      </c>
      <c r="D4297" s="2">
        <v>29097</v>
      </c>
      <c r="E4297" s="17">
        <v>62371.32</v>
      </c>
      <c r="F4297" s="11">
        <v>6.45</v>
      </c>
      <c r="G4297" s="9">
        <v>4599.2</v>
      </c>
      <c r="H4297" s="10">
        <v>0.28599999999999998</v>
      </c>
      <c r="I4297" s="11">
        <v>7.4</v>
      </c>
    </row>
    <row r="4298" spans="1:9" x14ac:dyDescent="0.35">
      <c r="A4298" s="2" t="s">
        <v>392</v>
      </c>
      <c r="B4298" s="3">
        <v>44927</v>
      </c>
      <c r="C4298" s="2">
        <v>14</v>
      </c>
      <c r="D4298" s="2">
        <v>19577</v>
      </c>
      <c r="E4298" s="17">
        <v>44068.28</v>
      </c>
      <c r="F4298" s="11">
        <v>6.2</v>
      </c>
      <c r="G4298" s="9">
        <v>3195.7</v>
      </c>
      <c r="H4298" s="10">
        <v>0.42899999999999999</v>
      </c>
      <c r="I4298" s="11">
        <v>7</v>
      </c>
    </row>
    <row r="4299" spans="1:9" x14ac:dyDescent="0.35">
      <c r="A4299" s="2" t="s">
        <v>392</v>
      </c>
      <c r="B4299" s="3">
        <v>44958</v>
      </c>
      <c r="C4299" s="2">
        <v>21</v>
      </c>
      <c r="D4299" s="2">
        <v>28526</v>
      </c>
      <c r="E4299" s="17">
        <v>64096.15</v>
      </c>
      <c r="F4299" s="11">
        <v>6.64</v>
      </c>
      <c r="G4299" s="9">
        <v>4284.3</v>
      </c>
      <c r="H4299" s="10">
        <v>0.28599999999999998</v>
      </c>
      <c r="I4299" s="11">
        <v>8.3000000000000007</v>
      </c>
    </row>
    <row r="4300" spans="1:9" x14ac:dyDescent="0.35">
      <c r="A4300" s="2" t="s">
        <v>392</v>
      </c>
      <c r="B4300" s="3">
        <v>44986</v>
      </c>
      <c r="C4300" s="2">
        <v>19</v>
      </c>
      <c r="D4300" s="2">
        <v>26885</v>
      </c>
      <c r="E4300" s="17">
        <v>60419.58</v>
      </c>
      <c r="F4300" s="11">
        <v>6.54</v>
      </c>
      <c r="G4300" s="9">
        <v>4196.3999999999996</v>
      </c>
      <c r="H4300" s="10">
        <v>0.36799999999999999</v>
      </c>
      <c r="I4300" s="11">
        <v>6.7</v>
      </c>
    </row>
    <row r="4301" spans="1:9" x14ac:dyDescent="0.35">
      <c r="A4301" s="2" t="s">
        <v>392</v>
      </c>
      <c r="B4301" s="3">
        <v>45017</v>
      </c>
      <c r="C4301" s="2">
        <v>20</v>
      </c>
      <c r="D4301" s="2">
        <v>26784</v>
      </c>
      <c r="E4301" s="17">
        <v>56615.93</v>
      </c>
      <c r="F4301" s="11">
        <v>6.44</v>
      </c>
      <c r="G4301" s="9">
        <v>4132.5</v>
      </c>
      <c r="H4301" s="10">
        <v>0.3</v>
      </c>
      <c r="I4301" s="11">
        <v>7.1</v>
      </c>
    </row>
    <row r="4302" spans="1:9" x14ac:dyDescent="0.35">
      <c r="A4302" s="2" t="s">
        <v>392</v>
      </c>
      <c r="B4302" s="3">
        <v>45047</v>
      </c>
      <c r="C4302" s="2">
        <v>19</v>
      </c>
      <c r="D4302" s="2">
        <v>23567</v>
      </c>
      <c r="E4302" s="17">
        <v>50914.82</v>
      </c>
      <c r="F4302" s="11">
        <v>6.29</v>
      </c>
      <c r="G4302" s="9">
        <v>3756.6</v>
      </c>
      <c r="H4302" s="10">
        <v>0.316</v>
      </c>
      <c r="I4302" s="11">
        <v>7.2</v>
      </c>
    </row>
    <row r="4303" spans="1:9" x14ac:dyDescent="0.35">
      <c r="A4303" s="2" t="s">
        <v>392</v>
      </c>
      <c r="B4303" s="3">
        <v>45078</v>
      </c>
      <c r="C4303" s="2">
        <v>16</v>
      </c>
      <c r="D4303" s="2">
        <v>23405</v>
      </c>
      <c r="E4303" s="17">
        <v>53758.07</v>
      </c>
      <c r="F4303" s="11">
        <v>6.43</v>
      </c>
      <c r="G4303" s="9">
        <v>3701.1</v>
      </c>
      <c r="H4303" s="10">
        <v>0.438</v>
      </c>
      <c r="I4303" s="11">
        <v>7.6</v>
      </c>
    </row>
    <row r="4304" spans="1:9" x14ac:dyDescent="0.35">
      <c r="A4304" s="2" t="s">
        <v>392</v>
      </c>
      <c r="B4304" s="3">
        <v>45108</v>
      </c>
      <c r="C4304" s="2">
        <v>23</v>
      </c>
      <c r="D4304" s="2">
        <v>34089</v>
      </c>
      <c r="E4304" s="17">
        <v>80106.91</v>
      </c>
      <c r="F4304" s="11">
        <v>6.69</v>
      </c>
      <c r="G4304" s="9">
        <v>5107.8999999999996</v>
      </c>
      <c r="H4304" s="10">
        <v>0.47799999999999998</v>
      </c>
      <c r="I4304" s="11">
        <v>6.9</v>
      </c>
    </row>
    <row r="4305" spans="1:9" x14ac:dyDescent="0.35">
      <c r="A4305" s="2" t="s">
        <v>392</v>
      </c>
      <c r="B4305" s="3">
        <v>45139</v>
      </c>
      <c r="C4305" s="2">
        <v>21</v>
      </c>
      <c r="D4305" s="2">
        <v>24332</v>
      </c>
      <c r="E4305" s="17">
        <v>52559.81</v>
      </c>
      <c r="F4305" s="11">
        <v>6.7</v>
      </c>
      <c r="G4305" s="9">
        <v>3646.3</v>
      </c>
      <c r="H4305" s="10">
        <v>0.33300000000000002</v>
      </c>
      <c r="I4305" s="11">
        <v>6.5</v>
      </c>
    </row>
    <row r="4306" spans="1:9" x14ac:dyDescent="0.35">
      <c r="A4306" s="2" t="s">
        <v>392</v>
      </c>
      <c r="B4306" s="3">
        <v>45170</v>
      </c>
      <c r="C4306" s="2">
        <v>20</v>
      </c>
      <c r="D4306" s="2">
        <v>25169</v>
      </c>
      <c r="E4306" s="17">
        <v>55529.04</v>
      </c>
      <c r="F4306" s="11">
        <v>6.62</v>
      </c>
      <c r="G4306" s="9">
        <v>3794.8</v>
      </c>
      <c r="H4306" s="10">
        <v>0.45</v>
      </c>
      <c r="I4306" s="11">
        <v>6</v>
      </c>
    </row>
    <row r="4307" spans="1:9" x14ac:dyDescent="0.35">
      <c r="A4307" s="2" t="s">
        <v>392</v>
      </c>
      <c r="B4307" s="3">
        <v>45200</v>
      </c>
      <c r="C4307" s="2">
        <v>14</v>
      </c>
      <c r="D4307" s="2">
        <v>23513</v>
      </c>
      <c r="E4307" s="17">
        <v>49257.42</v>
      </c>
      <c r="F4307" s="11">
        <v>6.3</v>
      </c>
      <c r="G4307" s="9">
        <v>3650.6</v>
      </c>
      <c r="H4307" s="10">
        <v>0.57099999999999995</v>
      </c>
      <c r="I4307" s="11">
        <v>6.8</v>
      </c>
    </row>
    <row r="4308" spans="1:9" x14ac:dyDescent="0.35">
      <c r="A4308" s="2" t="s">
        <v>392</v>
      </c>
      <c r="B4308" s="3">
        <v>45231</v>
      </c>
      <c r="C4308" s="2">
        <v>21</v>
      </c>
      <c r="D4308" s="2">
        <v>35871</v>
      </c>
      <c r="E4308" s="17">
        <v>76429.52</v>
      </c>
      <c r="F4308" s="11">
        <v>6.39</v>
      </c>
      <c r="G4308" s="9">
        <v>5586.2</v>
      </c>
      <c r="H4308" s="10">
        <v>0.42899999999999999</v>
      </c>
      <c r="I4308" s="11">
        <v>7.1</v>
      </c>
    </row>
    <row r="4309" spans="1:9" x14ac:dyDescent="0.35">
      <c r="A4309" s="2" t="s">
        <v>392</v>
      </c>
      <c r="B4309" s="3">
        <v>45261</v>
      </c>
      <c r="C4309" s="2">
        <v>16</v>
      </c>
      <c r="D4309" s="2">
        <v>18835</v>
      </c>
      <c r="E4309" s="17">
        <v>39988.6</v>
      </c>
      <c r="F4309" s="11">
        <v>6.72</v>
      </c>
      <c r="G4309" s="9">
        <v>2809.7</v>
      </c>
      <c r="H4309" s="10">
        <v>0.375</v>
      </c>
      <c r="I4309" s="11">
        <v>7.3</v>
      </c>
    </row>
    <row r="4310" spans="1:9" x14ac:dyDescent="0.35">
      <c r="A4310" s="2" t="s">
        <v>392</v>
      </c>
      <c r="B4310" s="3">
        <v>45292</v>
      </c>
      <c r="C4310" s="2">
        <v>17</v>
      </c>
      <c r="D4310" s="2">
        <v>21284</v>
      </c>
      <c r="E4310" s="17">
        <v>46220.97</v>
      </c>
      <c r="F4310" s="11">
        <v>6.56</v>
      </c>
      <c r="G4310" s="9">
        <v>3248</v>
      </c>
      <c r="H4310" s="10">
        <v>0.47099999999999997</v>
      </c>
      <c r="I4310" s="11">
        <v>6.3</v>
      </c>
    </row>
    <row r="4311" spans="1:9" x14ac:dyDescent="0.35">
      <c r="A4311" s="2" t="s">
        <v>392</v>
      </c>
      <c r="B4311" s="3">
        <v>45323</v>
      </c>
      <c r="C4311" s="2">
        <v>18</v>
      </c>
      <c r="D4311" s="2">
        <v>26293</v>
      </c>
      <c r="E4311" s="17">
        <v>52748.04</v>
      </c>
      <c r="F4311" s="11">
        <v>6.5</v>
      </c>
      <c r="G4311" s="9">
        <v>4081</v>
      </c>
      <c r="H4311" s="10">
        <v>0.222</v>
      </c>
      <c r="I4311" s="11">
        <v>8.3000000000000007</v>
      </c>
    </row>
    <row r="4312" spans="1:9" x14ac:dyDescent="0.35">
      <c r="A4312" s="2" t="s">
        <v>392</v>
      </c>
      <c r="B4312" s="3">
        <v>45352</v>
      </c>
      <c r="C4312" s="2">
        <v>24</v>
      </c>
      <c r="D4312" s="2">
        <v>33531</v>
      </c>
      <c r="E4312" s="17">
        <v>70080.38</v>
      </c>
      <c r="F4312" s="11">
        <v>6.6</v>
      </c>
      <c r="G4312" s="9">
        <v>5111</v>
      </c>
      <c r="H4312" s="10">
        <v>0.41699999999999998</v>
      </c>
      <c r="I4312" s="11">
        <v>7.4</v>
      </c>
    </row>
    <row r="4313" spans="1:9" x14ac:dyDescent="0.35">
      <c r="A4313" s="2" t="s">
        <v>392</v>
      </c>
      <c r="B4313" s="3">
        <v>45383</v>
      </c>
      <c r="C4313" s="2">
        <v>12</v>
      </c>
      <c r="D4313" s="2">
        <v>17315</v>
      </c>
      <c r="E4313" s="17">
        <v>37467.39</v>
      </c>
      <c r="F4313" s="11">
        <v>6.36</v>
      </c>
      <c r="G4313" s="9">
        <v>2740.2</v>
      </c>
      <c r="H4313" s="10">
        <v>0.66700000000000004</v>
      </c>
      <c r="I4313" s="11">
        <v>9</v>
      </c>
    </row>
    <row r="4314" spans="1:9" x14ac:dyDescent="0.35">
      <c r="A4314" s="2" t="s">
        <v>392</v>
      </c>
      <c r="B4314" s="3">
        <v>45413</v>
      </c>
      <c r="C4314" s="2">
        <v>13</v>
      </c>
      <c r="D4314" s="2">
        <v>19409</v>
      </c>
      <c r="E4314" s="17">
        <v>43431.040000000001</v>
      </c>
      <c r="F4314" s="11">
        <v>6.52</v>
      </c>
      <c r="G4314" s="9">
        <v>3015.7</v>
      </c>
      <c r="H4314" s="10">
        <v>0.308</v>
      </c>
      <c r="I4314" s="11">
        <v>7.3</v>
      </c>
    </row>
    <row r="4315" spans="1:9" x14ac:dyDescent="0.35">
      <c r="A4315" s="2" t="s">
        <v>392</v>
      </c>
      <c r="B4315" s="3">
        <v>45444</v>
      </c>
      <c r="C4315" s="2">
        <v>15</v>
      </c>
      <c r="D4315" s="2">
        <v>24734</v>
      </c>
      <c r="E4315" s="17">
        <v>52174.3</v>
      </c>
      <c r="F4315" s="11">
        <v>6.56</v>
      </c>
      <c r="G4315" s="9">
        <v>3758.6</v>
      </c>
      <c r="H4315" s="10">
        <v>0.53300000000000003</v>
      </c>
      <c r="I4315" s="11">
        <v>6</v>
      </c>
    </row>
    <row r="4316" spans="1:9" x14ac:dyDescent="0.35">
      <c r="A4316" s="2" t="s">
        <v>392</v>
      </c>
      <c r="B4316" s="3">
        <v>45474</v>
      </c>
      <c r="C4316" s="2">
        <v>18</v>
      </c>
      <c r="D4316" s="2">
        <v>28584</v>
      </c>
      <c r="E4316" s="17">
        <v>64719.43</v>
      </c>
      <c r="F4316" s="11">
        <v>6.24</v>
      </c>
      <c r="G4316" s="9">
        <v>4605.3</v>
      </c>
      <c r="H4316" s="10">
        <v>0.33300000000000002</v>
      </c>
      <c r="I4316" s="11">
        <v>7.7</v>
      </c>
    </row>
    <row r="4317" spans="1:9" x14ac:dyDescent="0.35">
      <c r="A4317" s="2" t="s">
        <v>392</v>
      </c>
      <c r="B4317" s="3">
        <v>45505</v>
      </c>
      <c r="C4317" s="2">
        <v>20</v>
      </c>
      <c r="D4317" s="2">
        <v>23566</v>
      </c>
      <c r="E4317" s="17">
        <v>49103.89</v>
      </c>
      <c r="F4317" s="11">
        <v>6.44</v>
      </c>
      <c r="G4317" s="9">
        <v>3709.1</v>
      </c>
      <c r="H4317" s="10">
        <v>0.45</v>
      </c>
      <c r="I4317" s="11">
        <v>7</v>
      </c>
    </row>
    <row r="4318" spans="1:9" x14ac:dyDescent="0.35">
      <c r="A4318" s="2" t="s">
        <v>392</v>
      </c>
      <c r="B4318" s="3">
        <v>45536</v>
      </c>
      <c r="C4318" s="2">
        <v>15</v>
      </c>
      <c r="D4318" s="2">
        <v>21246</v>
      </c>
      <c r="E4318" s="17">
        <v>48362.99</v>
      </c>
      <c r="F4318" s="11">
        <v>6.43</v>
      </c>
      <c r="G4318" s="9">
        <v>3286.1</v>
      </c>
      <c r="H4318" s="10">
        <v>0.4</v>
      </c>
      <c r="I4318" s="11">
        <v>7.3</v>
      </c>
    </row>
    <row r="4319" spans="1:9" x14ac:dyDescent="0.35">
      <c r="A4319" s="2" t="s">
        <v>392</v>
      </c>
      <c r="B4319" s="3">
        <v>45566</v>
      </c>
      <c r="C4319" s="2">
        <v>22</v>
      </c>
      <c r="D4319" s="2">
        <v>31995</v>
      </c>
      <c r="E4319" s="17">
        <v>66400.679999999993</v>
      </c>
      <c r="F4319" s="11">
        <v>6.8</v>
      </c>
      <c r="G4319" s="9">
        <v>4787.6000000000004</v>
      </c>
      <c r="H4319" s="10">
        <v>0.45500000000000002</v>
      </c>
      <c r="I4319" s="11">
        <v>7.6</v>
      </c>
    </row>
    <row r="4320" spans="1:9" x14ac:dyDescent="0.35">
      <c r="A4320" s="2" t="s">
        <v>392</v>
      </c>
      <c r="B4320" s="3">
        <v>45597</v>
      </c>
      <c r="C4320" s="2">
        <v>25</v>
      </c>
      <c r="D4320" s="2">
        <v>38239</v>
      </c>
      <c r="E4320" s="17">
        <v>85561.919999999998</v>
      </c>
      <c r="F4320" s="11">
        <v>6.54</v>
      </c>
      <c r="G4320" s="9">
        <v>5779.9</v>
      </c>
      <c r="H4320" s="10">
        <v>0.48</v>
      </c>
      <c r="I4320" s="11">
        <v>5.8</v>
      </c>
    </row>
    <row r="4321" spans="1:9" x14ac:dyDescent="0.35">
      <c r="A4321" s="2" t="s">
        <v>392</v>
      </c>
      <c r="B4321" s="3">
        <v>45627</v>
      </c>
      <c r="C4321" s="2">
        <v>20</v>
      </c>
      <c r="D4321" s="2">
        <v>30650</v>
      </c>
      <c r="E4321" s="17">
        <v>62594.22</v>
      </c>
      <c r="F4321" s="11">
        <v>6.17</v>
      </c>
      <c r="G4321" s="9">
        <v>4971.5</v>
      </c>
      <c r="H4321" s="10">
        <v>0.45</v>
      </c>
      <c r="I4321" s="11">
        <v>7.3</v>
      </c>
    </row>
    <row r="4322" spans="1:9" x14ac:dyDescent="0.35">
      <c r="A4322" s="2" t="s">
        <v>394</v>
      </c>
      <c r="B4322" s="3">
        <v>44562</v>
      </c>
      <c r="C4322" s="2">
        <v>30</v>
      </c>
      <c r="D4322" s="2">
        <v>40688</v>
      </c>
      <c r="E4322" s="17">
        <v>86745.29</v>
      </c>
      <c r="F4322" s="11">
        <v>6.19</v>
      </c>
      <c r="G4322" s="9">
        <v>6604.5</v>
      </c>
      <c r="H4322" s="10">
        <v>0.53300000000000003</v>
      </c>
      <c r="I4322" s="11">
        <v>7.2</v>
      </c>
    </row>
    <row r="4323" spans="1:9" x14ac:dyDescent="0.35">
      <c r="A4323" s="2" t="s">
        <v>394</v>
      </c>
      <c r="B4323" s="3">
        <v>44593</v>
      </c>
      <c r="C4323" s="2">
        <v>14</v>
      </c>
      <c r="D4323" s="2">
        <v>24080</v>
      </c>
      <c r="E4323" s="17">
        <v>54055.53</v>
      </c>
      <c r="F4323" s="11">
        <v>6.65</v>
      </c>
      <c r="G4323" s="9">
        <v>3663.4</v>
      </c>
      <c r="H4323" s="10">
        <v>0.35699999999999998</v>
      </c>
      <c r="I4323" s="11">
        <v>6.6</v>
      </c>
    </row>
    <row r="4324" spans="1:9" x14ac:dyDescent="0.35">
      <c r="A4324" s="2" t="s">
        <v>394</v>
      </c>
      <c r="B4324" s="3">
        <v>44621</v>
      </c>
      <c r="C4324" s="2">
        <v>20</v>
      </c>
      <c r="D4324" s="2">
        <v>29957</v>
      </c>
      <c r="E4324" s="17">
        <v>59624.81</v>
      </c>
      <c r="F4324" s="11">
        <v>6.41</v>
      </c>
      <c r="G4324" s="9">
        <v>4753.8999999999996</v>
      </c>
      <c r="H4324" s="10">
        <v>0.55000000000000004</v>
      </c>
      <c r="I4324" s="11">
        <v>6.5</v>
      </c>
    </row>
    <row r="4325" spans="1:9" x14ac:dyDescent="0.35">
      <c r="A4325" s="2" t="s">
        <v>394</v>
      </c>
      <c r="B4325" s="3">
        <v>44652</v>
      </c>
      <c r="C4325" s="2">
        <v>12</v>
      </c>
      <c r="D4325" s="2">
        <v>19571</v>
      </c>
      <c r="E4325" s="17">
        <v>40210.230000000003</v>
      </c>
      <c r="F4325" s="11">
        <v>6.48</v>
      </c>
      <c r="G4325" s="9">
        <v>3002.9</v>
      </c>
      <c r="H4325" s="10">
        <v>0.41699999999999998</v>
      </c>
      <c r="I4325" s="11">
        <v>7.7</v>
      </c>
    </row>
    <row r="4326" spans="1:9" x14ac:dyDescent="0.35">
      <c r="A4326" s="2" t="s">
        <v>394</v>
      </c>
      <c r="B4326" s="3">
        <v>44682</v>
      </c>
      <c r="C4326" s="2">
        <v>14</v>
      </c>
      <c r="D4326" s="2">
        <v>18590</v>
      </c>
      <c r="E4326" s="17">
        <v>39254.81</v>
      </c>
      <c r="F4326" s="11">
        <v>6.6</v>
      </c>
      <c r="G4326" s="9">
        <v>2867.3</v>
      </c>
      <c r="H4326" s="10">
        <v>0.35699999999999998</v>
      </c>
      <c r="I4326" s="11">
        <v>6.5</v>
      </c>
    </row>
    <row r="4327" spans="1:9" x14ac:dyDescent="0.35">
      <c r="A4327" s="2" t="s">
        <v>394</v>
      </c>
      <c r="B4327" s="3">
        <v>44713</v>
      </c>
      <c r="C4327" s="2">
        <v>17</v>
      </c>
      <c r="D4327" s="2">
        <v>21135</v>
      </c>
      <c r="E4327" s="17">
        <v>46542.23</v>
      </c>
      <c r="F4327" s="11">
        <v>6.6</v>
      </c>
      <c r="G4327" s="9">
        <v>3164.1</v>
      </c>
      <c r="H4327" s="10">
        <v>0.29399999999999998</v>
      </c>
      <c r="I4327" s="11">
        <v>7.1</v>
      </c>
    </row>
    <row r="4328" spans="1:9" x14ac:dyDescent="0.35">
      <c r="A4328" s="2" t="s">
        <v>394</v>
      </c>
      <c r="B4328" s="3">
        <v>44743</v>
      </c>
      <c r="C4328" s="2">
        <v>20</v>
      </c>
      <c r="D4328" s="2">
        <v>38960</v>
      </c>
      <c r="E4328" s="17">
        <v>87231.9</v>
      </c>
      <c r="F4328" s="11">
        <v>6.62</v>
      </c>
      <c r="G4328" s="9">
        <v>5954.5</v>
      </c>
      <c r="H4328" s="10">
        <v>0.5</v>
      </c>
      <c r="I4328" s="11">
        <v>6.4</v>
      </c>
    </row>
    <row r="4329" spans="1:9" x14ac:dyDescent="0.35">
      <c r="A4329" s="2" t="s">
        <v>394</v>
      </c>
      <c r="B4329" s="3">
        <v>44774</v>
      </c>
      <c r="C4329" s="2">
        <v>24</v>
      </c>
      <c r="D4329" s="2">
        <v>38562</v>
      </c>
      <c r="E4329" s="17">
        <v>87461.17</v>
      </c>
      <c r="F4329" s="11">
        <v>6.54</v>
      </c>
      <c r="G4329" s="9">
        <v>5866.5</v>
      </c>
      <c r="H4329" s="10">
        <v>0.45800000000000002</v>
      </c>
      <c r="I4329" s="11">
        <v>8.1</v>
      </c>
    </row>
    <row r="4330" spans="1:9" x14ac:dyDescent="0.35">
      <c r="A4330" s="2" t="s">
        <v>394</v>
      </c>
      <c r="B4330" s="3">
        <v>44805</v>
      </c>
      <c r="C4330" s="2">
        <v>19</v>
      </c>
      <c r="D4330" s="2">
        <v>27418</v>
      </c>
      <c r="E4330" s="17">
        <v>61118.17</v>
      </c>
      <c r="F4330" s="11">
        <v>6.57</v>
      </c>
      <c r="G4330" s="9">
        <v>4235.7</v>
      </c>
      <c r="H4330" s="10">
        <v>0.52600000000000002</v>
      </c>
      <c r="I4330" s="11">
        <v>6.8</v>
      </c>
    </row>
    <row r="4331" spans="1:9" x14ac:dyDescent="0.35">
      <c r="A4331" s="2" t="s">
        <v>394</v>
      </c>
      <c r="B4331" s="3">
        <v>44835</v>
      </c>
      <c r="C4331" s="2">
        <v>23</v>
      </c>
      <c r="D4331" s="2">
        <v>34806</v>
      </c>
      <c r="E4331" s="17">
        <v>70396.160000000003</v>
      </c>
      <c r="F4331" s="11">
        <v>6.6</v>
      </c>
      <c r="G4331" s="9">
        <v>5396.2</v>
      </c>
      <c r="H4331" s="10">
        <v>0.56499999999999995</v>
      </c>
      <c r="I4331" s="11">
        <v>7.3</v>
      </c>
    </row>
    <row r="4332" spans="1:9" x14ac:dyDescent="0.35">
      <c r="A4332" s="2" t="s">
        <v>394</v>
      </c>
      <c r="B4332" s="3">
        <v>44866</v>
      </c>
      <c r="C4332" s="2">
        <v>13</v>
      </c>
      <c r="D4332" s="2">
        <v>18236</v>
      </c>
      <c r="E4332" s="17">
        <v>41567.21</v>
      </c>
      <c r="F4332" s="11">
        <v>6.68</v>
      </c>
      <c r="G4332" s="9">
        <v>2754.2</v>
      </c>
      <c r="H4332" s="10">
        <v>0.53800000000000003</v>
      </c>
      <c r="I4332" s="11">
        <v>8.6999999999999993</v>
      </c>
    </row>
    <row r="4333" spans="1:9" x14ac:dyDescent="0.35">
      <c r="A4333" s="2" t="s">
        <v>394</v>
      </c>
      <c r="B4333" s="3">
        <v>44896</v>
      </c>
      <c r="C4333" s="2">
        <v>16</v>
      </c>
      <c r="D4333" s="2">
        <v>27424</v>
      </c>
      <c r="E4333" s="17">
        <v>56434.29</v>
      </c>
      <c r="F4333" s="11">
        <v>6.64</v>
      </c>
      <c r="G4333" s="9">
        <v>4226.3999999999996</v>
      </c>
      <c r="H4333" s="10">
        <v>0.5</v>
      </c>
      <c r="I4333" s="11">
        <v>7.7</v>
      </c>
    </row>
    <row r="4334" spans="1:9" x14ac:dyDescent="0.35">
      <c r="A4334" s="2" t="s">
        <v>394</v>
      </c>
      <c r="B4334" s="3">
        <v>44927</v>
      </c>
      <c r="C4334" s="2">
        <v>14</v>
      </c>
      <c r="D4334" s="2">
        <v>22046</v>
      </c>
      <c r="E4334" s="17">
        <v>47306.51</v>
      </c>
      <c r="F4334" s="11">
        <v>6.3</v>
      </c>
      <c r="G4334" s="9">
        <v>3457.7</v>
      </c>
      <c r="H4334" s="10">
        <v>0.35699999999999998</v>
      </c>
      <c r="I4334" s="11">
        <v>8.1999999999999993</v>
      </c>
    </row>
    <row r="4335" spans="1:9" x14ac:dyDescent="0.35">
      <c r="A4335" s="2" t="s">
        <v>394</v>
      </c>
      <c r="B4335" s="3">
        <v>44958</v>
      </c>
      <c r="C4335" s="2">
        <v>20</v>
      </c>
      <c r="D4335" s="2">
        <v>31750</v>
      </c>
      <c r="E4335" s="17">
        <v>70169.61</v>
      </c>
      <c r="F4335" s="11">
        <v>6.73</v>
      </c>
      <c r="G4335" s="9">
        <v>4726.7</v>
      </c>
      <c r="H4335" s="10">
        <v>0.6</v>
      </c>
      <c r="I4335" s="11">
        <v>7.4</v>
      </c>
    </row>
    <row r="4336" spans="1:9" x14ac:dyDescent="0.35">
      <c r="A4336" s="2" t="s">
        <v>394</v>
      </c>
      <c r="B4336" s="3">
        <v>44986</v>
      </c>
      <c r="C4336" s="2">
        <v>31</v>
      </c>
      <c r="D4336" s="2">
        <v>45374</v>
      </c>
      <c r="E4336" s="17">
        <v>103418.42</v>
      </c>
      <c r="F4336" s="11">
        <v>6.57</v>
      </c>
      <c r="G4336" s="9">
        <v>7037.1</v>
      </c>
      <c r="H4336" s="10">
        <v>0.51600000000000001</v>
      </c>
      <c r="I4336" s="11">
        <v>7.1</v>
      </c>
    </row>
    <row r="4337" spans="1:9" x14ac:dyDescent="0.35">
      <c r="A4337" s="2" t="s">
        <v>394</v>
      </c>
      <c r="B4337" s="3">
        <v>45017</v>
      </c>
      <c r="C4337" s="2">
        <v>29</v>
      </c>
      <c r="D4337" s="2">
        <v>34984</v>
      </c>
      <c r="E4337" s="17">
        <v>75156.41</v>
      </c>
      <c r="F4337" s="11">
        <v>6.36</v>
      </c>
      <c r="G4337" s="9">
        <v>5484.6</v>
      </c>
      <c r="H4337" s="10">
        <v>0.44800000000000001</v>
      </c>
      <c r="I4337" s="11">
        <v>7.1</v>
      </c>
    </row>
    <row r="4338" spans="1:9" x14ac:dyDescent="0.35">
      <c r="A4338" s="2" t="s">
        <v>394</v>
      </c>
      <c r="B4338" s="3">
        <v>45047</v>
      </c>
      <c r="C4338" s="2">
        <v>22</v>
      </c>
      <c r="D4338" s="2">
        <v>38735</v>
      </c>
      <c r="E4338" s="17">
        <v>83107.009999999995</v>
      </c>
      <c r="F4338" s="11">
        <v>6.74</v>
      </c>
      <c r="G4338" s="9">
        <v>5822.5</v>
      </c>
      <c r="H4338" s="10">
        <v>0.45500000000000002</v>
      </c>
      <c r="I4338" s="11">
        <v>6.5</v>
      </c>
    </row>
    <row r="4339" spans="1:9" x14ac:dyDescent="0.35">
      <c r="A4339" s="2" t="s">
        <v>394</v>
      </c>
      <c r="B4339" s="3">
        <v>45078</v>
      </c>
      <c r="C4339" s="2">
        <v>19</v>
      </c>
      <c r="D4339" s="2">
        <v>24422</v>
      </c>
      <c r="E4339" s="17">
        <v>47845.56</v>
      </c>
      <c r="F4339" s="11">
        <v>6.35</v>
      </c>
      <c r="G4339" s="9">
        <v>3882.8</v>
      </c>
      <c r="H4339" s="10">
        <v>0.36799999999999999</v>
      </c>
      <c r="I4339" s="11">
        <v>6.1</v>
      </c>
    </row>
    <row r="4340" spans="1:9" x14ac:dyDescent="0.35">
      <c r="A4340" s="2" t="s">
        <v>394</v>
      </c>
      <c r="B4340" s="3">
        <v>45108</v>
      </c>
      <c r="C4340" s="2">
        <v>19</v>
      </c>
      <c r="D4340" s="2">
        <v>27734</v>
      </c>
      <c r="E4340" s="17">
        <v>61532.45</v>
      </c>
      <c r="F4340" s="11">
        <v>6.57</v>
      </c>
      <c r="G4340" s="9">
        <v>4258.1000000000004</v>
      </c>
      <c r="H4340" s="10">
        <v>0.63200000000000001</v>
      </c>
      <c r="I4340" s="11">
        <v>6.5</v>
      </c>
    </row>
    <row r="4341" spans="1:9" x14ac:dyDescent="0.35">
      <c r="A4341" s="2" t="s">
        <v>394</v>
      </c>
      <c r="B4341" s="3">
        <v>45139</v>
      </c>
      <c r="C4341" s="2">
        <v>19</v>
      </c>
      <c r="D4341" s="2">
        <v>28238</v>
      </c>
      <c r="E4341" s="17">
        <v>55865.77</v>
      </c>
      <c r="F4341" s="11">
        <v>6.26</v>
      </c>
      <c r="G4341" s="9">
        <v>4493.3</v>
      </c>
      <c r="H4341" s="10">
        <v>0.47399999999999998</v>
      </c>
      <c r="I4341" s="11">
        <v>6.3</v>
      </c>
    </row>
    <row r="4342" spans="1:9" x14ac:dyDescent="0.35">
      <c r="A4342" s="2" t="s">
        <v>394</v>
      </c>
      <c r="B4342" s="3">
        <v>45170</v>
      </c>
      <c r="C4342" s="2">
        <v>15</v>
      </c>
      <c r="D4342" s="2">
        <v>22293</v>
      </c>
      <c r="E4342" s="17">
        <v>48390.97</v>
      </c>
      <c r="F4342" s="11">
        <v>6.46</v>
      </c>
      <c r="G4342" s="9">
        <v>3458.5</v>
      </c>
      <c r="H4342" s="10">
        <v>0.26700000000000002</v>
      </c>
      <c r="I4342" s="11">
        <v>6</v>
      </c>
    </row>
    <row r="4343" spans="1:9" x14ac:dyDescent="0.35">
      <c r="A4343" s="2" t="s">
        <v>394</v>
      </c>
      <c r="B4343" s="3">
        <v>45200</v>
      </c>
      <c r="C4343" s="2">
        <v>23</v>
      </c>
      <c r="D4343" s="2">
        <v>41261</v>
      </c>
      <c r="E4343" s="17">
        <v>85818.36</v>
      </c>
      <c r="F4343" s="11">
        <v>6.47</v>
      </c>
      <c r="G4343" s="9">
        <v>6431.8</v>
      </c>
      <c r="H4343" s="10">
        <v>0.60899999999999999</v>
      </c>
      <c r="I4343" s="11">
        <v>6.2</v>
      </c>
    </row>
    <row r="4344" spans="1:9" x14ac:dyDescent="0.35">
      <c r="A4344" s="2" t="s">
        <v>394</v>
      </c>
      <c r="B4344" s="3">
        <v>45231</v>
      </c>
      <c r="C4344" s="2">
        <v>16</v>
      </c>
      <c r="D4344" s="2">
        <v>26282</v>
      </c>
      <c r="E4344" s="17">
        <v>54697.02</v>
      </c>
      <c r="F4344" s="11">
        <v>6.54</v>
      </c>
      <c r="G4344" s="9">
        <v>4085.5</v>
      </c>
      <c r="H4344" s="10">
        <v>0.188</v>
      </c>
      <c r="I4344" s="11">
        <v>7.2</v>
      </c>
    </row>
    <row r="4345" spans="1:9" x14ac:dyDescent="0.35">
      <c r="A4345" s="2" t="s">
        <v>394</v>
      </c>
      <c r="B4345" s="3">
        <v>45261</v>
      </c>
      <c r="C4345" s="2">
        <v>19</v>
      </c>
      <c r="D4345" s="2">
        <v>32675</v>
      </c>
      <c r="E4345" s="17">
        <v>70381.63</v>
      </c>
      <c r="F4345" s="11">
        <v>6.46</v>
      </c>
      <c r="G4345" s="9">
        <v>5131.1000000000004</v>
      </c>
      <c r="H4345" s="10">
        <v>0.42099999999999999</v>
      </c>
      <c r="I4345" s="11">
        <v>6.6</v>
      </c>
    </row>
    <row r="4346" spans="1:9" x14ac:dyDescent="0.35">
      <c r="A4346" s="2" t="s">
        <v>394</v>
      </c>
      <c r="B4346" s="3">
        <v>45292</v>
      </c>
      <c r="C4346" s="2">
        <v>21</v>
      </c>
      <c r="D4346" s="2">
        <v>25796</v>
      </c>
      <c r="E4346" s="17">
        <v>58153.31</v>
      </c>
      <c r="F4346" s="11">
        <v>6.5</v>
      </c>
      <c r="G4346" s="9">
        <v>4009.8</v>
      </c>
      <c r="H4346" s="10">
        <v>0.52400000000000002</v>
      </c>
      <c r="I4346" s="11">
        <v>6.5</v>
      </c>
    </row>
    <row r="4347" spans="1:9" x14ac:dyDescent="0.35">
      <c r="A4347" s="2" t="s">
        <v>394</v>
      </c>
      <c r="B4347" s="3">
        <v>45323</v>
      </c>
      <c r="C4347" s="2">
        <v>17</v>
      </c>
      <c r="D4347" s="2">
        <v>31012</v>
      </c>
      <c r="E4347" s="17">
        <v>70568.28</v>
      </c>
      <c r="F4347" s="11">
        <v>6.34</v>
      </c>
      <c r="G4347" s="9">
        <v>4941.1000000000004</v>
      </c>
      <c r="H4347" s="10">
        <v>0.41199999999999998</v>
      </c>
      <c r="I4347" s="11">
        <v>6.9</v>
      </c>
    </row>
    <row r="4348" spans="1:9" x14ac:dyDescent="0.35">
      <c r="A4348" s="2" t="s">
        <v>394</v>
      </c>
      <c r="B4348" s="3">
        <v>45352</v>
      </c>
      <c r="C4348" s="2">
        <v>30</v>
      </c>
      <c r="D4348" s="2">
        <v>44951</v>
      </c>
      <c r="E4348" s="17">
        <v>98614.25</v>
      </c>
      <c r="F4348" s="11">
        <v>6.48</v>
      </c>
      <c r="G4348" s="9">
        <v>7082.7</v>
      </c>
      <c r="H4348" s="10">
        <v>0.5</v>
      </c>
      <c r="I4348" s="11">
        <v>7</v>
      </c>
    </row>
    <row r="4349" spans="1:9" x14ac:dyDescent="0.35">
      <c r="A4349" s="2" t="s">
        <v>394</v>
      </c>
      <c r="B4349" s="3">
        <v>45383</v>
      </c>
      <c r="C4349" s="2">
        <v>21</v>
      </c>
      <c r="D4349" s="2">
        <v>29715</v>
      </c>
      <c r="E4349" s="17">
        <v>72386.89</v>
      </c>
      <c r="F4349" s="11">
        <v>6.62</v>
      </c>
      <c r="G4349" s="9">
        <v>4553</v>
      </c>
      <c r="H4349" s="10">
        <v>0.47599999999999998</v>
      </c>
      <c r="I4349" s="11">
        <v>6.1</v>
      </c>
    </row>
    <row r="4350" spans="1:9" x14ac:dyDescent="0.35">
      <c r="A4350" s="2" t="s">
        <v>394</v>
      </c>
      <c r="B4350" s="3">
        <v>45413</v>
      </c>
      <c r="C4350" s="2">
        <v>12</v>
      </c>
      <c r="D4350" s="2">
        <v>12408</v>
      </c>
      <c r="E4350" s="17">
        <v>25483.02</v>
      </c>
      <c r="F4350" s="11">
        <v>6.48</v>
      </c>
      <c r="G4350" s="9">
        <v>1921</v>
      </c>
      <c r="H4350" s="10">
        <v>0.41699999999999998</v>
      </c>
      <c r="I4350" s="11">
        <v>6.5</v>
      </c>
    </row>
    <row r="4351" spans="1:9" x14ac:dyDescent="0.35">
      <c r="A4351" s="2" t="s">
        <v>394</v>
      </c>
      <c r="B4351" s="3">
        <v>45444</v>
      </c>
      <c r="C4351" s="2">
        <v>21</v>
      </c>
      <c r="D4351" s="2">
        <v>23588</v>
      </c>
      <c r="E4351" s="17">
        <v>51155.27</v>
      </c>
      <c r="F4351" s="11">
        <v>6.61</v>
      </c>
      <c r="G4351" s="9">
        <v>3567.7</v>
      </c>
      <c r="H4351" s="10">
        <v>0.33300000000000002</v>
      </c>
      <c r="I4351" s="11">
        <v>6.9</v>
      </c>
    </row>
    <row r="4352" spans="1:9" x14ac:dyDescent="0.35">
      <c r="A4352" s="2" t="s">
        <v>394</v>
      </c>
      <c r="B4352" s="3">
        <v>45474</v>
      </c>
      <c r="C4352" s="2">
        <v>19</v>
      </c>
      <c r="D4352" s="2">
        <v>23965</v>
      </c>
      <c r="E4352" s="17">
        <v>53666.5</v>
      </c>
      <c r="F4352" s="11">
        <v>6.55</v>
      </c>
      <c r="G4352" s="9">
        <v>3671</v>
      </c>
      <c r="H4352" s="10">
        <v>0.52600000000000002</v>
      </c>
      <c r="I4352" s="11">
        <v>6.9</v>
      </c>
    </row>
    <row r="4353" spans="1:9" x14ac:dyDescent="0.35">
      <c r="A4353" s="2" t="s">
        <v>394</v>
      </c>
      <c r="B4353" s="3">
        <v>45505</v>
      </c>
      <c r="C4353" s="2">
        <v>27</v>
      </c>
      <c r="D4353" s="2">
        <v>31004</v>
      </c>
      <c r="E4353" s="17">
        <v>69265.820000000007</v>
      </c>
      <c r="F4353" s="11">
        <v>6.57</v>
      </c>
      <c r="G4353" s="9">
        <v>4769.3</v>
      </c>
      <c r="H4353" s="10">
        <v>0.37</v>
      </c>
      <c r="I4353" s="11">
        <v>7.7</v>
      </c>
    </row>
    <row r="4354" spans="1:9" x14ac:dyDescent="0.35">
      <c r="A4354" s="2" t="s">
        <v>394</v>
      </c>
      <c r="B4354" s="3">
        <v>45536</v>
      </c>
      <c r="C4354" s="2">
        <v>16</v>
      </c>
      <c r="D4354" s="2">
        <v>26713</v>
      </c>
      <c r="E4354" s="17">
        <v>56635.5</v>
      </c>
      <c r="F4354" s="11">
        <v>6.26</v>
      </c>
      <c r="G4354" s="9">
        <v>4371.8999999999996</v>
      </c>
      <c r="H4354" s="10">
        <v>0.312</v>
      </c>
      <c r="I4354" s="11">
        <v>6.7</v>
      </c>
    </row>
    <row r="4355" spans="1:9" x14ac:dyDescent="0.35">
      <c r="A4355" s="2" t="s">
        <v>394</v>
      </c>
      <c r="B4355" s="3">
        <v>45566</v>
      </c>
      <c r="C4355" s="2">
        <v>19</v>
      </c>
      <c r="D4355" s="2">
        <v>22059</v>
      </c>
      <c r="E4355" s="17">
        <v>46844.4</v>
      </c>
      <c r="F4355" s="11">
        <v>6.39</v>
      </c>
      <c r="G4355" s="9">
        <v>3456.3</v>
      </c>
      <c r="H4355" s="10">
        <v>0.52600000000000002</v>
      </c>
      <c r="I4355" s="11">
        <v>6.8</v>
      </c>
    </row>
    <row r="4356" spans="1:9" x14ac:dyDescent="0.35">
      <c r="A4356" s="2" t="s">
        <v>394</v>
      </c>
      <c r="B4356" s="3">
        <v>45597</v>
      </c>
      <c r="C4356" s="2">
        <v>17</v>
      </c>
      <c r="D4356" s="2">
        <v>24312</v>
      </c>
      <c r="E4356" s="17">
        <v>51619.02</v>
      </c>
      <c r="F4356" s="11">
        <v>6.14</v>
      </c>
      <c r="G4356" s="9">
        <v>3998.1</v>
      </c>
      <c r="H4356" s="10">
        <v>0.23499999999999999</v>
      </c>
      <c r="I4356" s="11">
        <v>7.6</v>
      </c>
    </row>
    <row r="4357" spans="1:9" x14ac:dyDescent="0.35">
      <c r="A4357" s="2" t="s">
        <v>394</v>
      </c>
      <c r="B4357" s="3">
        <v>45627</v>
      </c>
      <c r="C4357" s="2">
        <v>17</v>
      </c>
      <c r="D4357" s="2">
        <v>28413</v>
      </c>
      <c r="E4357" s="17">
        <v>67343.14</v>
      </c>
      <c r="F4357" s="11">
        <v>6.49</v>
      </c>
      <c r="G4357" s="9">
        <v>4328.1000000000004</v>
      </c>
      <c r="H4357" s="10">
        <v>0.52900000000000003</v>
      </c>
      <c r="I4357" s="11">
        <v>6.9</v>
      </c>
    </row>
    <row r="4358" spans="1:9" x14ac:dyDescent="0.35">
      <c r="A4358" s="2" t="s">
        <v>396</v>
      </c>
      <c r="B4358" s="3">
        <v>44562</v>
      </c>
      <c r="C4358" s="2">
        <v>17</v>
      </c>
      <c r="D4358" s="2">
        <v>20131</v>
      </c>
      <c r="E4358" s="17">
        <v>40444.74</v>
      </c>
      <c r="F4358" s="11">
        <v>6.54</v>
      </c>
      <c r="G4358" s="9">
        <v>3072.8</v>
      </c>
      <c r="H4358" s="10">
        <v>0.41199999999999998</v>
      </c>
      <c r="I4358" s="11">
        <v>7.1</v>
      </c>
    </row>
    <row r="4359" spans="1:9" x14ac:dyDescent="0.35">
      <c r="A4359" s="2" t="s">
        <v>396</v>
      </c>
      <c r="B4359" s="3">
        <v>44593</v>
      </c>
      <c r="C4359" s="2">
        <v>13</v>
      </c>
      <c r="D4359" s="2">
        <v>22158</v>
      </c>
      <c r="E4359" s="17">
        <v>51528.63</v>
      </c>
      <c r="F4359" s="11">
        <v>6.89</v>
      </c>
      <c r="G4359" s="9">
        <v>3263.4</v>
      </c>
      <c r="H4359" s="10">
        <v>0.23100000000000001</v>
      </c>
      <c r="I4359" s="11">
        <v>7.3</v>
      </c>
    </row>
    <row r="4360" spans="1:9" x14ac:dyDescent="0.35">
      <c r="A4360" s="2" t="s">
        <v>396</v>
      </c>
      <c r="B4360" s="3">
        <v>44621</v>
      </c>
      <c r="C4360" s="2">
        <v>12</v>
      </c>
      <c r="D4360" s="2">
        <v>19185</v>
      </c>
      <c r="E4360" s="17">
        <v>40822.36</v>
      </c>
      <c r="F4360" s="11">
        <v>6.46</v>
      </c>
      <c r="G4360" s="9">
        <v>3048.5</v>
      </c>
      <c r="H4360" s="10">
        <v>0.33300000000000002</v>
      </c>
      <c r="I4360" s="11">
        <v>6.7</v>
      </c>
    </row>
    <row r="4361" spans="1:9" x14ac:dyDescent="0.35">
      <c r="A4361" s="2" t="s">
        <v>396</v>
      </c>
      <c r="B4361" s="3">
        <v>44652</v>
      </c>
      <c r="C4361" s="2">
        <v>21</v>
      </c>
      <c r="D4361" s="2">
        <v>28204</v>
      </c>
      <c r="E4361" s="17">
        <v>60742.86</v>
      </c>
      <c r="F4361" s="11">
        <v>6.39</v>
      </c>
      <c r="G4361" s="9">
        <v>4471.6000000000004</v>
      </c>
      <c r="H4361" s="10">
        <v>0.47599999999999998</v>
      </c>
      <c r="I4361" s="11">
        <v>7.5</v>
      </c>
    </row>
    <row r="4362" spans="1:9" x14ac:dyDescent="0.35">
      <c r="A4362" s="2" t="s">
        <v>396</v>
      </c>
      <c r="B4362" s="3">
        <v>44682</v>
      </c>
      <c r="C4362" s="2">
        <v>21</v>
      </c>
      <c r="D4362" s="2">
        <v>28402</v>
      </c>
      <c r="E4362" s="17">
        <v>57703.87</v>
      </c>
      <c r="F4362" s="11">
        <v>6.43</v>
      </c>
      <c r="G4362" s="9">
        <v>4455.7</v>
      </c>
      <c r="H4362" s="10">
        <v>0.38100000000000001</v>
      </c>
      <c r="I4362" s="11">
        <v>6.7</v>
      </c>
    </row>
    <row r="4363" spans="1:9" x14ac:dyDescent="0.35">
      <c r="A4363" s="2" t="s">
        <v>396</v>
      </c>
      <c r="B4363" s="3">
        <v>44713</v>
      </c>
      <c r="C4363" s="2">
        <v>12</v>
      </c>
      <c r="D4363" s="2">
        <v>15173</v>
      </c>
      <c r="E4363" s="17">
        <v>35869.53</v>
      </c>
      <c r="F4363" s="11">
        <v>6.38</v>
      </c>
      <c r="G4363" s="9">
        <v>2430.1999999999998</v>
      </c>
      <c r="H4363" s="10">
        <v>0.41699999999999998</v>
      </c>
      <c r="I4363" s="11">
        <v>8</v>
      </c>
    </row>
    <row r="4364" spans="1:9" x14ac:dyDescent="0.35">
      <c r="A4364" s="2" t="s">
        <v>396</v>
      </c>
      <c r="B4364" s="3">
        <v>44743</v>
      </c>
      <c r="C4364" s="2">
        <v>28</v>
      </c>
      <c r="D4364" s="2">
        <v>39505</v>
      </c>
      <c r="E4364" s="17">
        <v>82846.710000000006</v>
      </c>
      <c r="F4364" s="11">
        <v>6.5</v>
      </c>
      <c r="G4364" s="9">
        <v>6147.6</v>
      </c>
      <c r="H4364" s="10">
        <v>0.5</v>
      </c>
      <c r="I4364" s="11">
        <v>7.8</v>
      </c>
    </row>
    <row r="4365" spans="1:9" x14ac:dyDescent="0.35">
      <c r="A4365" s="2" t="s">
        <v>396</v>
      </c>
      <c r="B4365" s="3">
        <v>44774</v>
      </c>
      <c r="C4365" s="2">
        <v>24</v>
      </c>
      <c r="D4365" s="2">
        <v>33034</v>
      </c>
      <c r="E4365" s="17">
        <v>66717.09</v>
      </c>
      <c r="F4365" s="11">
        <v>6.6</v>
      </c>
      <c r="G4365" s="9">
        <v>5082.2</v>
      </c>
      <c r="H4365" s="10">
        <v>0.58299999999999996</v>
      </c>
      <c r="I4365" s="11">
        <v>7.4</v>
      </c>
    </row>
    <row r="4366" spans="1:9" x14ac:dyDescent="0.35">
      <c r="A4366" s="2" t="s">
        <v>396</v>
      </c>
      <c r="B4366" s="3">
        <v>44805</v>
      </c>
      <c r="C4366" s="2">
        <v>15</v>
      </c>
      <c r="D4366" s="2">
        <v>20037</v>
      </c>
      <c r="E4366" s="17">
        <v>45400.480000000003</v>
      </c>
      <c r="F4366" s="11">
        <v>6.5</v>
      </c>
      <c r="G4366" s="9">
        <v>3049.4</v>
      </c>
      <c r="H4366" s="10">
        <v>0.6</v>
      </c>
      <c r="I4366" s="11">
        <v>8.4</v>
      </c>
    </row>
    <row r="4367" spans="1:9" x14ac:dyDescent="0.35">
      <c r="A4367" s="2" t="s">
        <v>396</v>
      </c>
      <c r="B4367" s="3">
        <v>44835</v>
      </c>
      <c r="C4367" s="2">
        <v>18</v>
      </c>
      <c r="D4367" s="2">
        <v>30782</v>
      </c>
      <c r="E4367" s="17">
        <v>60994.720000000001</v>
      </c>
      <c r="F4367" s="11">
        <v>6.34</v>
      </c>
      <c r="G4367" s="9">
        <v>4912.8</v>
      </c>
      <c r="H4367" s="10">
        <v>0.5</v>
      </c>
      <c r="I4367" s="11">
        <v>5.7</v>
      </c>
    </row>
    <row r="4368" spans="1:9" x14ac:dyDescent="0.35">
      <c r="A4368" s="2" t="s">
        <v>396</v>
      </c>
      <c r="B4368" s="3">
        <v>44866</v>
      </c>
      <c r="C4368" s="2">
        <v>18</v>
      </c>
      <c r="D4368" s="2">
        <v>23924</v>
      </c>
      <c r="E4368" s="17">
        <v>52226.77</v>
      </c>
      <c r="F4368" s="11">
        <v>6.62</v>
      </c>
      <c r="G4368" s="9">
        <v>3705.1</v>
      </c>
      <c r="H4368" s="10">
        <v>0.66700000000000004</v>
      </c>
      <c r="I4368" s="11">
        <v>7</v>
      </c>
    </row>
    <row r="4369" spans="1:9" x14ac:dyDescent="0.35">
      <c r="A4369" s="2" t="s">
        <v>396</v>
      </c>
      <c r="B4369" s="3">
        <v>44896</v>
      </c>
      <c r="C4369" s="2">
        <v>24</v>
      </c>
      <c r="D4369" s="2">
        <v>28560</v>
      </c>
      <c r="E4369" s="17">
        <v>64705.03</v>
      </c>
      <c r="F4369" s="11">
        <v>6.35</v>
      </c>
      <c r="G4369" s="9">
        <v>4590.7</v>
      </c>
      <c r="H4369" s="10">
        <v>0.58299999999999996</v>
      </c>
      <c r="I4369" s="11">
        <v>7.6</v>
      </c>
    </row>
    <row r="4370" spans="1:9" x14ac:dyDescent="0.35">
      <c r="A4370" s="2" t="s">
        <v>396</v>
      </c>
      <c r="B4370" s="3">
        <v>44927</v>
      </c>
      <c r="C4370" s="2">
        <v>18</v>
      </c>
      <c r="D4370" s="2">
        <v>27711</v>
      </c>
      <c r="E4370" s="17">
        <v>56049.22</v>
      </c>
      <c r="F4370" s="11">
        <v>6.48</v>
      </c>
      <c r="G4370" s="9">
        <v>4324.6000000000004</v>
      </c>
      <c r="H4370" s="10">
        <v>0.55600000000000005</v>
      </c>
      <c r="I4370" s="11">
        <v>7.6</v>
      </c>
    </row>
    <row r="4371" spans="1:9" x14ac:dyDescent="0.35">
      <c r="A4371" s="2" t="s">
        <v>396</v>
      </c>
      <c r="B4371" s="3">
        <v>44958</v>
      </c>
      <c r="C4371" s="2">
        <v>23</v>
      </c>
      <c r="D4371" s="2">
        <v>30712</v>
      </c>
      <c r="E4371" s="17">
        <v>64820.94</v>
      </c>
      <c r="F4371" s="11">
        <v>6.41</v>
      </c>
      <c r="G4371" s="9">
        <v>4866.7</v>
      </c>
      <c r="H4371" s="10">
        <v>0.34799999999999998</v>
      </c>
      <c r="I4371" s="11">
        <v>6.9</v>
      </c>
    </row>
    <row r="4372" spans="1:9" x14ac:dyDescent="0.35">
      <c r="A4372" s="2" t="s">
        <v>396</v>
      </c>
      <c r="B4372" s="3">
        <v>44986</v>
      </c>
      <c r="C4372" s="2">
        <v>26</v>
      </c>
      <c r="D4372" s="2">
        <v>30074</v>
      </c>
      <c r="E4372" s="17">
        <v>63420.78</v>
      </c>
      <c r="F4372" s="11">
        <v>6.39</v>
      </c>
      <c r="G4372" s="9">
        <v>4681.8</v>
      </c>
      <c r="H4372" s="10">
        <v>0.34599999999999997</v>
      </c>
      <c r="I4372" s="11">
        <v>6.1</v>
      </c>
    </row>
    <row r="4373" spans="1:9" x14ac:dyDescent="0.35">
      <c r="A4373" s="2" t="s">
        <v>396</v>
      </c>
      <c r="B4373" s="3">
        <v>45017</v>
      </c>
      <c r="C4373" s="2">
        <v>18</v>
      </c>
      <c r="D4373" s="2">
        <v>23289</v>
      </c>
      <c r="E4373" s="17">
        <v>52585.3</v>
      </c>
      <c r="F4373" s="11">
        <v>6.48</v>
      </c>
      <c r="G4373" s="9">
        <v>3667.8</v>
      </c>
      <c r="H4373" s="10">
        <v>0.66700000000000004</v>
      </c>
      <c r="I4373" s="11">
        <v>7.3</v>
      </c>
    </row>
    <row r="4374" spans="1:9" x14ac:dyDescent="0.35">
      <c r="A4374" s="2" t="s">
        <v>396</v>
      </c>
      <c r="B4374" s="3">
        <v>45047</v>
      </c>
      <c r="C4374" s="2">
        <v>28</v>
      </c>
      <c r="D4374" s="2">
        <v>50820</v>
      </c>
      <c r="E4374" s="17">
        <v>114312</v>
      </c>
      <c r="F4374" s="11">
        <v>6.39</v>
      </c>
      <c r="G4374" s="9">
        <v>8010.5</v>
      </c>
      <c r="H4374" s="10">
        <v>0.35699999999999998</v>
      </c>
      <c r="I4374" s="11">
        <v>7.7</v>
      </c>
    </row>
    <row r="4375" spans="1:9" x14ac:dyDescent="0.35">
      <c r="A4375" s="2" t="s">
        <v>396</v>
      </c>
      <c r="B4375" s="3">
        <v>45078</v>
      </c>
      <c r="C4375" s="2">
        <v>19</v>
      </c>
      <c r="D4375" s="2">
        <v>20566</v>
      </c>
      <c r="E4375" s="17">
        <v>42321.94</v>
      </c>
      <c r="F4375" s="11">
        <v>6.74</v>
      </c>
      <c r="G4375" s="9">
        <v>3123.4</v>
      </c>
      <c r="H4375" s="10">
        <v>0.68400000000000005</v>
      </c>
      <c r="I4375" s="11">
        <v>6.5</v>
      </c>
    </row>
    <row r="4376" spans="1:9" x14ac:dyDescent="0.35">
      <c r="A4376" s="2" t="s">
        <v>396</v>
      </c>
      <c r="B4376" s="3">
        <v>45108</v>
      </c>
      <c r="C4376" s="2">
        <v>14</v>
      </c>
      <c r="D4376" s="2">
        <v>17242</v>
      </c>
      <c r="E4376" s="17">
        <v>36861.01</v>
      </c>
      <c r="F4376" s="11">
        <v>6.68</v>
      </c>
      <c r="G4376" s="9">
        <v>2553.1</v>
      </c>
      <c r="H4376" s="10">
        <v>0.35699999999999998</v>
      </c>
      <c r="I4376" s="11">
        <v>6.5</v>
      </c>
    </row>
    <row r="4377" spans="1:9" x14ac:dyDescent="0.35">
      <c r="A4377" s="2" t="s">
        <v>396</v>
      </c>
      <c r="B4377" s="3">
        <v>45139</v>
      </c>
      <c r="C4377" s="2">
        <v>21</v>
      </c>
      <c r="D4377" s="2">
        <v>22561</v>
      </c>
      <c r="E4377" s="17">
        <v>47109.97</v>
      </c>
      <c r="F4377" s="11">
        <v>6.52</v>
      </c>
      <c r="G4377" s="9">
        <v>3469.7</v>
      </c>
      <c r="H4377" s="10">
        <v>0.52400000000000002</v>
      </c>
      <c r="I4377" s="11">
        <v>6.6</v>
      </c>
    </row>
    <row r="4378" spans="1:9" x14ac:dyDescent="0.35">
      <c r="A4378" s="2" t="s">
        <v>396</v>
      </c>
      <c r="B4378" s="3">
        <v>45170</v>
      </c>
      <c r="C4378" s="2">
        <v>22</v>
      </c>
      <c r="D4378" s="2">
        <v>33900</v>
      </c>
      <c r="E4378" s="17">
        <v>78863.14</v>
      </c>
      <c r="F4378" s="11">
        <v>6.46</v>
      </c>
      <c r="G4378" s="9">
        <v>5288.8</v>
      </c>
      <c r="H4378" s="10">
        <v>0.22700000000000001</v>
      </c>
      <c r="I4378" s="11">
        <v>7.6</v>
      </c>
    </row>
    <row r="4379" spans="1:9" x14ac:dyDescent="0.35">
      <c r="A4379" s="2" t="s">
        <v>396</v>
      </c>
      <c r="B4379" s="3">
        <v>45200</v>
      </c>
      <c r="C4379" s="2">
        <v>20</v>
      </c>
      <c r="D4379" s="2">
        <v>23893</v>
      </c>
      <c r="E4379" s="17">
        <v>49278.28</v>
      </c>
      <c r="F4379" s="11">
        <v>6.56</v>
      </c>
      <c r="G4379" s="9">
        <v>3751</v>
      </c>
      <c r="H4379" s="10">
        <v>0.6</v>
      </c>
      <c r="I4379" s="11">
        <v>6.7</v>
      </c>
    </row>
    <row r="4380" spans="1:9" x14ac:dyDescent="0.35">
      <c r="A4380" s="2" t="s">
        <v>396</v>
      </c>
      <c r="B4380" s="3">
        <v>45231</v>
      </c>
      <c r="C4380" s="2">
        <v>20</v>
      </c>
      <c r="D4380" s="2">
        <v>27578</v>
      </c>
      <c r="E4380" s="17">
        <v>58358.03</v>
      </c>
      <c r="F4380" s="11">
        <v>6.73</v>
      </c>
      <c r="G4380" s="9">
        <v>4104.3999999999996</v>
      </c>
      <c r="H4380" s="10">
        <v>0.45</v>
      </c>
      <c r="I4380" s="11">
        <v>7.3</v>
      </c>
    </row>
    <row r="4381" spans="1:9" x14ac:dyDescent="0.35">
      <c r="A4381" s="2" t="s">
        <v>396</v>
      </c>
      <c r="B4381" s="3">
        <v>45261</v>
      </c>
      <c r="C4381" s="2">
        <v>13</v>
      </c>
      <c r="D4381" s="2">
        <v>15436</v>
      </c>
      <c r="E4381" s="17">
        <v>32563.41</v>
      </c>
      <c r="F4381" s="11">
        <v>6.47</v>
      </c>
      <c r="G4381" s="9">
        <v>2379</v>
      </c>
      <c r="H4381" s="10">
        <v>0.46200000000000002</v>
      </c>
      <c r="I4381" s="11">
        <v>5</v>
      </c>
    </row>
    <row r="4382" spans="1:9" x14ac:dyDescent="0.35">
      <c r="A4382" s="2" t="s">
        <v>396</v>
      </c>
      <c r="B4382" s="3">
        <v>45292</v>
      </c>
      <c r="C4382" s="2">
        <v>24</v>
      </c>
      <c r="D4382" s="2">
        <v>29080</v>
      </c>
      <c r="E4382" s="17">
        <v>64552.4</v>
      </c>
      <c r="F4382" s="11">
        <v>6.48</v>
      </c>
      <c r="G4382" s="9">
        <v>4446.3</v>
      </c>
      <c r="H4382" s="10">
        <v>0.45800000000000002</v>
      </c>
      <c r="I4382" s="11">
        <v>7.5</v>
      </c>
    </row>
    <row r="4383" spans="1:9" x14ac:dyDescent="0.35">
      <c r="A4383" s="2" t="s">
        <v>396</v>
      </c>
      <c r="B4383" s="3">
        <v>45323</v>
      </c>
      <c r="C4383" s="2">
        <v>19</v>
      </c>
      <c r="D4383" s="2">
        <v>32967</v>
      </c>
      <c r="E4383" s="17">
        <v>66464.58</v>
      </c>
      <c r="F4383" s="11">
        <v>6.77</v>
      </c>
      <c r="G4383" s="9">
        <v>4956.2</v>
      </c>
      <c r="H4383" s="10">
        <v>0.26300000000000001</v>
      </c>
      <c r="I4383" s="11">
        <v>7.5</v>
      </c>
    </row>
    <row r="4384" spans="1:9" x14ac:dyDescent="0.35">
      <c r="A4384" s="2" t="s">
        <v>396</v>
      </c>
      <c r="B4384" s="3">
        <v>45352</v>
      </c>
      <c r="C4384" s="2">
        <v>14</v>
      </c>
      <c r="D4384" s="2">
        <v>16151</v>
      </c>
      <c r="E4384" s="17">
        <v>36298.199999999997</v>
      </c>
      <c r="F4384" s="11">
        <v>6.47</v>
      </c>
      <c r="G4384" s="9">
        <v>2501.3000000000002</v>
      </c>
      <c r="H4384" s="10">
        <v>0.57099999999999995</v>
      </c>
      <c r="I4384" s="11">
        <v>7.3</v>
      </c>
    </row>
    <row r="4385" spans="1:9" x14ac:dyDescent="0.35">
      <c r="A4385" s="2" t="s">
        <v>396</v>
      </c>
      <c r="B4385" s="3">
        <v>45383</v>
      </c>
      <c r="C4385" s="2">
        <v>16</v>
      </c>
      <c r="D4385" s="2">
        <v>23144</v>
      </c>
      <c r="E4385" s="17">
        <v>46588.23</v>
      </c>
      <c r="F4385" s="11">
        <v>6.35</v>
      </c>
      <c r="G4385" s="9">
        <v>3626.1</v>
      </c>
      <c r="H4385" s="10">
        <v>0.56200000000000006</v>
      </c>
      <c r="I4385" s="11">
        <v>6.8</v>
      </c>
    </row>
    <row r="4386" spans="1:9" x14ac:dyDescent="0.35">
      <c r="A4386" s="2" t="s">
        <v>396</v>
      </c>
      <c r="B4386" s="3">
        <v>45413</v>
      </c>
      <c r="C4386" s="2">
        <v>14</v>
      </c>
      <c r="D4386" s="2">
        <v>21153</v>
      </c>
      <c r="E4386" s="17">
        <v>48935.98</v>
      </c>
      <c r="F4386" s="11">
        <v>6.6</v>
      </c>
      <c r="G4386" s="9">
        <v>3242.9</v>
      </c>
      <c r="H4386" s="10">
        <v>0.64300000000000002</v>
      </c>
      <c r="I4386" s="11">
        <v>7.7</v>
      </c>
    </row>
    <row r="4387" spans="1:9" x14ac:dyDescent="0.35">
      <c r="A4387" s="2" t="s">
        <v>396</v>
      </c>
      <c r="B4387" s="3">
        <v>45444</v>
      </c>
      <c r="C4387" s="2">
        <v>12</v>
      </c>
      <c r="D4387" s="2">
        <v>15162</v>
      </c>
      <c r="E4387" s="17">
        <v>37337.5</v>
      </c>
      <c r="F4387" s="11">
        <v>6.59</v>
      </c>
      <c r="G4387" s="9">
        <v>2400.6999999999998</v>
      </c>
      <c r="H4387" s="10">
        <v>0.58299999999999996</v>
      </c>
      <c r="I4387" s="11">
        <v>7.9</v>
      </c>
    </row>
    <row r="4388" spans="1:9" x14ac:dyDescent="0.35">
      <c r="A4388" s="2" t="s">
        <v>396</v>
      </c>
      <c r="B4388" s="3">
        <v>45474</v>
      </c>
      <c r="C4388" s="2">
        <v>21</v>
      </c>
      <c r="D4388" s="2">
        <v>27494</v>
      </c>
      <c r="E4388" s="17">
        <v>57754.55</v>
      </c>
      <c r="F4388" s="11">
        <v>6.64</v>
      </c>
      <c r="G4388" s="9">
        <v>4119.5</v>
      </c>
      <c r="H4388" s="10">
        <v>0.52400000000000002</v>
      </c>
      <c r="I4388" s="11">
        <v>6.7</v>
      </c>
    </row>
    <row r="4389" spans="1:9" x14ac:dyDescent="0.35">
      <c r="A4389" s="2" t="s">
        <v>396</v>
      </c>
      <c r="B4389" s="3">
        <v>45505</v>
      </c>
      <c r="C4389" s="2">
        <v>22</v>
      </c>
      <c r="D4389" s="2">
        <v>33931</v>
      </c>
      <c r="E4389" s="17">
        <v>77672.28</v>
      </c>
      <c r="F4389" s="11">
        <v>6.29</v>
      </c>
      <c r="G4389" s="9">
        <v>5365.9</v>
      </c>
      <c r="H4389" s="10">
        <v>0.36399999999999999</v>
      </c>
      <c r="I4389" s="11">
        <v>6.7</v>
      </c>
    </row>
    <row r="4390" spans="1:9" x14ac:dyDescent="0.35">
      <c r="A4390" s="2" t="s">
        <v>396</v>
      </c>
      <c r="B4390" s="3">
        <v>45536</v>
      </c>
      <c r="C4390" s="2">
        <v>18</v>
      </c>
      <c r="D4390" s="2">
        <v>24751</v>
      </c>
      <c r="E4390" s="17">
        <v>52663.88</v>
      </c>
      <c r="F4390" s="11">
        <v>6.5</v>
      </c>
      <c r="G4390" s="9">
        <v>3804</v>
      </c>
      <c r="H4390" s="10">
        <v>0.222</v>
      </c>
      <c r="I4390" s="11">
        <v>6.7</v>
      </c>
    </row>
    <row r="4391" spans="1:9" x14ac:dyDescent="0.35">
      <c r="A4391" s="2" t="s">
        <v>396</v>
      </c>
      <c r="B4391" s="3">
        <v>45566</v>
      </c>
      <c r="C4391" s="2">
        <v>18</v>
      </c>
      <c r="D4391" s="2">
        <v>26838</v>
      </c>
      <c r="E4391" s="17">
        <v>58618.8</v>
      </c>
      <c r="F4391" s="11">
        <v>6.41</v>
      </c>
      <c r="G4391" s="9">
        <v>4231.8999999999996</v>
      </c>
      <c r="H4391" s="10">
        <v>0.44400000000000001</v>
      </c>
      <c r="I4391" s="11">
        <v>6.5</v>
      </c>
    </row>
    <row r="4392" spans="1:9" x14ac:dyDescent="0.35">
      <c r="A4392" s="2" t="s">
        <v>396</v>
      </c>
      <c r="B4392" s="3">
        <v>45597</v>
      </c>
      <c r="C4392" s="2">
        <v>19</v>
      </c>
      <c r="D4392" s="2">
        <v>29211</v>
      </c>
      <c r="E4392" s="17">
        <v>68049.3</v>
      </c>
      <c r="F4392" s="11">
        <v>6.52</v>
      </c>
      <c r="G4392" s="9">
        <v>4503.1000000000004</v>
      </c>
      <c r="H4392" s="10">
        <v>0.26300000000000001</v>
      </c>
      <c r="I4392" s="11">
        <v>6.8</v>
      </c>
    </row>
    <row r="4393" spans="1:9" x14ac:dyDescent="0.35">
      <c r="A4393" s="2" t="s">
        <v>396</v>
      </c>
      <c r="B4393" s="3">
        <v>45627</v>
      </c>
      <c r="C4393" s="2">
        <v>19</v>
      </c>
      <c r="D4393" s="2">
        <v>30569</v>
      </c>
      <c r="E4393" s="17">
        <v>64686.91</v>
      </c>
      <c r="F4393" s="11">
        <v>6.44</v>
      </c>
      <c r="G4393" s="9">
        <v>4799.8</v>
      </c>
      <c r="H4393" s="10">
        <v>0.42099999999999999</v>
      </c>
      <c r="I4393" s="11">
        <v>6.6</v>
      </c>
    </row>
    <row r="4394" spans="1:9" x14ac:dyDescent="0.35">
      <c r="A4394" s="2" t="s">
        <v>398</v>
      </c>
      <c r="B4394" s="3">
        <v>44562</v>
      </c>
      <c r="C4394" s="2">
        <v>24</v>
      </c>
      <c r="D4394" s="2">
        <v>37561</v>
      </c>
      <c r="E4394" s="17">
        <v>77056.77</v>
      </c>
      <c r="F4394" s="11">
        <v>6.58</v>
      </c>
      <c r="G4394" s="9">
        <v>5708.2</v>
      </c>
      <c r="H4394" s="10">
        <v>0.29199999999999998</v>
      </c>
      <c r="I4394" s="11">
        <v>6.4</v>
      </c>
    </row>
    <row r="4395" spans="1:9" x14ac:dyDescent="0.35">
      <c r="A4395" s="2" t="s">
        <v>398</v>
      </c>
      <c r="B4395" s="3">
        <v>44593</v>
      </c>
      <c r="C4395" s="2">
        <v>19</v>
      </c>
      <c r="D4395" s="2">
        <v>25087</v>
      </c>
      <c r="E4395" s="17">
        <v>51001.279999999999</v>
      </c>
      <c r="F4395" s="11">
        <v>6.49</v>
      </c>
      <c r="G4395" s="9">
        <v>3905.8</v>
      </c>
      <c r="H4395" s="10">
        <v>0.52600000000000002</v>
      </c>
      <c r="I4395" s="11">
        <v>6.4</v>
      </c>
    </row>
    <row r="4396" spans="1:9" x14ac:dyDescent="0.35">
      <c r="A4396" s="2" t="s">
        <v>398</v>
      </c>
      <c r="B4396" s="3">
        <v>44621</v>
      </c>
      <c r="C4396" s="2">
        <v>24</v>
      </c>
      <c r="D4396" s="2">
        <v>35232</v>
      </c>
      <c r="E4396" s="17">
        <v>69682.58</v>
      </c>
      <c r="F4396" s="11">
        <v>6.32</v>
      </c>
      <c r="G4396" s="9">
        <v>5573.2</v>
      </c>
      <c r="H4396" s="10">
        <v>0.54200000000000004</v>
      </c>
      <c r="I4396" s="11">
        <v>6.3</v>
      </c>
    </row>
    <row r="4397" spans="1:9" x14ac:dyDescent="0.35">
      <c r="A4397" s="2" t="s">
        <v>398</v>
      </c>
      <c r="B4397" s="3">
        <v>44652</v>
      </c>
      <c r="C4397" s="2">
        <v>20</v>
      </c>
      <c r="D4397" s="2">
        <v>30511</v>
      </c>
      <c r="E4397" s="17">
        <v>64269.34</v>
      </c>
      <c r="F4397" s="11">
        <v>6.58</v>
      </c>
      <c r="G4397" s="9">
        <v>4695.8999999999996</v>
      </c>
      <c r="H4397" s="10">
        <v>0.4</v>
      </c>
      <c r="I4397" s="11">
        <v>7.2</v>
      </c>
    </row>
    <row r="4398" spans="1:9" x14ac:dyDescent="0.35">
      <c r="A4398" s="2" t="s">
        <v>398</v>
      </c>
      <c r="B4398" s="3">
        <v>44682</v>
      </c>
      <c r="C4398" s="2">
        <v>26</v>
      </c>
      <c r="D4398" s="2">
        <v>39126</v>
      </c>
      <c r="E4398" s="17">
        <v>87482.54</v>
      </c>
      <c r="F4398" s="11">
        <v>6.59</v>
      </c>
      <c r="G4398" s="9">
        <v>6020.6</v>
      </c>
      <c r="H4398" s="10">
        <v>0.42299999999999999</v>
      </c>
      <c r="I4398" s="11">
        <v>7.3</v>
      </c>
    </row>
    <row r="4399" spans="1:9" x14ac:dyDescent="0.35">
      <c r="A4399" s="2" t="s">
        <v>398</v>
      </c>
      <c r="B4399" s="3">
        <v>44713</v>
      </c>
      <c r="C4399" s="2">
        <v>17</v>
      </c>
      <c r="D4399" s="2">
        <v>21442</v>
      </c>
      <c r="E4399" s="17">
        <v>47153.9</v>
      </c>
      <c r="F4399" s="11">
        <v>6.47</v>
      </c>
      <c r="G4399" s="9">
        <v>3374.2</v>
      </c>
      <c r="H4399" s="10">
        <v>0.35299999999999998</v>
      </c>
      <c r="I4399" s="11">
        <v>7.7</v>
      </c>
    </row>
    <row r="4400" spans="1:9" x14ac:dyDescent="0.35">
      <c r="A4400" s="2" t="s">
        <v>398</v>
      </c>
      <c r="B4400" s="3">
        <v>44743</v>
      </c>
      <c r="C4400" s="2">
        <v>15</v>
      </c>
      <c r="D4400" s="2">
        <v>22253</v>
      </c>
      <c r="E4400" s="17">
        <v>48632.84</v>
      </c>
      <c r="F4400" s="11">
        <v>6.47</v>
      </c>
      <c r="G4400" s="9">
        <v>3488.7</v>
      </c>
      <c r="H4400" s="10">
        <v>0.26700000000000002</v>
      </c>
      <c r="I4400" s="11">
        <v>6.2</v>
      </c>
    </row>
    <row r="4401" spans="1:9" x14ac:dyDescent="0.35">
      <c r="A4401" s="2" t="s">
        <v>398</v>
      </c>
      <c r="B4401" s="3">
        <v>44774</v>
      </c>
      <c r="C4401" s="2">
        <v>18</v>
      </c>
      <c r="D4401" s="2">
        <v>29501</v>
      </c>
      <c r="E4401" s="17">
        <v>62139.4</v>
      </c>
      <c r="F4401" s="11">
        <v>6.55</v>
      </c>
      <c r="G4401" s="9">
        <v>4527.5</v>
      </c>
      <c r="H4401" s="10">
        <v>0.44400000000000001</v>
      </c>
      <c r="I4401" s="11">
        <v>6.7</v>
      </c>
    </row>
    <row r="4402" spans="1:9" x14ac:dyDescent="0.35">
      <c r="A4402" s="2" t="s">
        <v>398</v>
      </c>
      <c r="B4402" s="3">
        <v>44805</v>
      </c>
      <c r="C4402" s="2">
        <v>21</v>
      </c>
      <c r="D4402" s="2">
        <v>30935</v>
      </c>
      <c r="E4402" s="17">
        <v>62115.06</v>
      </c>
      <c r="F4402" s="11">
        <v>6.39</v>
      </c>
      <c r="G4402" s="9">
        <v>4829.3</v>
      </c>
      <c r="H4402" s="10">
        <v>0.57099999999999995</v>
      </c>
      <c r="I4402" s="11">
        <v>7.4</v>
      </c>
    </row>
    <row r="4403" spans="1:9" x14ac:dyDescent="0.35">
      <c r="A4403" s="2" t="s">
        <v>398</v>
      </c>
      <c r="B4403" s="3">
        <v>44835</v>
      </c>
      <c r="C4403" s="2">
        <v>18</v>
      </c>
      <c r="D4403" s="2">
        <v>29019</v>
      </c>
      <c r="E4403" s="17">
        <v>60415.18</v>
      </c>
      <c r="F4403" s="11">
        <v>6.53</v>
      </c>
      <c r="G4403" s="9">
        <v>4399.3999999999996</v>
      </c>
      <c r="H4403" s="10">
        <v>0.77800000000000002</v>
      </c>
      <c r="I4403" s="11">
        <v>6.9</v>
      </c>
    </row>
    <row r="4404" spans="1:9" x14ac:dyDescent="0.35">
      <c r="A4404" s="2" t="s">
        <v>398</v>
      </c>
      <c r="B4404" s="3">
        <v>44866</v>
      </c>
      <c r="C4404" s="2">
        <v>25</v>
      </c>
      <c r="D4404" s="2">
        <v>38223</v>
      </c>
      <c r="E4404" s="17">
        <v>74105.13</v>
      </c>
      <c r="F4404" s="11">
        <v>6.76</v>
      </c>
      <c r="G4404" s="9">
        <v>5720.3</v>
      </c>
      <c r="H4404" s="10">
        <v>0.32</v>
      </c>
      <c r="I4404" s="11">
        <v>7.3</v>
      </c>
    </row>
    <row r="4405" spans="1:9" x14ac:dyDescent="0.35">
      <c r="A4405" s="2" t="s">
        <v>398</v>
      </c>
      <c r="B4405" s="3">
        <v>44896</v>
      </c>
      <c r="C4405" s="2">
        <v>19</v>
      </c>
      <c r="D4405" s="2">
        <v>31074</v>
      </c>
      <c r="E4405" s="17">
        <v>69861.009999999995</v>
      </c>
      <c r="F4405" s="11">
        <v>6.51</v>
      </c>
      <c r="G4405" s="9">
        <v>4781.3</v>
      </c>
      <c r="H4405" s="10">
        <v>0.52600000000000002</v>
      </c>
      <c r="I4405" s="11">
        <v>6.4</v>
      </c>
    </row>
    <row r="4406" spans="1:9" x14ac:dyDescent="0.35">
      <c r="A4406" s="2" t="s">
        <v>398</v>
      </c>
      <c r="B4406" s="3">
        <v>44927</v>
      </c>
      <c r="C4406" s="2">
        <v>22</v>
      </c>
      <c r="D4406" s="2">
        <v>37090</v>
      </c>
      <c r="E4406" s="17">
        <v>75695.38</v>
      </c>
      <c r="F4406" s="11">
        <v>6.61</v>
      </c>
      <c r="G4406" s="9">
        <v>5630.9</v>
      </c>
      <c r="H4406" s="10">
        <v>0.318</v>
      </c>
      <c r="I4406" s="11">
        <v>7.5</v>
      </c>
    </row>
    <row r="4407" spans="1:9" x14ac:dyDescent="0.35">
      <c r="A4407" s="2" t="s">
        <v>398</v>
      </c>
      <c r="B4407" s="3">
        <v>44958</v>
      </c>
      <c r="C4407" s="2">
        <v>13</v>
      </c>
      <c r="D4407" s="2">
        <v>18887</v>
      </c>
      <c r="E4407" s="17">
        <v>45168.85</v>
      </c>
      <c r="F4407" s="11">
        <v>6.54</v>
      </c>
      <c r="G4407" s="9">
        <v>2958.5</v>
      </c>
      <c r="H4407" s="10">
        <v>0.61499999999999999</v>
      </c>
      <c r="I4407" s="11">
        <v>8.1</v>
      </c>
    </row>
    <row r="4408" spans="1:9" x14ac:dyDescent="0.35">
      <c r="A4408" s="2" t="s">
        <v>398</v>
      </c>
      <c r="B4408" s="3">
        <v>44986</v>
      </c>
      <c r="C4408" s="2">
        <v>26</v>
      </c>
      <c r="D4408" s="2">
        <v>43426</v>
      </c>
      <c r="E4408" s="17">
        <v>101864.33</v>
      </c>
      <c r="F4408" s="11">
        <v>6.51</v>
      </c>
      <c r="G4408" s="9">
        <v>6777.9</v>
      </c>
      <c r="H4408" s="10">
        <v>0.5</v>
      </c>
      <c r="I4408" s="11">
        <v>7.3</v>
      </c>
    </row>
    <row r="4409" spans="1:9" x14ac:dyDescent="0.35">
      <c r="A4409" s="2" t="s">
        <v>398</v>
      </c>
      <c r="B4409" s="3">
        <v>45017</v>
      </c>
      <c r="C4409" s="2">
        <v>23</v>
      </c>
      <c r="D4409" s="2">
        <v>26260</v>
      </c>
      <c r="E4409" s="17">
        <v>51841.39</v>
      </c>
      <c r="F4409" s="11">
        <v>6.44</v>
      </c>
      <c r="G4409" s="9">
        <v>4070.3</v>
      </c>
      <c r="H4409" s="10">
        <v>0.47799999999999998</v>
      </c>
      <c r="I4409" s="11">
        <v>6.6</v>
      </c>
    </row>
    <row r="4410" spans="1:9" x14ac:dyDescent="0.35">
      <c r="A4410" s="2" t="s">
        <v>398</v>
      </c>
      <c r="B4410" s="3">
        <v>45047</v>
      </c>
      <c r="C4410" s="2">
        <v>23</v>
      </c>
      <c r="D4410" s="2">
        <v>34346</v>
      </c>
      <c r="E4410" s="17">
        <v>75187.69</v>
      </c>
      <c r="F4410" s="11">
        <v>6.56</v>
      </c>
      <c r="G4410" s="9">
        <v>5321.2</v>
      </c>
      <c r="H4410" s="10">
        <v>0.47799999999999998</v>
      </c>
      <c r="I4410" s="11">
        <v>6.6</v>
      </c>
    </row>
    <row r="4411" spans="1:9" x14ac:dyDescent="0.35">
      <c r="A4411" s="2" t="s">
        <v>398</v>
      </c>
      <c r="B4411" s="3">
        <v>45078</v>
      </c>
      <c r="C4411" s="2">
        <v>18</v>
      </c>
      <c r="D4411" s="2">
        <v>25614</v>
      </c>
      <c r="E4411" s="17">
        <v>50319.839999999997</v>
      </c>
      <c r="F4411" s="11">
        <v>6.56</v>
      </c>
      <c r="G4411" s="9">
        <v>3880.4</v>
      </c>
      <c r="H4411" s="10">
        <v>0.5</v>
      </c>
      <c r="I4411" s="11">
        <v>6.8</v>
      </c>
    </row>
    <row r="4412" spans="1:9" x14ac:dyDescent="0.35">
      <c r="A4412" s="2" t="s">
        <v>398</v>
      </c>
      <c r="B4412" s="3">
        <v>45108</v>
      </c>
      <c r="C4412" s="2">
        <v>15</v>
      </c>
      <c r="D4412" s="2">
        <v>18026</v>
      </c>
      <c r="E4412" s="17">
        <v>36811.279999999999</v>
      </c>
      <c r="F4412" s="11">
        <v>6.38</v>
      </c>
      <c r="G4412" s="9">
        <v>2808.9</v>
      </c>
      <c r="H4412" s="10">
        <v>0.46700000000000003</v>
      </c>
      <c r="I4412" s="11">
        <v>8.4</v>
      </c>
    </row>
    <row r="4413" spans="1:9" x14ac:dyDescent="0.35">
      <c r="A4413" s="2" t="s">
        <v>398</v>
      </c>
      <c r="B4413" s="3">
        <v>45139</v>
      </c>
      <c r="C4413" s="2">
        <v>21</v>
      </c>
      <c r="D4413" s="2">
        <v>32594</v>
      </c>
      <c r="E4413" s="17">
        <v>67652.12</v>
      </c>
      <c r="F4413" s="11">
        <v>6.35</v>
      </c>
      <c r="G4413" s="9">
        <v>5194.6000000000004</v>
      </c>
      <c r="H4413" s="10">
        <v>0.28599999999999998</v>
      </c>
      <c r="I4413" s="11">
        <v>7</v>
      </c>
    </row>
    <row r="4414" spans="1:9" x14ac:dyDescent="0.35">
      <c r="A4414" s="2" t="s">
        <v>398</v>
      </c>
      <c r="B4414" s="3">
        <v>45170</v>
      </c>
      <c r="C4414" s="2">
        <v>15</v>
      </c>
      <c r="D4414" s="2">
        <v>21501</v>
      </c>
      <c r="E4414" s="17">
        <v>44400.160000000003</v>
      </c>
      <c r="F4414" s="11">
        <v>6.43</v>
      </c>
      <c r="G4414" s="9">
        <v>3290.2</v>
      </c>
      <c r="H4414" s="10">
        <v>0.46700000000000003</v>
      </c>
      <c r="I4414" s="11">
        <v>7.2</v>
      </c>
    </row>
    <row r="4415" spans="1:9" x14ac:dyDescent="0.35">
      <c r="A4415" s="2" t="s">
        <v>398</v>
      </c>
      <c r="B4415" s="3">
        <v>45200</v>
      </c>
      <c r="C4415" s="2">
        <v>22</v>
      </c>
      <c r="D4415" s="2">
        <v>34443</v>
      </c>
      <c r="E4415" s="17">
        <v>75939.91</v>
      </c>
      <c r="F4415" s="11">
        <v>6.37</v>
      </c>
      <c r="G4415" s="9">
        <v>5401.9</v>
      </c>
      <c r="H4415" s="10">
        <v>0.59099999999999997</v>
      </c>
      <c r="I4415" s="11">
        <v>6.6</v>
      </c>
    </row>
    <row r="4416" spans="1:9" x14ac:dyDescent="0.35">
      <c r="A4416" s="2" t="s">
        <v>398</v>
      </c>
      <c r="B4416" s="3">
        <v>45231</v>
      </c>
      <c r="C4416" s="2">
        <v>19</v>
      </c>
      <c r="D4416" s="2">
        <v>30303</v>
      </c>
      <c r="E4416" s="17">
        <v>64021.51</v>
      </c>
      <c r="F4416" s="11">
        <v>6.58</v>
      </c>
      <c r="G4416" s="9">
        <v>4586.3999999999996</v>
      </c>
      <c r="H4416" s="10">
        <v>0.316</v>
      </c>
      <c r="I4416" s="11">
        <v>7.6</v>
      </c>
    </row>
    <row r="4417" spans="1:9" x14ac:dyDescent="0.35">
      <c r="A4417" s="2" t="s">
        <v>398</v>
      </c>
      <c r="B4417" s="3">
        <v>45261</v>
      </c>
      <c r="C4417" s="2">
        <v>17</v>
      </c>
      <c r="D4417" s="2">
        <v>23896</v>
      </c>
      <c r="E4417" s="17">
        <v>54056.79</v>
      </c>
      <c r="F4417" s="11">
        <v>6.39</v>
      </c>
      <c r="G4417" s="9">
        <v>3772.9</v>
      </c>
      <c r="H4417" s="10">
        <v>0.35299999999999998</v>
      </c>
      <c r="I4417" s="11">
        <v>7.7</v>
      </c>
    </row>
    <row r="4418" spans="1:9" x14ac:dyDescent="0.35">
      <c r="A4418" s="2" t="s">
        <v>398</v>
      </c>
      <c r="B4418" s="3">
        <v>45292</v>
      </c>
      <c r="C4418" s="2">
        <v>15</v>
      </c>
      <c r="D4418" s="2">
        <v>26939</v>
      </c>
      <c r="E4418" s="17">
        <v>64812.22</v>
      </c>
      <c r="F4418" s="11">
        <v>6.57</v>
      </c>
      <c r="G4418" s="9">
        <v>4129.5</v>
      </c>
      <c r="H4418" s="10">
        <v>0.73299999999999998</v>
      </c>
      <c r="I4418" s="11">
        <v>7</v>
      </c>
    </row>
    <row r="4419" spans="1:9" x14ac:dyDescent="0.35">
      <c r="A4419" s="2" t="s">
        <v>398</v>
      </c>
      <c r="B4419" s="3">
        <v>45323</v>
      </c>
      <c r="C4419" s="2">
        <v>18</v>
      </c>
      <c r="D4419" s="2">
        <v>23693</v>
      </c>
      <c r="E4419" s="17">
        <v>53205.2</v>
      </c>
      <c r="F4419" s="11">
        <v>6.47</v>
      </c>
      <c r="G4419" s="9">
        <v>3723.7</v>
      </c>
      <c r="H4419" s="10">
        <v>0.44400000000000001</v>
      </c>
      <c r="I4419" s="11">
        <v>6.4</v>
      </c>
    </row>
    <row r="4420" spans="1:9" x14ac:dyDescent="0.35">
      <c r="A4420" s="2" t="s">
        <v>398</v>
      </c>
      <c r="B4420" s="3">
        <v>45352</v>
      </c>
      <c r="C4420" s="2">
        <v>19</v>
      </c>
      <c r="D4420" s="2">
        <v>24398</v>
      </c>
      <c r="E4420" s="17">
        <v>53508.44</v>
      </c>
      <c r="F4420" s="11">
        <v>6.43</v>
      </c>
      <c r="G4420" s="9">
        <v>3793.2</v>
      </c>
      <c r="H4420" s="10">
        <v>0.57899999999999996</v>
      </c>
      <c r="I4420" s="11">
        <v>5.8</v>
      </c>
    </row>
    <row r="4421" spans="1:9" x14ac:dyDescent="0.35">
      <c r="A4421" s="2" t="s">
        <v>398</v>
      </c>
      <c r="B4421" s="3">
        <v>45383</v>
      </c>
      <c r="C4421" s="2">
        <v>20</v>
      </c>
      <c r="D4421" s="2">
        <v>33635</v>
      </c>
      <c r="E4421" s="17">
        <v>72848.69</v>
      </c>
      <c r="F4421" s="11">
        <v>6.21</v>
      </c>
      <c r="G4421" s="9">
        <v>5504.8</v>
      </c>
      <c r="H4421" s="10">
        <v>0.25</v>
      </c>
      <c r="I4421" s="11">
        <v>7</v>
      </c>
    </row>
    <row r="4422" spans="1:9" x14ac:dyDescent="0.35">
      <c r="A4422" s="2" t="s">
        <v>398</v>
      </c>
      <c r="B4422" s="3">
        <v>45413</v>
      </c>
      <c r="C4422" s="2">
        <v>18</v>
      </c>
      <c r="D4422" s="2">
        <v>28677</v>
      </c>
      <c r="E4422" s="17">
        <v>64982.13</v>
      </c>
      <c r="F4422" s="11">
        <v>6.68</v>
      </c>
      <c r="G4422" s="9">
        <v>4257.2</v>
      </c>
      <c r="H4422" s="10">
        <v>0.44400000000000001</v>
      </c>
      <c r="I4422" s="11">
        <v>7.4</v>
      </c>
    </row>
    <row r="4423" spans="1:9" x14ac:dyDescent="0.35">
      <c r="A4423" s="2" t="s">
        <v>398</v>
      </c>
      <c r="B4423" s="3">
        <v>45444</v>
      </c>
      <c r="C4423" s="2">
        <v>22</v>
      </c>
      <c r="D4423" s="2">
        <v>24895</v>
      </c>
      <c r="E4423" s="17">
        <v>58160.81</v>
      </c>
      <c r="F4423" s="11">
        <v>6.51</v>
      </c>
      <c r="G4423" s="9">
        <v>3819.8</v>
      </c>
      <c r="H4423" s="10">
        <v>0.36399999999999999</v>
      </c>
      <c r="I4423" s="11">
        <v>7.2</v>
      </c>
    </row>
    <row r="4424" spans="1:9" x14ac:dyDescent="0.35">
      <c r="A4424" s="2" t="s">
        <v>398</v>
      </c>
      <c r="B4424" s="3">
        <v>45474</v>
      </c>
      <c r="C4424" s="2">
        <v>14</v>
      </c>
      <c r="D4424" s="2">
        <v>19108</v>
      </c>
      <c r="E4424" s="17">
        <v>38235.32</v>
      </c>
      <c r="F4424" s="11">
        <v>6.36</v>
      </c>
      <c r="G4424" s="9">
        <v>3070.1</v>
      </c>
      <c r="H4424" s="10">
        <v>0.57099999999999995</v>
      </c>
      <c r="I4424" s="11">
        <v>5.9</v>
      </c>
    </row>
    <row r="4425" spans="1:9" x14ac:dyDescent="0.35">
      <c r="A4425" s="2" t="s">
        <v>398</v>
      </c>
      <c r="B4425" s="3">
        <v>45505</v>
      </c>
      <c r="C4425" s="2">
        <v>30</v>
      </c>
      <c r="D4425" s="2">
        <v>47406</v>
      </c>
      <c r="E4425" s="17">
        <v>107864.5</v>
      </c>
      <c r="F4425" s="11">
        <v>6.67</v>
      </c>
      <c r="G4425" s="9">
        <v>7187</v>
      </c>
      <c r="H4425" s="10">
        <v>0.5</v>
      </c>
      <c r="I4425" s="11">
        <v>7.5</v>
      </c>
    </row>
    <row r="4426" spans="1:9" x14ac:dyDescent="0.35">
      <c r="A4426" s="2" t="s">
        <v>398</v>
      </c>
      <c r="B4426" s="3">
        <v>45536</v>
      </c>
      <c r="C4426" s="2">
        <v>15</v>
      </c>
      <c r="D4426" s="2">
        <v>20731</v>
      </c>
      <c r="E4426" s="17">
        <v>41692.949999999997</v>
      </c>
      <c r="F4426" s="11">
        <v>6.6</v>
      </c>
      <c r="G4426" s="9">
        <v>3220.3</v>
      </c>
      <c r="H4426" s="10">
        <v>0.46700000000000003</v>
      </c>
      <c r="I4426" s="11">
        <v>6.2</v>
      </c>
    </row>
    <row r="4427" spans="1:9" x14ac:dyDescent="0.35">
      <c r="A4427" s="2" t="s">
        <v>398</v>
      </c>
      <c r="B4427" s="3">
        <v>45566</v>
      </c>
      <c r="C4427" s="2">
        <v>25</v>
      </c>
      <c r="D4427" s="2">
        <v>33180</v>
      </c>
      <c r="E4427" s="17">
        <v>69461.25</v>
      </c>
      <c r="F4427" s="11">
        <v>6.4</v>
      </c>
      <c r="G4427" s="9">
        <v>5307.4</v>
      </c>
      <c r="H4427" s="10">
        <v>0.32</v>
      </c>
      <c r="I4427" s="11">
        <v>6</v>
      </c>
    </row>
    <row r="4428" spans="1:9" x14ac:dyDescent="0.35">
      <c r="A4428" s="2" t="s">
        <v>398</v>
      </c>
      <c r="B4428" s="3">
        <v>45597</v>
      </c>
      <c r="C4428" s="2">
        <v>18</v>
      </c>
      <c r="D4428" s="2">
        <v>29063</v>
      </c>
      <c r="E4428" s="17">
        <v>61880.59</v>
      </c>
      <c r="F4428" s="11">
        <v>6.62</v>
      </c>
      <c r="G4428" s="9">
        <v>4392.1000000000004</v>
      </c>
      <c r="H4428" s="10">
        <v>0.27800000000000002</v>
      </c>
      <c r="I4428" s="11">
        <v>7.4</v>
      </c>
    </row>
    <row r="4429" spans="1:9" x14ac:dyDescent="0.35">
      <c r="A4429" s="2" t="s">
        <v>398</v>
      </c>
      <c r="B4429" s="3">
        <v>45627</v>
      </c>
      <c r="C4429" s="2">
        <v>27</v>
      </c>
      <c r="D4429" s="2">
        <v>31643</v>
      </c>
      <c r="E4429" s="17">
        <v>65579.289999999994</v>
      </c>
      <c r="F4429" s="11">
        <v>6.33</v>
      </c>
      <c r="G4429" s="9">
        <v>5033.2</v>
      </c>
      <c r="H4429" s="10">
        <v>0.51900000000000002</v>
      </c>
      <c r="I4429" s="11">
        <v>7.2</v>
      </c>
    </row>
    <row r="4430" spans="1:9" x14ac:dyDescent="0.35">
      <c r="A4430" s="2" t="s">
        <v>400</v>
      </c>
      <c r="B4430" s="3">
        <v>44562</v>
      </c>
      <c r="C4430" s="2">
        <v>20</v>
      </c>
      <c r="D4430" s="2">
        <v>25025</v>
      </c>
      <c r="E4430" s="17">
        <v>57254.66</v>
      </c>
      <c r="F4430" s="11">
        <v>6.49</v>
      </c>
      <c r="G4430" s="9">
        <v>3872</v>
      </c>
      <c r="H4430" s="10">
        <v>0.45</v>
      </c>
      <c r="I4430" s="11">
        <v>8.1</v>
      </c>
    </row>
    <row r="4431" spans="1:9" x14ac:dyDescent="0.35">
      <c r="A4431" s="2" t="s">
        <v>400</v>
      </c>
      <c r="B4431" s="3">
        <v>44593</v>
      </c>
      <c r="C4431" s="2">
        <v>14</v>
      </c>
      <c r="D4431" s="2">
        <v>19866</v>
      </c>
      <c r="E4431" s="17">
        <v>42706.18</v>
      </c>
      <c r="F4431" s="11">
        <v>6.35</v>
      </c>
      <c r="G4431" s="9">
        <v>3090.2</v>
      </c>
      <c r="H4431" s="10">
        <v>0.5</v>
      </c>
      <c r="I4431" s="11">
        <v>6</v>
      </c>
    </row>
    <row r="4432" spans="1:9" x14ac:dyDescent="0.35">
      <c r="A4432" s="2" t="s">
        <v>400</v>
      </c>
      <c r="B4432" s="3">
        <v>44621</v>
      </c>
      <c r="C4432" s="2">
        <v>14</v>
      </c>
      <c r="D4432" s="2">
        <v>16593</v>
      </c>
      <c r="E4432" s="17">
        <v>35619.9</v>
      </c>
      <c r="F4432" s="11">
        <v>6.41</v>
      </c>
      <c r="G4432" s="9">
        <v>2601.1</v>
      </c>
      <c r="H4432" s="10">
        <v>0.78600000000000003</v>
      </c>
      <c r="I4432" s="11">
        <v>7.4</v>
      </c>
    </row>
    <row r="4433" spans="1:9" x14ac:dyDescent="0.35">
      <c r="A4433" s="2" t="s">
        <v>400</v>
      </c>
      <c r="B4433" s="3">
        <v>44652</v>
      </c>
      <c r="C4433" s="2">
        <v>24</v>
      </c>
      <c r="D4433" s="2">
        <v>30042</v>
      </c>
      <c r="E4433" s="17">
        <v>63418.74</v>
      </c>
      <c r="F4433" s="11">
        <v>6.33</v>
      </c>
      <c r="G4433" s="9">
        <v>4664.3</v>
      </c>
      <c r="H4433" s="10">
        <v>0.33300000000000002</v>
      </c>
      <c r="I4433" s="11">
        <v>7</v>
      </c>
    </row>
    <row r="4434" spans="1:9" x14ac:dyDescent="0.35">
      <c r="A4434" s="2" t="s">
        <v>400</v>
      </c>
      <c r="B4434" s="3">
        <v>44682</v>
      </c>
      <c r="C4434" s="2">
        <v>14</v>
      </c>
      <c r="D4434" s="2">
        <v>15635</v>
      </c>
      <c r="E4434" s="17">
        <v>34383.83</v>
      </c>
      <c r="F4434" s="11">
        <v>6.14</v>
      </c>
      <c r="G4434" s="9">
        <v>2578.8000000000002</v>
      </c>
      <c r="H4434" s="10">
        <v>0.35699999999999998</v>
      </c>
      <c r="I4434" s="11">
        <v>7.8</v>
      </c>
    </row>
    <row r="4435" spans="1:9" x14ac:dyDescent="0.35">
      <c r="A4435" s="2" t="s">
        <v>400</v>
      </c>
      <c r="B4435" s="3">
        <v>44713</v>
      </c>
      <c r="C4435" s="2">
        <v>22</v>
      </c>
      <c r="D4435" s="2">
        <v>30480</v>
      </c>
      <c r="E4435" s="17">
        <v>62918.35</v>
      </c>
      <c r="F4435" s="11">
        <v>6.41</v>
      </c>
      <c r="G4435" s="9">
        <v>4768.8</v>
      </c>
      <c r="H4435" s="10">
        <v>0.45500000000000002</v>
      </c>
      <c r="I4435" s="11">
        <v>7.3</v>
      </c>
    </row>
    <row r="4436" spans="1:9" x14ac:dyDescent="0.35">
      <c r="A4436" s="2" t="s">
        <v>400</v>
      </c>
      <c r="B4436" s="3">
        <v>44743</v>
      </c>
      <c r="C4436" s="2">
        <v>19</v>
      </c>
      <c r="D4436" s="2">
        <v>27303</v>
      </c>
      <c r="E4436" s="17">
        <v>52514.68</v>
      </c>
      <c r="F4436" s="11">
        <v>6.41</v>
      </c>
      <c r="G4436" s="9">
        <v>4377</v>
      </c>
      <c r="H4436" s="10">
        <v>0.36799999999999999</v>
      </c>
      <c r="I4436" s="11">
        <v>7.9</v>
      </c>
    </row>
    <row r="4437" spans="1:9" x14ac:dyDescent="0.35">
      <c r="A4437" s="2" t="s">
        <v>400</v>
      </c>
      <c r="B4437" s="3">
        <v>44774</v>
      </c>
      <c r="C4437" s="2">
        <v>21</v>
      </c>
      <c r="D4437" s="2">
        <v>27662</v>
      </c>
      <c r="E4437" s="17">
        <v>55969.13</v>
      </c>
      <c r="F4437" s="11">
        <v>6.47</v>
      </c>
      <c r="G4437" s="9">
        <v>4357.1000000000004</v>
      </c>
      <c r="H4437" s="10">
        <v>0.33300000000000002</v>
      </c>
      <c r="I4437" s="11">
        <v>6.6</v>
      </c>
    </row>
    <row r="4438" spans="1:9" x14ac:dyDescent="0.35">
      <c r="A4438" s="2" t="s">
        <v>400</v>
      </c>
      <c r="B4438" s="3">
        <v>44805</v>
      </c>
      <c r="C4438" s="2">
        <v>21</v>
      </c>
      <c r="D4438" s="2">
        <v>28517</v>
      </c>
      <c r="E4438" s="17">
        <v>66930.61</v>
      </c>
      <c r="F4438" s="11">
        <v>6.39</v>
      </c>
      <c r="G4438" s="9">
        <v>4466.1000000000004</v>
      </c>
      <c r="H4438" s="10">
        <v>0.57099999999999995</v>
      </c>
      <c r="I4438" s="11">
        <v>6.4</v>
      </c>
    </row>
    <row r="4439" spans="1:9" x14ac:dyDescent="0.35">
      <c r="A4439" s="2" t="s">
        <v>400</v>
      </c>
      <c r="B4439" s="3">
        <v>44835</v>
      </c>
      <c r="C4439" s="2">
        <v>20</v>
      </c>
      <c r="D4439" s="2">
        <v>28296</v>
      </c>
      <c r="E4439" s="17">
        <v>54300.82</v>
      </c>
      <c r="F4439" s="11">
        <v>6.6</v>
      </c>
      <c r="G4439" s="9">
        <v>4325.1000000000004</v>
      </c>
      <c r="H4439" s="10">
        <v>0.25</v>
      </c>
      <c r="I4439" s="11">
        <v>7.4</v>
      </c>
    </row>
    <row r="4440" spans="1:9" x14ac:dyDescent="0.35">
      <c r="A4440" s="2" t="s">
        <v>400</v>
      </c>
      <c r="B4440" s="3">
        <v>44866</v>
      </c>
      <c r="C4440" s="2">
        <v>19</v>
      </c>
      <c r="D4440" s="2">
        <v>26131</v>
      </c>
      <c r="E4440" s="17">
        <v>56255.61</v>
      </c>
      <c r="F4440" s="11">
        <v>6.2</v>
      </c>
      <c r="G4440" s="9">
        <v>4234.3999999999996</v>
      </c>
      <c r="H4440" s="10">
        <v>0.47399999999999998</v>
      </c>
      <c r="I4440" s="11">
        <v>6.3</v>
      </c>
    </row>
    <row r="4441" spans="1:9" x14ac:dyDescent="0.35">
      <c r="A4441" s="2" t="s">
        <v>400</v>
      </c>
      <c r="B4441" s="3">
        <v>44896</v>
      </c>
      <c r="C4441" s="2">
        <v>22</v>
      </c>
      <c r="D4441" s="2">
        <v>25077</v>
      </c>
      <c r="E4441" s="17">
        <v>52389.5</v>
      </c>
      <c r="F4441" s="11">
        <v>6.34</v>
      </c>
      <c r="G4441" s="9">
        <v>4020.5</v>
      </c>
      <c r="H4441" s="10">
        <v>0.40899999999999997</v>
      </c>
      <c r="I4441" s="11">
        <v>7.5</v>
      </c>
    </row>
    <row r="4442" spans="1:9" x14ac:dyDescent="0.35">
      <c r="A4442" s="2" t="s">
        <v>400</v>
      </c>
      <c r="B4442" s="3">
        <v>44927</v>
      </c>
      <c r="C4442" s="2">
        <v>31</v>
      </c>
      <c r="D4442" s="2">
        <v>43837</v>
      </c>
      <c r="E4442" s="17">
        <v>91065.59</v>
      </c>
      <c r="F4442" s="11">
        <v>6.51</v>
      </c>
      <c r="G4442" s="9">
        <v>6781</v>
      </c>
      <c r="H4442" s="10">
        <v>0.41899999999999998</v>
      </c>
      <c r="I4442" s="11">
        <v>7.2</v>
      </c>
    </row>
    <row r="4443" spans="1:9" x14ac:dyDescent="0.35">
      <c r="A4443" s="2" t="s">
        <v>400</v>
      </c>
      <c r="B4443" s="3">
        <v>44958</v>
      </c>
      <c r="C4443" s="2">
        <v>19</v>
      </c>
      <c r="D4443" s="2">
        <v>26847</v>
      </c>
      <c r="E4443" s="17">
        <v>56364.81</v>
      </c>
      <c r="F4443" s="11">
        <v>6.55</v>
      </c>
      <c r="G4443" s="9">
        <v>4238.6000000000004</v>
      </c>
      <c r="H4443" s="10">
        <v>0.36799999999999999</v>
      </c>
      <c r="I4443" s="11">
        <v>7.9</v>
      </c>
    </row>
    <row r="4444" spans="1:9" x14ac:dyDescent="0.35">
      <c r="A4444" s="2" t="s">
        <v>400</v>
      </c>
      <c r="B4444" s="3">
        <v>44986</v>
      </c>
      <c r="C4444" s="2">
        <v>13</v>
      </c>
      <c r="D4444" s="2">
        <v>20083</v>
      </c>
      <c r="E4444" s="17">
        <v>37466.82</v>
      </c>
      <c r="F4444" s="11">
        <v>6.61</v>
      </c>
      <c r="G4444" s="9">
        <v>3121.8</v>
      </c>
      <c r="H4444" s="10">
        <v>0.308</v>
      </c>
      <c r="I4444" s="11">
        <v>6.8</v>
      </c>
    </row>
    <row r="4445" spans="1:9" x14ac:dyDescent="0.35">
      <c r="A4445" s="2" t="s">
        <v>400</v>
      </c>
      <c r="B4445" s="3">
        <v>45017</v>
      </c>
      <c r="C4445" s="2">
        <v>13</v>
      </c>
      <c r="D4445" s="2">
        <v>20016</v>
      </c>
      <c r="E4445" s="17">
        <v>36733.949999999997</v>
      </c>
      <c r="F4445" s="11">
        <v>6.5</v>
      </c>
      <c r="G4445" s="9">
        <v>3170.9</v>
      </c>
      <c r="H4445" s="10">
        <v>0.53800000000000003</v>
      </c>
      <c r="I4445" s="11">
        <v>6.6</v>
      </c>
    </row>
    <row r="4446" spans="1:9" x14ac:dyDescent="0.35">
      <c r="A4446" s="2" t="s">
        <v>400</v>
      </c>
      <c r="B4446" s="3">
        <v>45047</v>
      </c>
      <c r="C4446" s="2">
        <v>23</v>
      </c>
      <c r="D4446" s="2">
        <v>35404</v>
      </c>
      <c r="E4446" s="17">
        <v>75424.81</v>
      </c>
      <c r="F4446" s="11">
        <v>6.49</v>
      </c>
      <c r="G4446" s="9">
        <v>5538.7</v>
      </c>
      <c r="H4446" s="10">
        <v>0.435</v>
      </c>
      <c r="I4446" s="11">
        <v>7.2</v>
      </c>
    </row>
    <row r="4447" spans="1:9" x14ac:dyDescent="0.35">
      <c r="A4447" s="2" t="s">
        <v>400</v>
      </c>
      <c r="B4447" s="3">
        <v>45078</v>
      </c>
      <c r="C4447" s="2">
        <v>21</v>
      </c>
      <c r="D4447" s="2">
        <v>33302</v>
      </c>
      <c r="E4447" s="17">
        <v>77280.88</v>
      </c>
      <c r="F4447" s="11">
        <v>6.47</v>
      </c>
      <c r="G4447" s="9">
        <v>5291.2</v>
      </c>
      <c r="H4447" s="10">
        <v>0.33300000000000002</v>
      </c>
      <c r="I4447" s="11">
        <v>6.3</v>
      </c>
    </row>
    <row r="4448" spans="1:9" x14ac:dyDescent="0.35">
      <c r="A4448" s="2" t="s">
        <v>400</v>
      </c>
      <c r="B4448" s="3">
        <v>45108</v>
      </c>
      <c r="C4448" s="2">
        <v>19</v>
      </c>
      <c r="D4448" s="2">
        <v>25903</v>
      </c>
      <c r="E4448" s="17">
        <v>58003.65</v>
      </c>
      <c r="F4448" s="11">
        <v>6.33</v>
      </c>
      <c r="G4448" s="9">
        <v>4143.3999999999996</v>
      </c>
      <c r="H4448" s="10">
        <v>0.26300000000000001</v>
      </c>
      <c r="I4448" s="11">
        <v>7.7</v>
      </c>
    </row>
    <row r="4449" spans="1:9" x14ac:dyDescent="0.35">
      <c r="A4449" s="2" t="s">
        <v>400</v>
      </c>
      <c r="B4449" s="3">
        <v>45139</v>
      </c>
      <c r="C4449" s="2">
        <v>18</v>
      </c>
      <c r="D4449" s="2">
        <v>23997</v>
      </c>
      <c r="E4449" s="17">
        <v>52503.76</v>
      </c>
      <c r="F4449" s="11">
        <v>6.63</v>
      </c>
      <c r="G4449" s="9">
        <v>3652.5</v>
      </c>
      <c r="H4449" s="10">
        <v>0.55600000000000005</v>
      </c>
      <c r="I4449" s="11">
        <v>6.5</v>
      </c>
    </row>
    <row r="4450" spans="1:9" x14ac:dyDescent="0.35">
      <c r="A4450" s="2" t="s">
        <v>400</v>
      </c>
      <c r="B4450" s="3">
        <v>45170</v>
      </c>
      <c r="C4450" s="2">
        <v>21</v>
      </c>
      <c r="D4450" s="2">
        <v>24115</v>
      </c>
      <c r="E4450" s="17">
        <v>55329.37</v>
      </c>
      <c r="F4450" s="11">
        <v>6.44</v>
      </c>
      <c r="G4450" s="9">
        <v>3751.8</v>
      </c>
      <c r="H4450" s="10">
        <v>0.42899999999999999</v>
      </c>
      <c r="I4450" s="11">
        <v>6.6</v>
      </c>
    </row>
    <row r="4451" spans="1:9" x14ac:dyDescent="0.35">
      <c r="A4451" s="2" t="s">
        <v>400</v>
      </c>
      <c r="B4451" s="3">
        <v>45200</v>
      </c>
      <c r="C4451" s="2">
        <v>18</v>
      </c>
      <c r="D4451" s="2">
        <v>28504</v>
      </c>
      <c r="E4451" s="17">
        <v>62697.53</v>
      </c>
      <c r="F4451" s="11">
        <v>6.56</v>
      </c>
      <c r="G4451" s="9">
        <v>4278.8999999999996</v>
      </c>
      <c r="H4451" s="10">
        <v>0.61099999999999999</v>
      </c>
      <c r="I4451" s="11">
        <v>7.2</v>
      </c>
    </row>
    <row r="4452" spans="1:9" x14ac:dyDescent="0.35">
      <c r="A4452" s="2" t="s">
        <v>400</v>
      </c>
      <c r="B4452" s="3">
        <v>45231</v>
      </c>
      <c r="C4452" s="2">
        <v>18</v>
      </c>
      <c r="D4452" s="2">
        <v>31107</v>
      </c>
      <c r="E4452" s="17">
        <v>65357.49</v>
      </c>
      <c r="F4452" s="11">
        <v>6.37</v>
      </c>
      <c r="G4452" s="9">
        <v>4895.5</v>
      </c>
      <c r="H4452" s="10">
        <v>0.33300000000000002</v>
      </c>
      <c r="I4452" s="11">
        <v>7.1</v>
      </c>
    </row>
    <row r="4453" spans="1:9" x14ac:dyDescent="0.35">
      <c r="A4453" s="2" t="s">
        <v>400</v>
      </c>
      <c r="B4453" s="3">
        <v>45261</v>
      </c>
      <c r="C4453" s="2">
        <v>17</v>
      </c>
      <c r="D4453" s="2">
        <v>20773</v>
      </c>
      <c r="E4453" s="17">
        <v>45522.86</v>
      </c>
      <c r="F4453" s="11">
        <v>6.52</v>
      </c>
      <c r="G4453" s="9">
        <v>3153.4</v>
      </c>
      <c r="H4453" s="10">
        <v>0.41199999999999998</v>
      </c>
      <c r="I4453" s="11">
        <v>7.5</v>
      </c>
    </row>
    <row r="4454" spans="1:9" x14ac:dyDescent="0.35">
      <c r="A4454" s="2" t="s">
        <v>400</v>
      </c>
      <c r="B4454" s="3">
        <v>45292</v>
      </c>
      <c r="C4454" s="2">
        <v>22</v>
      </c>
      <c r="D4454" s="2">
        <v>31255</v>
      </c>
      <c r="E4454" s="17">
        <v>71849.58</v>
      </c>
      <c r="F4454" s="11">
        <v>6.37</v>
      </c>
      <c r="G4454" s="9">
        <v>4881.6000000000004</v>
      </c>
      <c r="H4454" s="10">
        <v>0.27300000000000002</v>
      </c>
      <c r="I4454" s="11">
        <v>7.3</v>
      </c>
    </row>
    <row r="4455" spans="1:9" x14ac:dyDescent="0.35">
      <c r="A4455" s="2" t="s">
        <v>400</v>
      </c>
      <c r="B4455" s="3">
        <v>45323</v>
      </c>
      <c r="C4455" s="2">
        <v>17</v>
      </c>
      <c r="D4455" s="2">
        <v>20400</v>
      </c>
      <c r="E4455" s="17">
        <v>43211.23</v>
      </c>
      <c r="F4455" s="11">
        <v>6.04</v>
      </c>
      <c r="G4455" s="9">
        <v>3367.2</v>
      </c>
      <c r="H4455" s="10">
        <v>0.52900000000000003</v>
      </c>
      <c r="I4455" s="11">
        <v>7.7</v>
      </c>
    </row>
    <row r="4456" spans="1:9" x14ac:dyDescent="0.35">
      <c r="A4456" s="2" t="s">
        <v>400</v>
      </c>
      <c r="B4456" s="3">
        <v>45352</v>
      </c>
      <c r="C4456" s="2">
        <v>20</v>
      </c>
      <c r="D4456" s="2">
        <v>25414</v>
      </c>
      <c r="E4456" s="17">
        <v>58562.59</v>
      </c>
      <c r="F4456" s="11">
        <v>6.28</v>
      </c>
      <c r="G4456" s="9">
        <v>4029.3</v>
      </c>
      <c r="H4456" s="10">
        <v>0.5</v>
      </c>
      <c r="I4456" s="11">
        <v>6</v>
      </c>
    </row>
    <row r="4457" spans="1:9" x14ac:dyDescent="0.35">
      <c r="A4457" s="2" t="s">
        <v>400</v>
      </c>
      <c r="B4457" s="3">
        <v>45383</v>
      </c>
      <c r="C4457" s="2">
        <v>17</v>
      </c>
      <c r="D4457" s="2">
        <v>26412</v>
      </c>
      <c r="E4457" s="17">
        <v>58272.78</v>
      </c>
      <c r="F4457" s="11">
        <v>6.58</v>
      </c>
      <c r="G4457" s="9">
        <v>4056.4</v>
      </c>
      <c r="H4457" s="10">
        <v>0.41199999999999998</v>
      </c>
      <c r="I4457" s="11">
        <v>8.4</v>
      </c>
    </row>
    <row r="4458" spans="1:9" x14ac:dyDescent="0.35">
      <c r="A4458" s="2" t="s">
        <v>400</v>
      </c>
      <c r="B4458" s="3">
        <v>45413</v>
      </c>
      <c r="C4458" s="2">
        <v>24</v>
      </c>
      <c r="D4458" s="2">
        <v>32777</v>
      </c>
      <c r="E4458" s="17">
        <v>70544.25</v>
      </c>
      <c r="F4458" s="11">
        <v>6.68</v>
      </c>
      <c r="G4458" s="9">
        <v>4874.8999999999996</v>
      </c>
      <c r="H4458" s="10">
        <v>0.45800000000000002</v>
      </c>
      <c r="I4458" s="11">
        <v>6.9</v>
      </c>
    </row>
    <row r="4459" spans="1:9" x14ac:dyDescent="0.35">
      <c r="A4459" s="2" t="s">
        <v>400</v>
      </c>
      <c r="B4459" s="3">
        <v>45444</v>
      </c>
      <c r="C4459" s="2">
        <v>19</v>
      </c>
      <c r="D4459" s="2">
        <v>26309</v>
      </c>
      <c r="E4459" s="17">
        <v>56655.79</v>
      </c>
      <c r="F4459" s="11">
        <v>6.89</v>
      </c>
      <c r="G4459" s="9">
        <v>3850.4</v>
      </c>
      <c r="H4459" s="10">
        <v>0.63200000000000001</v>
      </c>
      <c r="I4459" s="11">
        <v>7.5</v>
      </c>
    </row>
    <row r="4460" spans="1:9" x14ac:dyDescent="0.35">
      <c r="A4460" s="2" t="s">
        <v>400</v>
      </c>
      <c r="B4460" s="3">
        <v>45474</v>
      </c>
      <c r="C4460" s="2">
        <v>19</v>
      </c>
      <c r="D4460" s="2">
        <v>20232</v>
      </c>
      <c r="E4460" s="17">
        <v>41836.35</v>
      </c>
      <c r="F4460" s="11">
        <v>6.65</v>
      </c>
      <c r="G4460" s="9">
        <v>3094.3</v>
      </c>
      <c r="H4460" s="10">
        <v>0.26300000000000001</v>
      </c>
      <c r="I4460" s="11">
        <v>5.8</v>
      </c>
    </row>
    <row r="4461" spans="1:9" x14ac:dyDescent="0.35">
      <c r="A4461" s="2" t="s">
        <v>400</v>
      </c>
      <c r="B4461" s="3">
        <v>45505</v>
      </c>
      <c r="C4461" s="2">
        <v>22</v>
      </c>
      <c r="D4461" s="2">
        <v>33432</v>
      </c>
      <c r="E4461" s="17">
        <v>68220.59</v>
      </c>
      <c r="F4461" s="11">
        <v>6.56</v>
      </c>
      <c r="G4461" s="9">
        <v>5163.7</v>
      </c>
      <c r="H4461" s="10">
        <v>0.59099999999999997</v>
      </c>
      <c r="I4461" s="11">
        <v>7.4</v>
      </c>
    </row>
    <row r="4462" spans="1:9" x14ac:dyDescent="0.35">
      <c r="A4462" s="2" t="s">
        <v>400</v>
      </c>
      <c r="B4462" s="3">
        <v>45536</v>
      </c>
      <c r="C4462" s="2">
        <v>25</v>
      </c>
      <c r="D4462" s="2">
        <v>38537</v>
      </c>
      <c r="E4462" s="17">
        <v>73609.789999999994</v>
      </c>
      <c r="F4462" s="11">
        <v>6.34</v>
      </c>
      <c r="G4462" s="9">
        <v>6195.5</v>
      </c>
      <c r="H4462" s="10">
        <v>0.36</v>
      </c>
      <c r="I4462" s="11">
        <v>7</v>
      </c>
    </row>
    <row r="4463" spans="1:9" x14ac:dyDescent="0.35">
      <c r="A4463" s="2" t="s">
        <v>400</v>
      </c>
      <c r="B4463" s="3">
        <v>45566</v>
      </c>
      <c r="C4463" s="2">
        <v>27</v>
      </c>
      <c r="D4463" s="2">
        <v>38919</v>
      </c>
      <c r="E4463" s="17">
        <v>86802.35</v>
      </c>
      <c r="F4463" s="11">
        <v>6.53</v>
      </c>
      <c r="G4463" s="9">
        <v>6044.6</v>
      </c>
      <c r="H4463" s="10">
        <v>0.37</v>
      </c>
      <c r="I4463" s="11">
        <v>6.5</v>
      </c>
    </row>
    <row r="4464" spans="1:9" x14ac:dyDescent="0.35">
      <c r="A4464" s="2" t="s">
        <v>400</v>
      </c>
      <c r="B4464" s="3">
        <v>45597</v>
      </c>
      <c r="C4464" s="2">
        <v>19</v>
      </c>
      <c r="D4464" s="2">
        <v>24256</v>
      </c>
      <c r="E4464" s="17">
        <v>51483.57</v>
      </c>
      <c r="F4464" s="11">
        <v>6.63</v>
      </c>
      <c r="G4464" s="9">
        <v>3708.8</v>
      </c>
      <c r="H4464" s="10">
        <v>0.36799999999999999</v>
      </c>
      <c r="I4464" s="11">
        <v>6.2</v>
      </c>
    </row>
    <row r="4465" spans="1:9" x14ac:dyDescent="0.35">
      <c r="A4465" s="2" t="s">
        <v>400</v>
      </c>
      <c r="B4465" s="3">
        <v>45627</v>
      </c>
      <c r="C4465" s="2">
        <v>14</v>
      </c>
      <c r="D4465" s="2">
        <v>21484</v>
      </c>
      <c r="E4465" s="17">
        <v>45774.78</v>
      </c>
      <c r="F4465" s="11">
        <v>6.33</v>
      </c>
      <c r="G4465" s="9">
        <v>3420.9</v>
      </c>
      <c r="H4465" s="10">
        <v>0.42899999999999999</v>
      </c>
      <c r="I4465" s="11">
        <v>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A7F7-154B-4530-BAD0-FB95C6F3CAB9}">
  <dimension ref="A1:O171"/>
  <sheetViews>
    <sheetView workbookViewId="0">
      <selection activeCell="A3" sqref="A3"/>
    </sheetView>
  </sheetViews>
  <sheetFormatPr defaultRowHeight="14.5" x14ac:dyDescent="0.35"/>
  <cols>
    <col min="1" max="1" width="12.36328125" bestFit="1" customWidth="1"/>
    <col min="2" max="2" width="12.453125" bestFit="1" customWidth="1"/>
    <col min="3" max="3" width="10" bestFit="1" customWidth="1"/>
    <col min="4" max="4" width="10.54296875" bestFit="1" customWidth="1"/>
    <col min="5" max="5" width="15.54296875" bestFit="1" customWidth="1"/>
    <col min="6" max="6" width="18.08984375" bestFit="1" customWidth="1"/>
    <col min="7" max="7" width="13.7265625" bestFit="1" customWidth="1"/>
    <col min="8" max="8" width="15.1796875" bestFit="1" customWidth="1"/>
    <col min="9" max="9" width="13.7265625" bestFit="1" customWidth="1"/>
    <col min="10" max="10" width="11.90625" bestFit="1" customWidth="1"/>
    <col min="11" max="11" width="21.08984375" style="14" bestFit="1" customWidth="1"/>
    <col min="12" max="12" width="19.90625" style="15" bestFit="1" customWidth="1"/>
    <col min="13" max="13" width="15.1796875" bestFit="1" customWidth="1"/>
    <col min="14" max="14" width="17.26953125" bestFit="1" customWidth="1"/>
    <col min="15" max="15" width="34.90625" bestFit="1" customWidth="1"/>
  </cols>
  <sheetData>
    <row r="1" spans="1:15" x14ac:dyDescent="0.35">
      <c r="A1" t="s">
        <v>410</v>
      </c>
      <c r="B1" t="s">
        <v>411</v>
      </c>
      <c r="C1" t="s">
        <v>412</v>
      </c>
      <c r="D1" t="s">
        <v>0</v>
      </c>
      <c r="E1" t="s">
        <v>413</v>
      </c>
      <c r="F1" t="s">
        <v>414</v>
      </c>
      <c r="G1" t="s">
        <v>415</v>
      </c>
      <c r="H1" t="s">
        <v>416</v>
      </c>
      <c r="I1" t="s">
        <v>417</v>
      </c>
      <c r="J1" t="s">
        <v>418</v>
      </c>
      <c r="K1" s="14" t="s">
        <v>419</v>
      </c>
      <c r="L1" s="15" t="s">
        <v>420</v>
      </c>
      <c r="M1" t="s">
        <v>421</v>
      </c>
      <c r="N1" t="s">
        <v>422</v>
      </c>
      <c r="O1" t="s">
        <v>423</v>
      </c>
    </row>
    <row r="2" spans="1:15" x14ac:dyDescent="0.35">
      <c r="A2" s="2" t="s">
        <v>424</v>
      </c>
      <c r="B2" s="2" t="s">
        <v>425</v>
      </c>
      <c r="C2" s="2" t="s">
        <v>426</v>
      </c>
      <c r="D2" s="2" t="s">
        <v>41</v>
      </c>
      <c r="E2" s="4">
        <v>45025.583333333336</v>
      </c>
      <c r="F2" s="2" t="s">
        <v>427</v>
      </c>
      <c r="G2" s="2" t="s">
        <v>25</v>
      </c>
      <c r="H2" s="2" t="s">
        <v>49</v>
      </c>
      <c r="I2" s="2" t="b">
        <v>1</v>
      </c>
      <c r="J2" s="2" t="b">
        <v>0</v>
      </c>
      <c r="K2" s="7">
        <v>12629.26</v>
      </c>
      <c r="L2" s="16">
        <v>0</v>
      </c>
      <c r="M2" s="2">
        <v>12629.26</v>
      </c>
      <c r="N2" s="2" t="b">
        <v>1</v>
      </c>
      <c r="O2" s="2" t="s">
        <v>428</v>
      </c>
    </row>
    <row r="3" spans="1:15" x14ac:dyDescent="0.35">
      <c r="A3" s="2" t="s">
        <v>429</v>
      </c>
      <c r="B3" s="2" t="s">
        <v>430</v>
      </c>
      <c r="C3" s="2" t="s">
        <v>431</v>
      </c>
      <c r="D3" s="2" t="s">
        <v>41</v>
      </c>
      <c r="E3" s="4">
        <v>44976.458333333336</v>
      </c>
      <c r="F3" s="2" t="s">
        <v>427</v>
      </c>
      <c r="G3" s="2" t="s">
        <v>25</v>
      </c>
      <c r="H3" s="2" t="s">
        <v>29</v>
      </c>
      <c r="I3" s="2" t="b">
        <v>0</v>
      </c>
      <c r="J3" s="2" t="b">
        <v>0</v>
      </c>
      <c r="K3" s="7">
        <v>2700.7</v>
      </c>
      <c r="L3" s="16">
        <v>14284.24</v>
      </c>
      <c r="M3" s="2">
        <v>16984.939999999999</v>
      </c>
      <c r="N3" s="2" t="b">
        <v>0</v>
      </c>
      <c r="O3" s="2" t="s">
        <v>432</v>
      </c>
    </row>
    <row r="4" spans="1:15" x14ac:dyDescent="0.35">
      <c r="A4" s="2" t="s">
        <v>433</v>
      </c>
      <c r="B4" s="2" t="s">
        <v>434</v>
      </c>
      <c r="C4" s="2" t="s">
        <v>435</v>
      </c>
      <c r="D4" s="2" t="s">
        <v>337</v>
      </c>
      <c r="E4" s="4">
        <v>45432.041666666664</v>
      </c>
      <c r="F4" s="2" t="s">
        <v>436</v>
      </c>
      <c r="G4" s="2" t="s">
        <v>105</v>
      </c>
      <c r="H4" s="2" t="s">
        <v>112</v>
      </c>
      <c r="I4" s="2" t="b">
        <v>1</v>
      </c>
      <c r="J4" s="2" t="b">
        <v>0</v>
      </c>
      <c r="K4" s="7">
        <v>24302.32</v>
      </c>
      <c r="L4" s="16">
        <v>0</v>
      </c>
      <c r="M4" s="2">
        <v>24302.32</v>
      </c>
      <c r="N4" s="2" t="b">
        <v>1</v>
      </c>
      <c r="O4" s="2" t="s">
        <v>437</v>
      </c>
    </row>
    <row r="5" spans="1:15" x14ac:dyDescent="0.35">
      <c r="A5" s="2" t="s">
        <v>438</v>
      </c>
      <c r="B5" s="2" t="s">
        <v>439</v>
      </c>
      <c r="C5" s="2" t="s">
        <v>440</v>
      </c>
      <c r="D5" s="2" t="s">
        <v>368</v>
      </c>
      <c r="E5" s="4">
        <v>45195.125</v>
      </c>
      <c r="F5" s="2" t="s">
        <v>441</v>
      </c>
      <c r="G5" s="2" t="s">
        <v>92</v>
      </c>
      <c r="H5" s="2" t="s">
        <v>166</v>
      </c>
      <c r="I5" s="2" t="b">
        <v>1</v>
      </c>
      <c r="J5" s="2" t="b">
        <v>0</v>
      </c>
      <c r="K5" s="7">
        <v>4879.13</v>
      </c>
      <c r="L5" s="16">
        <v>0</v>
      </c>
      <c r="M5" s="2">
        <v>4879.13</v>
      </c>
      <c r="N5" s="2" t="b">
        <v>1</v>
      </c>
      <c r="O5" s="2" t="s">
        <v>442</v>
      </c>
    </row>
    <row r="6" spans="1:15" x14ac:dyDescent="0.35">
      <c r="A6" s="2" t="s">
        <v>443</v>
      </c>
      <c r="B6" s="2" t="s">
        <v>444</v>
      </c>
      <c r="C6" s="2" t="s">
        <v>445</v>
      </c>
      <c r="D6" s="2" t="s">
        <v>366</v>
      </c>
      <c r="E6" s="4">
        <v>45371.583333333336</v>
      </c>
      <c r="F6" s="2" t="s">
        <v>446</v>
      </c>
      <c r="G6" s="2" t="s">
        <v>206</v>
      </c>
      <c r="H6" s="2" t="s">
        <v>96</v>
      </c>
      <c r="I6" s="2" t="b">
        <v>0</v>
      </c>
      <c r="J6" s="2" t="b">
        <v>0</v>
      </c>
      <c r="K6" s="7">
        <v>14951.4</v>
      </c>
      <c r="L6" s="16">
        <v>0</v>
      </c>
      <c r="M6" s="2">
        <v>14951.4</v>
      </c>
      <c r="N6" s="2" t="b">
        <v>0</v>
      </c>
      <c r="O6" s="2" t="s">
        <v>447</v>
      </c>
    </row>
    <row r="7" spans="1:15" x14ac:dyDescent="0.35">
      <c r="A7" s="2" t="s">
        <v>448</v>
      </c>
      <c r="B7" s="2" t="s">
        <v>449</v>
      </c>
      <c r="C7" s="2" t="s">
        <v>450</v>
      </c>
      <c r="D7" s="2" t="s">
        <v>35</v>
      </c>
      <c r="E7" s="4">
        <v>44619.75</v>
      </c>
      <c r="F7" s="2" t="s">
        <v>441</v>
      </c>
      <c r="G7" s="2" t="s">
        <v>203</v>
      </c>
      <c r="H7" s="2" t="s">
        <v>55</v>
      </c>
      <c r="I7" s="2" t="b">
        <v>0</v>
      </c>
      <c r="J7" s="2" t="b">
        <v>1</v>
      </c>
      <c r="K7" s="7">
        <v>0</v>
      </c>
      <c r="L7" s="16">
        <v>0</v>
      </c>
      <c r="M7" s="2">
        <v>0</v>
      </c>
      <c r="N7" s="2" t="b">
        <v>0</v>
      </c>
      <c r="O7" s="2" t="s">
        <v>451</v>
      </c>
    </row>
    <row r="8" spans="1:15" x14ac:dyDescent="0.35">
      <c r="A8" s="2" t="s">
        <v>452</v>
      </c>
      <c r="B8" s="2" t="s">
        <v>453</v>
      </c>
      <c r="C8" s="2" t="s">
        <v>450</v>
      </c>
      <c r="D8" s="2" t="s">
        <v>317</v>
      </c>
      <c r="E8" s="4">
        <v>44725.083333333336</v>
      </c>
      <c r="F8" s="2" t="s">
        <v>446</v>
      </c>
      <c r="G8" s="2" t="s">
        <v>45</v>
      </c>
      <c r="H8" s="2" t="s">
        <v>104</v>
      </c>
      <c r="I8" s="2" t="b">
        <v>1</v>
      </c>
      <c r="J8" s="2" t="b">
        <v>0</v>
      </c>
      <c r="K8" s="7">
        <v>12589.05</v>
      </c>
      <c r="L8" s="16">
        <v>28315.16</v>
      </c>
      <c r="M8" s="2">
        <v>40904.21</v>
      </c>
      <c r="N8" s="2" t="b">
        <v>1</v>
      </c>
      <c r="O8" s="2" t="s">
        <v>454</v>
      </c>
    </row>
    <row r="9" spans="1:15" x14ac:dyDescent="0.35">
      <c r="A9" s="2" t="s">
        <v>455</v>
      </c>
      <c r="B9" s="2" t="s">
        <v>456</v>
      </c>
      <c r="C9" s="2" t="s">
        <v>457</v>
      </c>
      <c r="D9" s="2" t="s">
        <v>213</v>
      </c>
      <c r="E9" s="4">
        <v>45490.833333333336</v>
      </c>
      <c r="F9" s="2" t="s">
        <v>458</v>
      </c>
      <c r="G9" s="2" t="s">
        <v>167</v>
      </c>
      <c r="H9" s="2" t="s">
        <v>104</v>
      </c>
      <c r="I9" s="2" t="b">
        <v>0</v>
      </c>
      <c r="J9" s="2" t="b">
        <v>0</v>
      </c>
      <c r="K9" s="7">
        <v>15572.01</v>
      </c>
      <c r="L9" s="16">
        <v>0</v>
      </c>
      <c r="M9" s="2">
        <v>15572.01</v>
      </c>
      <c r="N9" s="2" t="b">
        <v>0</v>
      </c>
      <c r="O9" s="2" t="s">
        <v>442</v>
      </c>
    </row>
    <row r="10" spans="1:15" x14ac:dyDescent="0.35">
      <c r="A10" s="2" t="s">
        <v>459</v>
      </c>
      <c r="B10" s="2" t="s">
        <v>460</v>
      </c>
      <c r="C10" s="2" t="s">
        <v>461</v>
      </c>
      <c r="D10" s="2" t="s">
        <v>26</v>
      </c>
      <c r="E10" s="4">
        <v>45115.083333333336</v>
      </c>
      <c r="F10" s="2" t="s">
        <v>436</v>
      </c>
      <c r="G10" s="2" t="s">
        <v>203</v>
      </c>
      <c r="H10" s="2" t="s">
        <v>104</v>
      </c>
      <c r="I10" s="2" t="b">
        <v>0</v>
      </c>
      <c r="J10" s="2" t="b">
        <v>1</v>
      </c>
      <c r="K10" s="7">
        <v>22283.17</v>
      </c>
      <c r="L10" s="16">
        <v>379.1</v>
      </c>
      <c r="M10" s="2">
        <v>22662.27</v>
      </c>
      <c r="N10" s="2" t="b">
        <v>0</v>
      </c>
      <c r="O10" s="2" t="s">
        <v>454</v>
      </c>
    </row>
    <row r="11" spans="1:15" x14ac:dyDescent="0.35">
      <c r="A11" s="2" t="s">
        <v>462</v>
      </c>
      <c r="B11" s="2" t="s">
        <v>463</v>
      </c>
      <c r="C11" s="2" t="s">
        <v>464</v>
      </c>
      <c r="D11" s="2" t="s">
        <v>364</v>
      </c>
      <c r="E11" s="4">
        <v>45446.166666666664</v>
      </c>
      <c r="F11" s="2" t="s">
        <v>441</v>
      </c>
      <c r="G11" s="2" t="s">
        <v>250</v>
      </c>
      <c r="H11" s="2" t="s">
        <v>49</v>
      </c>
      <c r="I11" s="2" t="b">
        <v>0</v>
      </c>
      <c r="J11" s="2" t="b">
        <v>0</v>
      </c>
      <c r="K11" s="7">
        <v>0</v>
      </c>
      <c r="L11" s="16">
        <v>33901.9</v>
      </c>
      <c r="M11" s="2">
        <v>33901.9</v>
      </c>
      <c r="N11" s="2" t="b">
        <v>0</v>
      </c>
      <c r="O11" s="2" t="s">
        <v>428</v>
      </c>
    </row>
    <row r="12" spans="1:15" x14ac:dyDescent="0.35">
      <c r="A12" s="2" t="s">
        <v>465</v>
      </c>
      <c r="B12" s="2" t="s">
        <v>466</v>
      </c>
      <c r="C12" s="2" t="s">
        <v>450</v>
      </c>
      <c r="D12" s="2" t="s">
        <v>164</v>
      </c>
      <c r="E12" s="4">
        <v>44852.083333333336</v>
      </c>
      <c r="F12" s="2" t="s">
        <v>441</v>
      </c>
      <c r="G12" s="2" t="s">
        <v>273</v>
      </c>
      <c r="H12" s="2" t="s">
        <v>126</v>
      </c>
      <c r="I12" s="2" t="b">
        <v>1</v>
      </c>
      <c r="J12" s="2" t="b">
        <v>0</v>
      </c>
      <c r="K12" s="7">
        <v>18252.77</v>
      </c>
      <c r="L12" s="16">
        <v>0</v>
      </c>
      <c r="M12" s="2">
        <v>18252.77</v>
      </c>
      <c r="N12" s="2" t="b">
        <v>1</v>
      </c>
      <c r="O12" s="2" t="s">
        <v>432</v>
      </c>
    </row>
    <row r="13" spans="1:15" x14ac:dyDescent="0.35">
      <c r="A13" s="2" t="s">
        <v>467</v>
      </c>
      <c r="B13" s="2" t="s">
        <v>468</v>
      </c>
      <c r="C13" s="2" t="s">
        <v>450</v>
      </c>
      <c r="D13" s="2" t="s">
        <v>394</v>
      </c>
      <c r="E13" s="4">
        <v>45185.125</v>
      </c>
      <c r="F13" s="2" t="s">
        <v>436</v>
      </c>
      <c r="G13" s="2" t="s">
        <v>127</v>
      </c>
      <c r="H13" s="2" t="s">
        <v>39</v>
      </c>
      <c r="I13" s="2" t="b">
        <v>0</v>
      </c>
      <c r="J13" s="2" t="b">
        <v>0</v>
      </c>
      <c r="K13" s="7">
        <v>0</v>
      </c>
      <c r="L13" s="16">
        <v>0</v>
      </c>
      <c r="M13" s="2">
        <v>0</v>
      </c>
      <c r="N13" s="2" t="b">
        <v>1</v>
      </c>
      <c r="O13" s="2" t="s">
        <v>428</v>
      </c>
    </row>
    <row r="14" spans="1:15" x14ac:dyDescent="0.35">
      <c r="A14" s="2" t="s">
        <v>469</v>
      </c>
      <c r="B14" s="2" t="s">
        <v>470</v>
      </c>
      <c r="C14" s="2" t="s">
        <v>471</v>
      </c>
      <c r="D14" s="2" t="s">
        <v>307</v>
      </c>
      <c r="E14" s="4">
        <v>45276.75</v>
      </c>
      <c r="F14" s="2" t="s">
        <v>436</v>
      </c>
      <c r="G14" s="2" t="s">
        <v>209</v>
      </c>
      <c r="H14" s="2" t="s">
        <v>104</v>
      </c>
      <c r="I14" s="2" t="b">
        <v>0</v>
      </c>
      <c r="J14" s="2" t="b">
        <v>1</v>
      </c>
      <c r="K14" s="7">
        <v>0</v>
      </c>
      <c r="L14" s="16">
        <v>0</v>
      </c>
      <c r="M14" s="2">
        <v>0</v>
      </c>
      <c r="N14" s="2" t="b">
        <v>1</v>
      </c>
      <c r="O14" s="2" t="s">
        <v>442</v>
      </c>
    </row>
    <row r="15" spans="1:15" x14ac:dyDescent="0.35">
      <c r="A15" s="2" t="s">
        <v>472</v>
      </c>
      <c r="B15" s="2" t="s">
        <v>473</v>
      </c>
      <c r="C15" s="2" t="s">
        <v>474</v>
      </c>
      <c r="D15" s="2" t="s">
        <v>325</v>
      </c>
      <c r="E15" s="4">
        <v>45148.708333333336</v>
      </c>
      <c r="F15" s="2" t="s">
        <v>446</v>
      </c>
      <c r="G15" s="2" t="s">
        <v>45</v>
      </c>
      <c r="H15" s="2" t="s">
        <v>166</v>
      </c>
      <c r="I15" s="2" t="b">
        <v>0</v>
      </c>
      <c r="J15" s="2" t="b">
        <v>0</v>
      </c>
      <c r="K15" s="7">
        <v>0</v>
      </c>
      <c r="L15" s="16">
        <v>0</v>
      </c>
      <c r="M15" s="2">
        <v>0</v>
      </c>
      <c r="N15" s="2" t="b">
        <v>0</v>
      </c>
      <c r="O15" s="2" t="s">
        <v>451</v>
      </c>
    </row>
    <row r="16" spans="1:15" x14ac:dyDescent="0.35">
      <c r="A16" s="2" t="s">
        <v>475</v>
      </c>
      <c r="B16" s="2" t="s">
        <v>476</v>
      </c>
      <c r="C16" s="2" t="s">
        <v>477</v>
      </c>
      <c r="D16" s="2" t="s">
        <v>207</v>
      </c>
      <c r="E16" s="4">
        <v>45115.083333333336</v>
      </c>
      <c r="F16" s="2" t="s">
        <v>458</v>
      </c>
      <c r="G16" s="2" t="s">
        <v>97</v>
      </c>
      <c r="H16" s="2" t="s">
        <v>166</v>
      </c>
      <c r="I16" s="2" t="b">
        <v>0</v>
      </c>
      <c r="J16" s="2" t="b">
        <v>0</v>
      </c>
      <c r="K16" s="7">
        <v>4497.67</v>
      </c>
      <c r="L16" s="16">
        <v>0</v>
      </c>
      <c r="M16" s="2">
        <v>4497.67</v>
      </c>
      <c r="N16" s="2" t="b">
        <v>1</v>
      </c>
      <c r="O16" s="2" t="s">
        <v>454</v>
      </c>
    </row>
    <row r="17" spans="1:15" x14ac:dyDescent="0.35">
      <c r="A17" s="2" t="s">
        <v>478</v>
      </c>
      <c r="B17" s="2" t="s">
        <v>479</v>
      </c>
      <c r="C17" s="2" t="s">
        <v>480</v>
      </c>
      <c r="D17" s="2" t="s">
        <v>253</v>
      </c>
      <c r="E17" s="4">
        <v>44992.125</v>
      </c>
      <c r="F17" s="2" t="s">
        <v>446</v>
      </c>
      <c r="G17" s="2" t="s">
        <v>40</v>
      </c>
      <c r="H17" s="2" t="s">
        <v>39</v>
      </c>
      <c r="I17" s="2" t="b">
        <v>1</v>
      </c>
      <c r="J17" s="2" t="b">
        <v>0</v>
      </c>
      <c r="K17" s="7">
        <v>3082.44</v>
      </c>
      <c r="L17" s="16">
        <v>0</v>
      </c>
      <c r="M17" s="2">
        <v>3082.44</v>
      </c>
      <c r="N17" s="2" t="b">
        <v>0</v>
      </c>
      <c r="O17" s="2" t="s">
        <v>481</v>
      </c>
    </row>
    <row r="18" spans="1:15" x14ac:dyDescent="0.35">
      <c r="A18" s="2" t="s">
        <v>482</v>
      </c>
      <c r="B18" s="2" t="s">
        <v>483</v>
      </c>
      <c r="C18" s="2" t="s">
        <v>450</v>
      </c>
      <c r="D18" s="2" t="s">
        <v>303</v>
      </c>
      <c r="E18" s="4">
        <v>45570.166666666664</v>
      </c>
      <c r="F18" s="2" t="s">
        <v>436</v>
      </c>
      <c r="G18" s="2" t="s">
        <v>30</v>
      </c>
      <c r="H18" s="2" t="s">
        <v>278</v>
      </c>
      <c r="I18" s="2" t="b">
        <v>0</v>
      </c>
      <c r="J18" s="2" t="b">
        <v>1</v>
      </c>
      <c r="K18" s="7">
        <v>0</v>
      </c>
      <c r="L18" s="16">
        <v>0</v>
      </c>
      <c r="M18" s="2">
        <v>0</v>
      </c>
      <c r="N18" s="2" t="b">
        <v>1</v>
      </c>
      <c r="O18" s="2" t="s">
        <v>428</v>
      </c>
    </row>
    <row r="19" spans="1:15" x14ac:dyDescent="0.35">
      <c r="A19" s="2" t="s">
        <v>484</v>
      </c>
      <c r="B19" s="2" t="s">
        <v>485</v>
      </c>
      <c r="C19" s="2" t="s">
        <v>486</v>
      </c>
      <c r="D19" s="2" t="s">
        <v>364</v>
      </c>
      <c r="E19" s="4">
        <v>45226.541666666664</v>
      </c>
      <c r="F19" s="2" t="s">
        <v>446</v>
      </c>
      <c r="G19" s="2" t="s">
        <v>50</v>
      </c>
      <c r="H19" s="2" t="s">
        <v>80</v>
      </c>
      <c r="I19" s="2" t="b">
        <v>0</v>
      </c>
      <c r="J19" s="2" t="b">
        <v>1</v>
      </c>
      <c r="K19" s="7">
        <v>9695.9500000000007</v>
      </c>
      <c r="L19" s="16">
        <v>0</v>
      </c>
      <c r="M19" s="2">
        <v>9695.9500000000007</v>
      </c>
      <c r="N19" s="2" t="b">
        <v>1</v>
      </c>
      <c r="O19" s="2" t="s">
        <v>432</v>
      </c>
    </row>
    <row r="20" spans="1:15" x14ac:dyDescent="0.35">
      <c r="A20" s="2" t="s">
        <v>487</v>
      </c>
      <c r="B20" s="2" t="s">
        <v>488</v>
      </c>
      <c r="C20" s="2" t="s">
        <v>489</v>
      </c>
      <c r="D20" s="2" t="s">
        <v>337</v>
      </c>
      <c r="E20" s="4">
        <v>45387.375</v>
      </c>
      <c r="F20" s="2" t="s">
        <v>458</v>
      </c>
      <c r="G20" s="2" t="s">
        <v>50</v>
      </c>
      <c r="H20" s="2" t="s">
        <v>166</v>
      </c>
      <c r="I20" s="2" t="b">
        <v>0</v>
      </c>
      <c r="J20" s="2" t="b">
        <v>0</v>
      </c>
      <c r="K20" s="7">
        <v>5672.35</v>
      </c>
      <c r="L20" s="16">
        <v>0</v>
      </c>
      <c r="M20" s="2">
        <v>5672.35</v>
      </c>
      <c r="N20" s="2" t="b">
        <v>1</v>
      </c>
      <c r="O20" s="2" t="s">
        <v>490</v>
      </c>
    </row>
    <row r="21" spans="1:15" x14ac:dyDescent="0.35">
      <c r="A21" s="2" t="s">
        <v>491</v>
      </c>
      <c r="B21" s="2" t="s">
        <v>492</v>
      </c>
      <c r="C21" s="2" t="s">
        <v>493</v>
      </c>
      <c r="D21" s="2" t="s">
        <v>343</v>
      </c>
      <c r="E21" s="4">
        <v>44631.375</v>
      </c>
      <c r="F21" s="2" t="s">
        <v>458</v>
      </c>
      <c r="G21" s="2" t="s">
        <v>273</v>
      </c>
      <c r="H21" s="2" t="s">
        <v>80</v>
      </c>
      <c r="I21" s="2" t="b">
        <v>0</v>
      </c>
      <c r="J21" s="2" t="b">
        <v>0</v>
      </c>
      <c r="K21" s="7">
        <v>12824.5</v>
      </c>
      <c r="L21" s="16">
        <v>0</v>
      </c>
      <c r="M21" s="2">
        <v>12824.5</v>
      </c>
      <c r="N21" s="2" t="b">
        <v>0</v>
      </c>
      <c r="O21" s="2" t="s">
        <v>481</v>
      </c>
    </row>
    <row r="22" spans="1:15" x14ac:dyDescent="0.35">
      <c r="A22" s="2" t="s">
        <v>494</v>
      </c>
      <c r="B22" s="2" t="s">
        <v>495</v>
      </c>
      <c r="C22" s="2" t="s">
        <v>496</v>
      </c>
      <c r="D22" s="2" t="s">
        <v>226</v>
      </c>
      <c r="E22" s="4">
        <v>44932.166666666664</v>
      </c>
      <c r="F22" s="2" t="s">
        <v>427</v>
      </c>
      <c r="G22" s="2" t="s">
        <v>45</v>
      </c>
      <c r="H22" s="2" t="s">
        <v>39</v>
      </c>
      <c r="I22" s="2" t="b">
        <v>0</v>
      </c>
      <c r="J22" s="2" t="b">
        <v>0</v>
      </c>
      <c r="K22" s="7">
        <v>0</v>
      </c>
      <c r="L22" s="16">
        <v>0</v>
      </c>
      <c r="M22" s="2">
        <v>0</v>
      </c>
      <c r="N22" s="2" t="b">
        <v>1</v>
      </c>
      <c r="O22" s="2" t="s">
        <v>447</v>
      </c>
    </row>
    <row r="23" spans="1:15" x14ac:dyDescent="0.35">
      <c r="A23" s="2" t="s">
        <v>497</v>
      </c>
      <c r="B23" s="2" t="s">
        <v>498</v>
      </c>
      <c r="C23" s="2" t="s">
        <v>499</v>
      </c>
      <c r="D23" s="2" t="s">
        <v>207</v>
      </c>
      <c r="E23" s="4">
        <v>44946.166666666664</v>
      </c>
      <c r="F23" s="2" t="s">
        <v>458</v>
      </c>
      <c r="G23" s="2" t="s">
        <v>109</v>
      </c>
      <c r="H23" s="2" t="s">
        <v>278</v>
      </c>
      <c r="I23" s="2" t="b">
        <v>0</v>
      </c>
      <c r="J23" s="2" t="b">
        <v>0</v>
      </c>
      <c r="K23" s="7">
        <v>19400.810000000001</v>
      </c>
      <c r="L23" s="16">
        <v>0</v>
      </c>
      <c r="M23" s="2">
        <v>19400.810000000001</v>
      </c>
      <c r="N23" s="2" t="b">
        <v>1</v>
      </c>
      <c r="O23" s="2" t="s">
        <v>437</v>
      </c>
    </row>
    <row r="24" spans="1:15" x14ac:dyDescent="0.35">
      <c r="A24" s="2" t="s">
        <v>500</v>
      </c>
      <c r="B24" s="2" t="s">
        <v>501</v>
      </c>
      <c r="C24" s="2" t="s">
        <v>502</v>
      </c>
      <c r="D24" s="2" t="s">
        <v>217</v>
      </c>
      <c r="E24" s="4">
        <v>44645.5</v>
      </c>
      <c r="F24" s="2" t="s">
        <v>458</v>
      </c>
      <c r="G24" s="2" t="s">
        <v>250</v>
      </c>
      <c r="H24" s="2" t="s">
        <v>88</v>
      </c>
      <c r="I24" s="2" t="b">
        <v>0</v>
      </c>
      <c r="J24" s="2" t="b">
        <v>0</v>
      </c>
      <c r="K24" s="7">
        <v>3931.12</v>
      </c>
      <c r="L24" s="16">
        <v>40113.96</v>
      </c>
      <c r="M24" s="2">
        <v>44045.08</v>
      </c>
      <c r="N24" s="2" t="b">
        <v>0</v>
      </c>
      <c r="O24" s="2" t="s">
        <v>503</v>
      </c>
    </row>
    <row r="25" spans="1:15" x14ac:dyDescent="0.35">
      <c r="A25" s="2" t="s">
        <v>504</v>
      </c>
      <c r="B25" s="2" t="s">
        <v>505</v>
      </c>
      <c r="C25" s="2" t="s">
        <v>506</v>
      </c>
      <c r="D25" s="2" t="s">
        <v>204</v>
      </c>
      <c r="E25" s="4">
        <v>44772.5</v>
      </c>
      <c r="F25" s="2" t="s">
        <v>436</v>
      </c>
      <c r="G25" s="2" t="s">
        <v>219</v>
      </c>
      <c r="H25" s="2" t="s">
        <v>49</v>
      </c>
      <c r="I25" s="2" t="b">
        <v>0</v>
      </c>
      <c r="J25" s="2" t="b">
        <v>0</v>
      </c>
      <c r="K25" s="7">
        <v>2870.01</v>
      </c>
      <c r="L25" s="16">
        <v>0</v>
      </c>
      <c r="M25" s="2">
        <v>2870.01</v>
      </c>
      <c r="N25" s="2" t="b">
        <v>0</v>
      </c>
      <c r="O25" s="2" t="s">
        <v>454</v>
      </c>
    </row>
    <row r="26" spans="1:15" x14ac:dyDescent="0.35">
      <c r="A26" s="2" t="s">
        <v>507</v>
      </c>
      <c r="B26" s="2" t="s">
        <v>508</v>
      </c>
      <c r="C26" s="2" t="s">
        <v>509</v>
      </c>
      <c r="D26" s="2" t="s">
        <v>20</v>
      </c>
      <c r="E26" s="4">
        <v>45511.416666666664</v>
      </c>
      <c r="F26" s="2" t="s">
        <v>441</v>
      </c>
      <c r="G26" s="2" t="s">
        <v>117</v>
      </c>
      <c r="H26" s="2" t="s">
        <v>49</v>
      </c>
      <c r="I26" s="2" t="b">
        <v>0</v>
      </c>
      <c r="J26" s="2" t="b">
        <v>1</v>
      </c>
      <c r="K26" s="7">
        <v>22117.89</v>
      </c>
      <c r="L26" s="16">
        <v>0</v>
      </c>
      <c r="M26" s="2">
        <v>22117.89</v>
      </c>
      <c r="N26" s="2" t="b">
        <v>0</v>
      </c>
      <c r="O26" s="2" t="s">
        <v>481</v>
      </c>
    </row>
    <row r="27" spans="1:15" x14ac:dyDescent="0.35">
      <c r="A27" s="2" t="s">
        <v>510</v>
      </c>
      <c r="B27" s="2" t="s">
        <v>511</v>
      </c>
      <c r="C27" s="2" t="s">
        <v>512</v>
      </c>
      <c r="D27" s="2" t="s">
        <v>157</v>
      </c>
      <c r="E27" s="4">
        <v>45390.25</v>
      </c>
      <c r="F27" s="2" t="s">
        <v>446</v>
      </c>
      <c r="G27" s="2" t="s">
        <v>61</v>
      </c>
      <c r="H27" s="2" t="s">
        <v>55</v>
      </c>
      <c r="I27" s="2" t="b">
        <v>1</v>
      </c>
      <c r="J27" s="2" t="b">
        <v>1</v>
      </c>
      <c r="K27" s="7">
        <v>18303.46</v>
      </c>
      <c r="L27" s="16">
        <v>0</v>
      </c>
      <c r="M27" s="2">
        <v>18303.46</v>
      </c>
      <c r="N27" s="2" t="b">
        <v>0</v>
      </c>
      <c r="O27" s="2" t="s">
        <v>437</v>
      </c>
    </row>
    <row r="28" spans="1:15" x14ac:dyDescent="0.35">
      <c r="A28" s="2" t="s">
        <v>513</v>
      </c>
      <c r="B28" s="2" t="s">
        <v>514</v>
      </c>
      <c r="C28" s="2" t="s">
        <v>515</v>
      </c>
      <c r="D28" s="2" t="s">
        <v>307</v>
      </c>
      <c r="E28" s="4">
        <v>44724.416666666664</v>
      </c>
      <c r="F28" s="2" t="s">
        <v>436</v>
      </c>
      <c r="G28" s="2" t="s">
        <v>167</v>
      </c>
      <c r="H28" s="2" t="s">
        <v>24</v>
      </c>
      <c r="I28" s="2" t="b">
        <v>1</v>
      </c>
      <c r="J28" s="2" t="b">
        <v>0</v>
      </c>
      <c r="K28" s="7">
        <v>13379.62</v>
      </c>
      <c r="L28" s="16">
        <v>2259.73</v>
      </c>
      <c r="M28" s="2">
        <v>15639.35</v>
      </c>
      <c r="N28" s="2" t="b">
        <v>1</v>
      </c>
      <c r="O28" s="2" t="s">
        <v>503</v>
      </c>
    </row>
    <row r="29" spans="1:15" x14ac:dyDescent="0.35">
      <c r="A29" s="2" t="s">
        <v>516</v>
      </c>
      <c r="B29" s="2" t="s">
        <v>517</v>
      </c>
      <c r="C29" s="2" t="s">
        <v>518</v>
      </c>
      <c r="D29" s="2" t="s">
        <v>31</v>
      </c>
      <c r="E29" s="4">
        <v>45578.666666666664</v>
      </c>
      <c r="F29" s="2" t="s">
        <v>436</v>
      </c>
      <c r="G29" s="2" t="s">
        <v>45</v>
      </c>
      <c r="H29" s="2" t="s">
        <v>74</v>
      </c>
      <c r="I29" s="2" t="b">
        <v>0</v>
      </c>
      <c r="J29" s="2" t="b">
        <v>0</v>
      </c>
      <c r="K29" s="7">
        <v>10006.92</v>
      </c>
      <c r="L29" s="16">
        <v>0</v>
      </c>
      <c r="M29" s="2">
        <v>10006.92</v>
      </c>
      <c r="N29" s="2" t="b">
        <v>0</v>
      </c>
      <c r="O29" s="2" t="s">
        <v>447</v>
      </c>
    </row>
    <row r="30" spans="1:15" x14ac:dyDescent="0.35">
      <c r="A30" s="2" t="s">
        <v>519</v>
      </c>
      <c r="B30" s="2" t="s">
        <v>520</v>
      </c>
      <c r="C30" s="2" t="s">
        <v>486</v>
      </c>
      <c r="D30" s="2" t="s">
        <v>93</v>
      </c>
      <c r="E30" s="4">
        <v>44816.125</v>
      </c>
      <c r="F30" s="2" t="s">
        <v>441</v>
      </c>
      <c r="G30" s="2" t="s">
        <v>61</v>
      </c>
      <c r="H30" s="2" t="s">
        <v>60</v>
      </c>
      <c r="I30" s="2" t="b">
        <v>0</v>
      </c>
      <c r="J30" s="2" t="b">
        <v>1</v>
      </c>
      <c r="K30" s="7">
        <v>6121.59</v>
      </c>
      <c r="L30" s="16">
        <v>24601.040000000001</v>
      </c>
      <c r="M30" s="2">
        <v>30722.63</v>
      </c>
      <c r="N30" s="2" t="b">
        <v>0</v>
      </c>
      <c r="O30" s="2" t="s">
        <v>521</v>
      </c>
    </row>
    <row r="31" spans="1:15" x14ac:dyDescent="0.35">
      <c r="A31" s="2" t="s">
        <v>522</v>
      </c>
      <c r="B31" s="2" t="s">
        <v>523</v>
      </c>
      <c r="C31" s="2" t="s">
        <v>524</v>
      </c>
      <c r="D31" s="2" t="s">
        <v>175</v>
      </c>
      <c r="E31" s="4">
        <v>44985.125</v>
      </c>
      <c r="F31" s="2" t="s">
        <v>436</v>
      </c>
      <c r="G31" s="2" t="s">
        <v>70</v>
      </c>
      <c r="H31" s="2" t="s">
        <v>166</v>
      </c>
      <c r="I31" s="2" t="b">
        <v>0</v>
      </c>
      <c r="J31" s="2" t="b">
        <v>0</v>
      </c>
      <c r="K31" s="7">
        <v>3783.54</v>
      </c>
      <c r="L31" s="16">
        <v>0</v>
      </c>
      <c r="M31" s="2">
        <v>3783.54</v>
      </c>
      <c r="N31" s="2" t="b">
        <v>0</v>
      </c>
      <c r="O31" s="2" t="s">
        <v>490</v>
      </c>
    </row>
    <row r="32" spans="1:15" x14ac:dyDescent="0.35">
      <c r="A32" s="2" t="s">
        <v>525</v>
      </c>
      <c r="B32" s="2" t="s">
        <v>526</v>
      </c>
      <c r="C32" s="2" t="s">
        <v>527</v>
      </c>
      <c r="D32" s="2" t="s">
        <v>398</v>
      </c>
      <c r="E32" s="4">
        <v>45226.083333333336</v>
      </c>
      <c r="F32" s="2" t="s">
        <v>441</v>
      </c>
      <c r="G32" s="2" t="s">
        <v>66</v>
      </c>
      <c r="H32" s="2" t="s">
        <v>96</v>
      </c>
      <c r="I32" s="2" t="b">
        <v>0</v>
      </c>
      <c r="J32" s="2" t="b">
        <v>0</v>
      </c>
      <c r="K32" s="7">
        <v>23296.79</v>
      </c>
      <c r="L32" s="16">
        <v>0</v>
      </c>
      <c r="M32" s="2">
        <v>23296.79</v>
      </c>
      <c r="N32" s="2" t="b">
        <v>0</v>
      </c>
      <c r="O32" s="2" t="s">
        <v>432</v>
      </c>
    </row>
    <row r="33" spans="1:15" x14ac:dyDescent="0.35">
      <c r="A33" s="2" t="s">
        <v>528</v>
      </c>
      <c r="B33" s="2" t="s">
        <v>529</v>
      </c>
      <c r="C33" s="2" t="s">
        <v>489</v>
      </c>
      <c r="D33" s="2" t="s">
        <v>271</v>
      </c>
      <c r="E33" s="4">
        <v>45439.25</v>
      </c>
      <c r="F33" s="2" t="s">
        <v>458</v>
      </c>
      <c r="G33" s="2" t="s">
        <v>56</v>
      </c>
      <c r="H33" s="2" t="s">
        <v>16</v>
      </c>
      <c r="I33" s="2" t="b">
        <v>1</v>
      </c>
      <c r="J33" s="2" t="b">
        <v>0</v>
      </c>
      <c r="K33" s="7">
        <v>24614.16</v>
      </c>
      <c r="L33" s="16">
        <v>0</v>
      </c>
      <c r="M33" s="2">
        <v>24614.16</v>
      </c>
      <c r="N33" s="2" t="b">
        <v>0</v>
      </c>
      <c r="O33" s="2" t="s">
        <v>521</v>
      </c>
    </row>
    <row r="34" spans="1:15" x14ac:dyDescent="0.35">
      <c r="A34" s="2" t="s">
        <v>530</v>
      </c>
      <c r="B34" s="2" t="s">
        <v>531</v>
      </c>
      <c r="C34" s="2" t="s">
        <v>532</v>
      </c>
      <c r="D34" s="2" t="s">
        <v>67</v>
      </c>
      <c r="E34" s="4">
        <v>44770.5</v>
      </c>
      <c r="F34" s="2" t="s">
        <v>446</v>
      </c>
      <c r="G34" s="2" t="s">
        <v>105</v>
      </c>
      <c r="H34" s="2" t="s">
        <v>104</v>
      </c>
      <c r="I34" s="2" t="b">
        <v>0</v>
      </c>
      <c r="J34" s="2" t="b">
        <v>0</v>
      </c>
      <c r="K34" s="7">
        <v>17729.8</v>
      </c>
      <c r="L34" s="16">
        <v>8080.5</v>
      </c>
      <c r="M34" s="2">
        <v>25810.3</v>
      </c>
      <c r="N34" s="2" t="b">
        <v>1</v>
      </c>
      <c r="O34" s="2" t="s">
        <v>503</v>
      </c>
    </row>
    <row r="35" spans="1:15" x14ac:dyDescent="0.35">
      <c r="A35" s="2" t="s">
        <v>533</v>
      </c>
      <c r="B35" s="2" t="s">
        <v>534</v>
      </c>
      <c r="C35" s="2" t="s">
        <v>535</v>
      </c>
      <c r="D35" s="2" t="s">
        <v>81</v>
      </c>
      <c r="E35" s="4">
        <v>44833.416666666664</v>
      </c>
      <c r="F35" s="2" t="s">
        <v>446</v>
      </c>
      <c r="G35" s="2" t="s">
        <v>40</v>
      </c>
      <c r="H35" s="2" t="s">
        <v>49</v>
      </c>
      <c r="I35" s="2" t="b">
        <v>0</v>
      </c>
      <c r="J35" s="2" t="b">
        <v>0</v>
      </c>
      <c r="K35" s="7">
        <v>14994.22</v>
      </c>
      <c r="L35" s="16">
        <v>49251.5</v>
      </c>
      <c r="M35" s="2">
        <v>64245.72</v>
      </c>
      <c r="N35" s="2" t="b">
        <v>0</v>
      </c>
      <c r="O35" s="2" t="s">
        <v>447</v>
      </c>
    </row>
    <row r="36" spans="1:15" x14ac:dyDescent="0.35">
      <c r="A36" s="2" t="s">
        <v>536</v>
      </c>
      <c r="B36" s="2" t="s">
        <v>537</v>
      </c>
      <c r="C36" s="2" t="s">
        <v>477</v>
      </c>
      <c r="D36" s="2" t="s">
        <v>41</v>
      </c>
      <c r="E36" s="4">
        <v>44814.25</v>
      </c>
      <c r="F36" s="2" t="s">
        <v>441</v>
      </c>
      <c r="G36" s="2" t="s">
        <v>113</v>
      </c>
      <c r="H36" s="2" t="s">
        <v>166</v>
      </c>
      <c r="I36" s="2" t="b">
        <v>0</v>
      </c>
      <c r="J36" s="2" t="b">
        <v>0</v>
      </c>
      <c r="K36" s="7">
        <v>19624.96</v>
      </c>
      <c r="L36" s="16">
        <v>0</v>
      </c>
      <c r="M36" s="2">
        <v>19624.96</v>
      </c>
      <c r="N36" s="2" t="b">
        <v>0</v>
      </c>
      <c r="O36" s="2" t="s">
        <v>428</v>
      </c>
    </row>
    <row r="37" spans="1:15" x14ac:dyDescent="0.35">
      <c r="A37" s="2" t="s">
        <v>538</v>
      </c>
      <c r="B37" s="2" t="s">
        <v>539</v>
      </c>
      <c r="C37" s="2" t="s">
        <v>540</v>
      </c>
      <c r="D37" s="2" t="s">
        <v>67</v>
      </c>
      <c r="E37" s="4">
        <v>44953.666666666664</v>
      </c>
      <c r="F37" s="2" t="s">
        <v>446</v>
      </c>
      <c r="G37" s="2" t="s">
        <v>113</v>
      </c>
      <c r="H37" s="2" t="s">
        <v>29</v>
      </c>
      <c r="I37" s="2" t="b">
        <v>0</v>
      </c>
      <c r="J37" s="2" t="b">
        <v>0</v>
      </c>
      <c r="K37" s="7">
        <v>22477.63</v>
      </c>
      <c r="L37" s="16">
        <v>0</v>
      </c>
      <c r="M37" s="2">
        <v>22477.63</v>
      </c>
      <c r="N37" s="2" t="b">
        <v>0</v>
      </c>
      <c r="O37" s="2" t="s">
        <v>503</v>
      </c>
    </row>
    <row r="38" spans="1:15" x14ac:dyDescent="0.35">
      <c r="A38" s="2" t="s">
        <v>541</v>
      </c>
      <c r="B38" s="2" t="s">
        <v>542</v>
      </c>
      <c r="C38" s="2" t="s">
        <v>543</v>
      </c>
      <c r="D38" s="2" t="s">
        <v>12</v>
      </c>
      <c r="E38" s="4">
        <v>45111.041666666664</v>
      </c>
      <c r="F38" s="2" t="s">
        <v>436</v>
      </c>
      <c r="G38" s="2" t="s">
        <v>50</v>
      </c>
      <c r="H38" s="2" t="s">
        <v>80</v>
      </c>
      <c r="I38" s="2" t="b">
        <v>1</v>
      </c>
      <c r="J38" s="2" t="b">
        <v>0</v>
      </c>
      <c r="K38" s="7">
        <v>22667.73</v>
      </c>
      <c r="L38" s="16">
        <v>0</v>
      </c>
      <c r="M38" s="2">
        <v>22667.73</v>
      </c>
      <c r="N38" s="2" t="b">
        <v>0</v>
      </c>
      <c r="O38" s="2" t="s">
        <v>490</v>
      </c>
    </row>
    <row r="39" spans="1:15" x14ac:dyDescent="0.35">
      <c r="A39" s="2" t="s">
        <v>544</v>
      </c>
      <c r="B39" s="2" t="s">
        <v>545</v>
      </c>
      <c r="C39" s="2" t="s">
        <v>546</v>
      </c>
      <c r="D39" s="2" t="s">
        <v>187</v>
      </c>
      <c r="E39" s="4">
        <v>44853.5</v>
      </c>
      <c r="F39" s="2" t="s">
        <v>458</v>
      </c>
      <c r="G39" s="2" t="s">
        <v>40</v>
      </c>
      <c r="H39" s="2" t="s">
        <v>74</v>
      </c>
      <c r="I39" s="2" t="b">
        <v>0</v>
      </c>
      <c r="J39" s="2" t="b">
        <v>1</v>
      </c>
      <c r="K39" s="7">
        <v>0</v>
      </c>
      <c r="L39" s="16">
        <v>0</v>
      </c>
      <c r="M39" s="2">
        <v>0</v>
      </c>
      <c r="N39" s="2" t="b">
        <v>0</v>
      </c>
      <c r="O39" s="2" t="s">
        <v>454</v>
      </c>
    </row>
    <row r="40" spans="1:15" x14ac:dyDescent="0.35">
      <c r="A40" s="2" t="s">
        <v>547</v>
      </c>
      <c r="B40" s="2" t="s">
        <v>548</v>
      </c>
      <c r="C40" s="2" t="s">
        <v>549</v>
      </c>
      <c r="D40" s="2" t="s">
        <v>98</v>
      </c>
      <c r="E40" s="4">
        <v>45601.958333333336</v>
      </c>
      <c r="F40" s="2" t="s">
        <v>436</v>
      </c>
      <c r="G40" s="2" t="s">
        <v>219</v>
      </c>
      <c r="H40" s="2" t="s">
        <v>212</v>
      </c>
      <c r="I40" s="2" t="b">
        <v>0</v>
      </c>
      <c r="J40" s="2" t="b">
        <v>0</v>
      </c>
      <c r="K40" s="7">
        <v>13425.42</v>
      </c>
      <c r="L40" s="16">
        <v>376.13</v>
      </c>
      <c r="M40" s="2">
        <v>13801.55</v>
      </c>
      <c r="N40" s="2" t="b">
        <v>1</v>
      </c>
      <c r="O40" s="2" t="s">
        <v>442</v>
      </c>
    </row>
    <row r="41" spans="1:15" x14ac:dyDescent="0.35">
      <c r="A41" s="2" t="s">
        <v>550</v>
      </c>
      <c r="B41" s="2" t="s">
        <v>551</v>
      </c>
      <c r="C41" s="2" t="s">
        <v>552</v>
      </c>
      <c r="D41" s="2" t="s">
        <v>355</v>
      </c>
      <c r="E41" s="4">
        <v>44831.291666666664</v>
      </c>
      <c r="F41" s="2" t="s">
        <v>436</v>
      </c>
      <c r="G41" s="2" t="s">
        <v>17</v>
      </c>
      <c r="H41" s="2" t="s">
        <v>55</v>
      </c>
      <c r="I41" s="2" t="b">
        <v>1</v>
      </c>
      <c r="J41" s="2" t="b">
        <v>1</v>
      </c>
      <c r="K41" s="7">
        <v>19633.39</v>
      </c>
      <c r="L41" s="16">
        <v>0</v>
      </c>
      <c r="M41" s="2">
        <v>19633.39</v>
      </c>
      <c r="N41" s="2" t="b">
        <v>0</v>
      </c>
      <c r="O41" s="2" t="s">
        <v>442</v>
      </c>
    </row>
    <row r="42" spans="1:15" x14ac:dyDescent="0.35">
      <c r="A42" s="2" t="s">
        <v>553</v>
      </c>
      <c r="B42" s="2" t="s">
        <v>554</v>
      </c>
      <c r="C42" s="2" t="s">
        <v>555</v>
      </c>
      <c r="D42" s="2" t="s">
        <v>299</v>
      </c>
      <c r="E42" s="4">
        <v>45126.791666666664</v>
      </c>
      <c r="F42" s="2" t="s">
        <v>436</v>
      </c>
      <c r="G42" s="2" t="s">
        <v>66</v>
      </c>
      <c r="H42" s="2" t="s">
        <v>29</v>
      </c>
      <c r="I42" s="2" t="b">
        <v>0</v>
      </c>
      <c r="J42" s="2" t="b">
        <v>0</v>
      </c>
      <c r="K42" s="7">
        <v>24060.67</v>
      </c>
      <c r="L42" s="16">
        <v>10999.07</v>
      </c>
      <c r="M42" s="2">
        <v>35059.74</v>
      </c>
      <c r="N42" s="2" t="b">
        <v>0</v>
      </c>
      <c r="O42" s="2" t="s">
        <v>481</v>
      </c>
    </row>
    <row r="43" spans="1:15" x14ac:dyDescent="0.35">
      <c r="A43" s="2" t="s">
        <v>556</v>
      </c>
      <c r="B43" s="2" t="s">
        <v>557</v>
      </c>
      <c r="C43" s="2" t="s">
        <v>518</v>
      </c>
      <c r="D43" s="2" t="s">
        <v>287</v>
      </c>
      <c r="E43" s="4">
        <v>44800.208333333336</v>
      </c>
      <c r="F43" s="2" t="s">
        <v>427</v>
      </c>
      <c r="G43" s="2" t="s">
        <v>117</v>
      </c>
      <c r="H43" s="2" t="s">
        <v>104</v>
      </c>
      <c r="I43" s="2" t="b">
        <v>0</v>
      </c>
      <c r="J43" s="2" t="b">
        <v>0</v>
      </c>
      <c r="K43" s="7">
        <v>6561.35</v>
      </c>
      <c r="L43" s="16">
        <v>36910.92</v>
      </c>
      <c r="M43" s="2">
        <v>43472.27</v>
      </c>
      <c r="N43" s="2" t="b">
        <v>0</v>
      </c>
      <c r="O43" s="2" t="s">
        <v>521</v>
      </c>
    </row>
    <row r="44" spans="1:15" x14ac:dyDescent="0.35">
      <c r="A44" s="2" t="s">
        <v>558</v>
      </c>
      <c r="B44" s="2" t="s">
        <v>559</v>
      </c>
      <c r="C44" s="2" t="s">
        <v>480</v>
      </c>
      <c r="D44" s="2" t="s">
        <v>305</v>
      </c>
      <c r="E44" s="4">
        <v>45608.375</v>
      </c>
      <c r="F44" s="2" t="s">
        <v>427</v>
      </c>
      <c r="G44" s="2" t="s">
        <v>75</v>
      </c>
      <c r="H44" s="2" t="s">
        <v>116</v>
      </c>
      <c r="I44" s="2" t="b">
        <v>0</v>
      </c>
      <c r="J44" s="2" t="b">
        <v>0</v>
      </c>
      <c r="K44" s="7">
        <v>16514.689999999999</v>
      </c>
      <c r="L44" s="16">
        <v>0</v>
      </c>
      <c r="M44" s="2">
        <v>16514.689999999999</v>
      </c>
      <c r="N44" s="2" t="b">
        <v>0</v>
      </c>
      <c r="O44" s="2" t="s">
        <v>451</v>
      </c>
    </row>
    <row r="45" spans="1:15" x14ac:dyDescent="0.35">
      <c r="A45" s="2" t="s">
        <v>560</v>
      </c>
      <c r="B45" s="2" t="s">
        <v>561</v>
      </c>
      <c r="C45" s="2" t="s">
        <v>562</v>
      </c>
      <c r="D45" s="2" t="s">
        <v>307</v>
      </c>
      <c r="E45" s="4">
        <v>45124.541666666664</v>
      </c>
      <c r="F45" s="2" t="s">
        <v>446</v>
      </c>
      <c r="G45" s="2" t="s">
        <v>40</v>
      </c>
      <c r="H45" s="2" t="s">
        <v>151</v>
      </c>
      <c r="I45" s="2" t="b">
        <v>1</v>
      </c>
      <c r="J45" s="2" t="b">
        <v>0</v>
      </c>
      <c r="K45" s="7">
        <v>13299.51</v>
      </c>
      <c r="L45" s="16">
        <v>0</v>
      </c>
      <c r="M45" s="2">
        <v>13299.51</v>
      </c>
      <c r="N45" s="2" t="b">
        <v>1</v>
      </c>
      <c r="O45" s="2" t="s">
        <v>451</v>
      </c>
    </row>
    <row r="46" spans="1:15" x14ac:dyDescent="0.35">
      <c r="A46" s="2" t="s">
        <v>563</v>
      </c>
      <c r="B46" s="2" t="s">
        <v>564</v>
      </c>
      <c r="C46" s="2" t="s">
        <v>565</v>
      </c>
      <c r="D46" s="2" t="s">
        <v>207</v>
      </c>
      <c r="E46" s="4">
        <v>45446.125</v>
      </c>
      <c r="F46" s="2" t="s">
        <v>446</v>
      </c>
      <c r="G46" s="2" t="s">
        <v>25</v>
      </c>
      <c r="H46" s="2" t="s">
        <v>166</v>
      </c>
      <c r="I46" s="2" t="b">
        <v>1</v>
      </c>
      <c r="J46" s="2" t="b">
        <v>1</v>
      </c>
      <c r="K46" s="7">
        <v>0</v>
      </c>
      <c r="L46" s="16">
        <v>0</v>
      </c>
      <c r="M46" s="2">
        <v>0</v>
      </c>
      <c r="N46" s="2" t="b">
        <v>0</v>
      </c>
      <c r="O46" s="2" t="s">
        <v>566</v>
      </c>
    </row>
    <row r="47" spans="1:15" x14ac:dyDescent="0.35">
      <c r="A47" s="2" t="s">
        <v>567</v>
      </c>
      <c r="B47" s="2" t="s">
        <v>568</v>
      </c>
      <c r="C47" s="2" t="s">
        <v>569</v>
      </c>
      <c r="D47" s="2" t="s">
        <v>134</v>
      </c>
      <c r="E47" s="4">
        <v>44740.375</v>
      </c>
      <c r="F47" s="2" t="s">
        <v>446</v>
      </c>
      <c r="G47" s="2" t="s">
        <v>40</v>
      </c>
      <c r="H47" s="2" t="s">
        <v>74</v>
      </c>
      <c r="I47" s="2" t="b">
        <v>0</v>
      </c>
      <c r="J47" s="2" t="b">
        <v>0</v>
      </c>
      <c r="K47" s="7">
        <v>0</v>
      </c>
      <c r="L47" s="16">
        <v>0</v>
      </c>
      <c r="M47" s="2">
        <v>0</v>
      </c>
      <c r="N47" s="2" t="b">
        <v>0</v>
      </c>
      <c r="O47" s="2" t="s">
        <v>481</v>
      </c>
    </row>
    <row r="48" spans="1:15" x14ac:dyDescent="0.35">
      <c r="A48" s="2" t="s">
        <v>570</v>
      </c>
      <c r="B48" s="2" t="s">
        <v>571</v>
      </c>
      <c r="C48" s="2" t="s">
        <v>543</v>
      </c>
      <c r="D48" s="2" t="s">
        <v>164</v>
      </c>
      <c r="E48" s="4">
        <v>44751.75</v>
      </c>
      <c r="F48" s="2" t="s">
        <v>441</v>
      </c>
      <c r="G48" s="2" t="s">
        <v>25</v>
      </c>
      <c r="H48" s="2" t="s">
        <v>166</v>
      </c>
      <c r="I48" s="2" t="b">
        <v>1</v>
      </c>
      <c r="J48" s="2" t="b">
        <v>1</v>
      </c>
      <c r="K48" s="7">
        <v>12202.8</v>
      </c>
      <c r="L48" s="16">
        <v>0</v>
      </c>
      <c r="M48" s="2">
        <v>12202.8</v>
      </c>
      <c r="N48" s="2" t="b">
        <v>0</v>
      </c>
      <c r="O48" s="2" t="s">
        <v>503</v>
      </c>
    </row>
    <row r="49" spans="1:15" x14ac:dyDescent="0.35">
      <c r="A49" s="2" t="s">
        <v>572</v>
      </c>
      <c r="B49" s="2" t="s">
        <v>573</v>
      </c>
      <c r="C49" s="2" t="s">
        <v>574</v>
      </c>
      <c r="D49" s="2" t="s">
        <v>226</v>
      </c>
      <c r="E49" s="4">
        <v>45500.5</v>
      </c>
      <c r="F49" s="2" t="s">
        <v>436</v>
      </c>
      <c r="G49" s="2" t="s">
        <v>167</v>
      </c>
      <c r="H49" s="2" t="s">
        <v>284</v>
      </c>
      <c r="I49" s="2" t="b">
        <v>0</v>
      </c>
      <c r="J49" s="2" t="b">
        <v>0</v>
      </c>
      <c r="K49" s="7">
        <v>0</v>
      </c>
      <c r="L49" s="16">
        <v>0</v>
      </c>
      <c r="M49" s="2">
        <v>0</v>
      </c>
      <c r="N49" s="2" t="b">
        <v>0</v>
      </c>
      <c r="O49" s="2" t="s">
        <v>442</v>
      </c>
    </row>
    <row r="50" spans="1:15" x14ac:dyDescent="0.35">
      <c r="A50" s="2" t="s">
        <v>575</v>
      </c>
      <c r="B50" s="2" t="s">
        <v>576</v>
      </c>
      <c r="C50" s="2" t="s">
        <v>577</v>
      </c>
      <c r="D50" s="2" t="s">
        <v>207</v>
      </c>
      <c r="E50" s="4">
        <v>45286.666666666664</v>
      </c>
      <c r="F50" s="2" t="s">
        <v>441</v>
      </c>
      <c r="G50" s="2" t="s">
        <v>117</v>
      </c>
      <c r="H50" s="2" t="s">
        <v>24</v>
      </c>
      <c r="I50" s="2" t="b">
        <v>1</v>
      </c>
      <c r="J50" s="2" t="b">
        <v>1</v>
      </c>
      <c r="K50" s="7">
        <v>23165.07</v>
      </c>
      <c r="L50" s="16">
        <v>0</v>
      </c>
      <c r="M50" s="2">
        <v>23165.07</v>
      </c>
      <c r="N50" s="2" t="b">
        <v>0</v>
      </c>
      <c r="O50" s="2" t="s">
        <v>428</v>
      </c>
    </row>
    <row r="51" spans="1:15" x14ac:dyDescent="0.35">
      <c r="A51" s="2" t="s">
        <v>578</v>
      </c>
      <c r="B51" s="2" t="s">
        <v>579</v>
      </c>
      <c r="C51" s="2" t="s">
        <v>580</v>
      </c>
      <c r="D51" s="2" t="s">
        <v>197</v>
      </c>
      <c r="E51" s="4">
        <v>45073.916666666664</v>
      </c>
      <c r="F51" s="2" t="s">
        <v>441</v>
      </c>
      <c r="G51" s="2" t="s">
        <v>109</v>
      </c>
      <c r="H51" s="2" t="s">
        <v>116</v>
      </c>
      <c r="I51" s="2" t="b">
        <v>1</v>
      </c>
      <c r="J51" s="2" t="b">
        <v>0</v>
      </c>
      <c r="K51" s="7">
        <v>0</v>
      </c>
      <c r="L51" s="16">
        <v>0</v>
      </c>
      <c r="M51" s="2">
        <v>0</v>
      </c>
      <c r="N51" s="2" t="b">
        <v>1</v>
      </c>
      <c r="O51" s="2" t="s">
        <v>521</v>
      </c>
    </row>
    <row r="52" spans="1:15" x14ac:dyDescent="0.35">
      <c r="A52" s="2" t="s">
        <v>581</v>
      </c>
      <c r="B52" s="2" t="s">
        <v>582</v>
      </c>
      <c r="C52" s="2" t="s">
        <v>583</v>
      </c>
      <c r="D52" s="2" t="s">
        <v>118</v>
      </c>
      <c r="E52" s="4">
        <v>44771.416666666664</v>
      </c>
      <c r="F52" s="2" t="s">
        <v>458</v>
      </c>
      <c r="G52" s="2" t="s">
        <v>61</v>
      </c>
      <c r="H52" s="2" t="s">
        <v>116</v>
      </c>
      <c r="I52" s="2" t="b">
        <v>0</v>
      </c>
      <c r="J52" s="2" t="b">
        <v>0</v>
      </c>
      <c r="K52" s="7">
        <v>5214.8100000000004</v>
      </c>
      <c r="L52" s="16">
        <v>0</v>
      </c>
      <c r="M52" s="2">
        <v>5214.8100000000004</v>
      </c>
      <c r="N52" s="2" t="b">
        <v>1</v>
      </c>
      <c r="O52" s="2" t="s">
        <v>447</v>
      </c>
    </row>
    <row r="53" spans="1:15" x14ac:dyDescent="0.35">
      <c r="A53" s="2" t="s">
        <v>584</v>
      </c>
      <c r="B53" s="2" t="s">
        <v>585</v>
      </c>
      <c r="C53" s="2" t="s">
        <v>580</v>
      </c>
      <c r="D53" s="2" t="s">
        <v>398</v>
      </c>
      <c r="E53" s="4">
        <v>45599.333333333336</v>
      </c>
      <c r="F53" s="2" t="s">
        <v>458</v>
      </c>
      <c r="G53" s="2" t="s">
        <v>61</v>
      </c>
      <c r="H53" s="2" t="s">
        <v>126</v>
      </c>
      <c r="I53" s="2" t="b">
        <v>0</v>
      </c>
      <c r="J53" s="2" t="b">
        <v>0</v>
      </c>
      <c r="K53" s="7">
        <v>0</v>
      </c>
      <c r="L53" s="16">
        <v>0</v>
      </c>
      <c r="M53" s="2">
        <v>0</v>
      </c>
      <c r="N53" s="2" t="b">
        <v>0</v>
      </c>
      <c r="O53" s="2" t="s">
        <v>447</v>
      </c>
    </row>
    <row r="54" spans="1:15" x14ac:dyDescent="0.35">
      <c r="A54" s="2" t="s">
        <v>586</v>
      </c>
      <c r="B54" s="2" t="s">
        <v>587</v>
      </c>
      <c r="C54" s="2" t="s">
        <v>588</v>
      </c>
      <c r="D54" s="2" t="s">
        <v>101</v>
      </c>
      <c r="E54" s="4">
        <v>45031.083333333336</v>
      </c>
      <c r="F54" s="2" t="s">
        <v>458</v>
      </c>
      <c r="G54" s="2" t="s">
        <v>109</v>
      </c>
      <c r="H54" s="2" t="s">
        <v>116</v>
      </c>
      <c r="I54" s="2" t="b">
        <v>0</v>
      </c>
      <c r="J54" s="2" t="b">
        <v>0</v>
      </c>
      <c r="K54" s="7">
        <v>852.1</v>
      </c>
      <c r="L54" s="16">
        <v>0</v>
      </c>
      <c r="M54" s="2">
        <v>852.1</v>
      </c>
      <c r="N54" s="2" t="b">
        <v>0</v>
      </c>
      <c r="O54" s="2" t="s">
        <v>503</v>
      </c>
    </row>
    <row r="55" spans="1:15" x14ac:dyDescent="0.35">
      <c r="A55" s="2" t="s">
        <v>589</v>
      </c>
      <c r="B55" s="2" t="s">
        <v>590</v>
      </c>
      <c r="C55" s="2" t="s">
        <v>574</v>
      </c>
      <c r="D55" s="2" t="s">
        <v>276</v>
      </c>
      <c r="E55" s="4">
        <v>44844.958333333336</v>
      </c>
      <c r="F55" s="2" t="s">
        <v>458</v>
      </c>
      <c r="G55" s="2" t="s">
        <v>50</v>
      </c>
      <c r="H55" s="2" t="s">
        <v>136</v>
      </c>
      <c r="I55" s="2" t="b">
        <v>0</v>
      </c>
      <c r="J55" s="2" t="b">
        <v>0</v>
      </c>
      <c r="K55" s="7">
        <v>18809.169999999998</v>
      </c>
      <c r="L55" s="16">
        <v>0</v>
      </c>
      <c r="M55" s="2">
        <v>18809.169999999998</v>
      </c>
      <c r="N55" s="2" t="b">
        <v>0</v>
      </c>
      <c r="O55" s="2" t="s">
        <v>454</v>
      </c>
    </row>
    <row r="56" spans="1:15" x14ac:dyDescent="0.35">
      <c r="A56" s="2" t="s">
        <v>591</v>
      </c>
      <c r="B56" s="2" t="s">
        <v>592</v>
      </c>
      <c r="C56" s="2" t="s">
        <v>593</v>
      </c>
      <c r="D56" s="2" t="s">
        <v>347</v>
      </c>
      <c r="E56" s="4">
        <v>44567.625</v>
      </c>
      <c r="F56" s="2" t="s">
        <v>441</v>
      </c>
      <c r="G56" s="2" t="s">
        <v>167</v>
      </c>
      <c r="H56" s="2" t="s">
        <v>278</v>
      </c>
      <c r="I56" s="2" t="b">
        <v>1</v>
      </c>
      <c r="J56" s="2" t="b">
        <v>1</v>
      </c>
      <c r="K56" s="7">
        <v>23366.57</v>
      </c>
      <c r="L56" s="16">
        <v>0</v>
      </c>
      <c r="M56" s="2">
        <v>23366.57</v>
      </c>
      <c r="N56" s="2" t="b">
        <v>0</v>
      </c>
      <c r="O56" s="2" t="s">
        <v>428</v>
      </c>
    </row>
    <row r="57" spans="1:15" x14ac:dyDescent="0.35">
      <c r="A57" s="2" t="s">
        <v>594</v>
      </c>
      <c r="B57" s="2" t="s">
        <v>595</v>
      </c>
      <c r="C57" s="2" t="s">
        <v>596</v>
      </c>
      <c r="D57" s="2" t="s">
        <v>299</v>
      </c>
      <c r="E57" s="4">
        <v>45454.625</v>
      </c>
      <c r="F57" s="2" t="s">
        <v>446</v>
      </c>
      <c r="G57" s="2" t="s">
        <v>40</v>
      </c>
      <c r="H57" s="2" t="s">
        <v>126</v>
      </c>
      <c r="I57" s="2" t="b">
        <v>1</v>
      </c>
      <c r="J57" s="2" t="b">
        <v>0</v>
      </c>
      <c r="K57" s="7">
        <v>0</v>
      </c>
      <c r="L57" s="16">
        <v>17112.080000000002</v>
      </c>
      <c r="M57" s="2">
        <v>17112.080000000002</v>
      </c>
      <c r="N57" s="2" t="b">
        <v>0</v>
      </c>
      <c r="O57" s="2" t="s">
        <v>447</v>
      </c>
    </row>
    <row r="58" spans="1:15" x14ac:dyDescent="0.35">
      <c r="A58" s="2" t="s">
        <v>597</v>
      </c>
      <c r="B58" s="2" t="s">
        <v>598</v>
      </c>
      <c r="C58" s="2" t="s">
        <v>599</v>
      </c>
      <c r="D58" s="2" t="s">
        <v>259</v>
      </c>
      <c r="E58" s="4">
        <v>45235.708333333336</v>
      </c>
      <c r="F58" s="2" t="s">
        <v>427</v>
      </c>
      <c r="G58" s="2" t="s">
        <v>219</v>
      </c>
      <c r="H58" s="2" t="s">
        <v>166</v>
      </c>
      <c r="I58" s="2" t="b">
        <v>1</v>
      </c>
      <c r="J58" s="2" t="b">
        <v>1</v>
      </c>
      <c r="K58" s="7">
        <v>0</v>
      </c>
      <c r="L58" s="16">
        <v>0</v>
      </c>
      <c r="M58" s="2">
        <v>0</v>
      </c>
      <c r="N58" s="2" t="b">
        <v>1</v>
      </c>
      <c r="O58" s="2" t="s">
        <v>447</v>
      </c>
    </row>
    <row r="59" spans="1:15" x14ac:dyDescent="0.35">
      <c r="A59" s="2" t="s">
        <v>600</v>
      </c>
      <c r="B59" s="2" t="s">
        <v>601</v>
      </c>
      <c r="C59" s="2" t="s">
        <v>524</v>
      </c>
      <c r="D59" s="2" t="s">
        <v>353</v>
      </c>
      <c r="E59" s="4">
        <v>45557.166666666664</v>
      </c>
      <c r="F59" s="2" t="s">
        <v>446</v>
      </c>
      <c r="G59" s="2" t="s">
        <v>117</v>
      </c>
      <c r="H59" s="2" t="s">
        <v>144</v>
      </c>
      <c r="I59" s="2" t="b">
        <v>1</v>
      </c>
      <c r="J59" s="2" t="b">
        <v>1</v>
      </c>
      <c r="K59" s="7">
        <v>24102.19</v>
      </c>
      <c r="L59" s="16">
        <v>0</v>
      </c>
      <c r="M59" s="2">
        <v>24102.19</v>
      </c>
      <c r="N59" s="2" t="b">
        <v>0</v>
      </c>
      <c r="O59" s="2" t="s">
        <v>447</v>
      </c>
    </row>
    <row r="60" spans="1:15" x14ac:dyDescent="0.35">
      <c r="A60" s="2" t="s">
        <v>602</v>
      </c>
      <c r="B60" s="2" t="s">
        <v>603</v>
      </c>
      <c r="C60" s="2" t="s">
        <v>604</v>
      </c>
      <c r="D60" s="2" t="s">
        <v>274</v>
      </c>
      <c r="E60" s="4">
        <v>45441.458333333336</v>
      </c>
      <c r="F60" s="2" t="s">
        <v>441</v>
      </c>
      <c r="G60" s="2" t="s">
        <v>30</v>
      </c>
      <c r="H60" s="2" t="s">
        <v>29</v>
      </c>
      <c r="I60" s="2" t="b">
        <v>1</v>
      </c>
      <c r="J60" s="2" t="b">
        <v>1</v>
      </c>
      <c r="K60" s="7">
        <v>15019.37</v>
      </c>
      <c r="L60" s="16">
        <v>0</v>
      </c>
      <c r="M60" s="2">
        <v>15019.37</v>
      </c>
      <c r="N60" s="2" t="b">
        <v>1</v>
      </c>
      <c r="O60" s="2" t="s">
        <v>503</v>
      </c>
    </row>
    <row r="61" spans="1:15" x14ac:dyDescent="0.35">
      <c r="A61" s="2" t="s">
        <v>605</v>
      </c>
      <c r="B61" s="2" t="s">
        <v>606</v>
      </c>
      <c r="C61" s="2" t="s">
        <v>607</v>
      </c>
      <c r="D61" s="2" t="s">
        <v>301</v>
      </c>
      <c r="E61" s="4">
        <v>45433.291666666664</v>
      </c>
      <c r="F61" s="2" t="s">
        <v>458</v>
      </c>
      <c r="G61" s="2" t="s">
        <v>97</v>
      </c>
      <c r="H61" s="2" t="s">
        <v>284</v>
      </c>
      <c r="I61" s="2" t="b">
        <v>1</v>
      </c>
      <c r="J61" s="2" t="b">
        <v>0</v>
      </c>
      <c r="K61" s="7">
        <v>13414.05</v>
      </c>
      <c r="L61" s="16">
        <v>0</v>
      </c>
      <c r="M61" s="2">
        <v>13414.05</v>
      </c>
      <c r="N61" s="2" t="b">
        <v>0</v>
      </c>
      <c r="O61" s="2" t="s">
        <v>428</v>
      </c>
    </row>
    <row r="62" spans="1:15" x14ac:dyDescent="0.35">
      <c r="A62" s="2" t="s">
        <v>608</v>
      </c>
      <c r="B62" s="2" t="s">
        <v>609</v>
      </c>
      <c r="C62" s="2" t="s">
        <v>610</v>
      </c>
      <c r="D62" s="2" t="s">
        <v>337</v>
      </c>
      <c r="E62" s="4">
        <v>45587.833333333336</v>
      </c>
      <c r="F62" s="2" t="s">
        <v>427</v>
      </c>
      <c r="G62" s="2" t="s">
        <v>30</v>
      </c>
      <c r="H62" s="2" t="s">
        <v>156</v>
      </c>
      <c r="I62" s="2" t="b">
        <v>0</v>
      </c>
      <c r="J62" s="2" t="b">
        <v>0</v>
      </c>
      <c r="K62" s="7">
        <v>18400.91</v>
      </c>
      <c r="L62" s="16">
        <v>0</v>
      </c>
      <c r="M62" s="2">
        <v>18400.91</v>
      </c>
      <c r="N62" s="2" t="b">
        <v>0</v>
      </c>
      <c r="O62" s="2" t="s">
        <v>481</v>
      </c>
    </row>
    <row r="63" spans="1:15" x14ac:dyDescent="0.35">
      <c r="A63" s="2" t="s">
        <v>611</v>
      </c>
      <c r="B63" s="2" t="s">
        <v>612</v>
      </c>
      <c r="C63" s="2" t="s">
        <v>613</v>
      </c>
      <c r="D63" s="2" t="s">
        <v>382</v>
      </c>
      <c r="E63" s="4">
        <v>45539.875</v>
      </c>
      <c r="F63" s="2" t="s">
        <v>446</v>
      </c>
      <c r="G63" s="2" t="s">
        <v>30</v>
      </c>
      <c r="H63" s="2" t="s">
        <v>16</v>
      </c>
      <c r="I63" s="2" t="b">
        <v>0</v>
      </c>
      <c r="J63" s="2" t="b">
        <v>0</v>
      </c>
      <c r="K63" s="7">
        <v>7737.05</v>
      </c>
      <c r="L63" s="16">
        <v>0</v>
      </c>
      <c r="M63" s="2">
        <v>7737.05</v>
      </c>
      <c r="N63" s="2" t="b">
        <v>1</v>
      </c>
      <c r="O63" s="2" t="s">
        <v>447</v>
      </c>
    </row>
    <row r="64" spans="1:15" x14ac:dyDescent="0.35">
      <c r="A64" s="2" t="s">
        <v>614</v>
      </c>
      <c r="B64" s="2" t="s">
        <v>615</v>
      </c>
      <c r="C64" s="2" t="s">
        <v>616</v>
      </c>
      <c r="D64" s="2" t="s">
        <v>384</v>
      </c>
      <c r="E64" s="4">
        <v>44668.708333333336</v>
      </c>
      <c r="F64" s="2" t="s">
        <v>441</v>
      </c>
      <c r="G64" s="2" t="s">
        <v>105</v>
      </c>
      <c r="H64" s="2" t="s">
        <v>212</v>
      </c>
      <c r="I64" s="2" t="b">
        <v>1</v>
      </c>
      <c r="J64" s="2" t="b">
        <v>0</v>
      </c>
      <c r="K64" s="7">
        <v>6476.75</v>
      </c>
      <c r="L64" s="16">
        <v>43698.11</v>
      </c>
      <c r="M64" s="2">
        <v>50174.86</v>
      </c>
      <c r="N64" s="2" t="b">
        <v>0</v>
      </c>
      <c r="O64" s="2" t="s">
        <v>503</v>
      </c>
    </row>
    <row r="65" spans="1:15" x14ac:dyDescent="0.35">
      <c r="A65" s="2" t="s">
        <v>617</v>
      </c>
      <c r="B65" s="2" t="s">
        <v>618</v>
      </c>
      <c r="C65" s="2" t="s">
        <v>471</v>
      </c>
      <c r="D65" s="2" t="s">
        <v>323</v>
      </c>
      <c r="E65" s="4">
        <v>45029.708333333336</v>
      </c>
      <c r="F65" s="2" t="s">
        <v>446</v>
      </c>
      <c r="G65" s="2" t="s">
        <v>273</v>
      </c>
      <c r="H65" s="2" t="s">
        <v>88</v>
      </c>
      <c r="I65" s="2" t="b">
        <v>0</v>
      </c>
      <c r="J65" s="2" t="b">
        <v>0</v>
      </c>
      <c r="K65" s="7">
        <v>0</v>
      </c>
      <c r="L65" s="16">
        <v>0</v>
      </c>
      <c r="M65" s="2">
        <v>0</v>
      </c>
      <c r="N65" s="2" t="b">
        <v>0</v>
      </c>
      <c r="O65" s="2" t="s">
        <v>454</v>
      </c>
    </row>
    <row r="66" spans="1:15" x14ac:dyDescent="0.35">
      <c r="A66" s="2" t="s">
        <v>619</v>
      </c>
      <c r="B66" s="2" t="s">
        <v>620</v>
      </c>
      <c r="C66" s="2" t="s">
        <v>426</v>
      </c>
      <c r="D66" s="2" t="s">
        <v>347</v>
      </c>
      <c r="E66" s="4">
        <v>45650.375</v>
      </c>
      <c r="F66" s="2" t="s">
        <v>458</v>
      </c>
      <c r="G66" s="2" t="s">
        <v>167</v>
      </c>
      <c r="H66" s="2" t="s">
        <v>112</v>
      </c>
      <c r="I66" s="2" t="b">
        <v>1</v>
      </c>
      <c r="J66" s="2" t="b">
        <v>0</v>
      </c>
      <c r="K66" s="7">
        <v>17783.759999999998</v>
      </c>
      <c r="L66" s="16">
        <v>0</v>
      </c>
      <c r="M66" s="2">
        <v>17783.759999999998</v>
      </c>
      <c r="N66" s="2" t="b">
        <v>1</v>
      </c>
      <c r="O66" s="2" t="s">
        <v>432</v>
      </c>
    </row>
    <row r="67" spans="1:15" x14ac:dyDescent="0.35">
      <c r="A67" s="2" t="s">
        <v>621</v>
      </c>
      <c r="B67" s="2" t="s">
        <v>622</v>
      </c>
      <c r="C67" s="2" t="s">
        <v>623</v>
      </c>
      <c r="D67" s="2" t="s">
        <v>234</v>
      </c>
      <c r="E67" s="4">
        <v>44691.5</v>
      </c>
      <c r="F67" s="2" t="s">
        <v>446</v>
      </c>
      <c r="G67" s="2" t="s">
        <v>30</v>
      </c>
      <c r="H67" s="2" t="s">
        <v>166</v>
      </c>
      <c r="I67" s="2" t="b">
        <v>0</v>
      </c>
      <c r="J67" s="2" t="b">
        <v>0</v>
      </c>
      <c r="K67" s="7">
        <v>18964.84</v>
      </c>
      <c r="L67" s="16">
        <v>42214.25</v>
      </c>
      <c r="M67" s="2">
        <v>61179.09</v>
      </c>
      <c r="N67" s="2" t="b">
        <v>1</v>
      </c>
      <c r="O67" s="2" t="s">
        <v>447</v>
      </c>
    </row>
    <row r="68" spans="1:15" x14ac:dyDescent="0.35">
      <c r="A68" s="2" t="s">
        <v>624</v>
      </c>
      <c r="B68" s="2" t="s">
        <v>625</v>
      </c>
      <c r="C68" s="2" t="s">
        <v>543</v>
      </c>
      <c r="D68" s="2" t="s">
        <v>226</v>
      </c>
      <c r="E68" s="4">
        <v>44791.083333333336</v>
      </c>
      <c r="F68" s="2" t="s">
        <v>446</v>
      </c>
      <c r="G68" s="2" t="s">
        <v>25</v>
      </c>
      <c r="H68" s="2" t="s">
        <v>96</v>
      </c>
      <c r="I68" s="2" t="b">
        <v>1</v>
      </c>
      <c r="J68" s="2" t="b">
        <v>0</v>
      </c>
      <c r="K68" s="7">
        <v>0</v>
      </c>
      <c r="L68" s="16">
        <v>0</v>
      </c>
      <c r="M68" s="2">
        <v>0</v>
      </c>
      <c r="N68" s="2" t="b">
        <v>1</v>
      </c>
      <c r="O68" s="2" t="s">
        <v>503</v>
      </c>
    </row>
    <row r="69" spans="1:15" x14ac:dyDescent="0.35">
      <c r="A69" s="2" t="s">
        <v>626</v>
      </c>
      <c r="B69" s="2" t="s">
        <v>627</v>
      </c>
      <c r="C69" s="2" t="s">
        <v>546</v>
      </c>
      <c r="D69" s="2" t="s">
        <v>137</v>
      </c>
      <c r="E69" s="4">
        <v>45628.333333333336</v>
      </c>
      <c r="F69" s="2" t="s">
        <v>427</v>
      </c>
      <c r="G69" s="2" t="s">
        <v>17</v>
      </c>
      <c r="H69" s="2" t="s">
        <v>60</v>
      </c>
      <c r="I69" s="2" t="b">
        <v>1</v>
      </c>
      <c r="J69" s="2" t="b">
        <v>0</v>
      </c>
      <c r="K69" s="7">
        <v>16566.78</v>
      </c>
      <c r="L69" s="16">
        <v>0</v>
      </c>
      <c r="M69" s="2">
        <v>16566.78</v>
      </c>
      <c r="N69" s="2" t="b">
        <v>0</v>
      </c>
      <c r="O69" s="2" t="s">
        <v>451</v>
      </c>
    </row>
    <row r="70" spans="1:15" x14ac:dyDescent="0.35">
      <c r="A70" s="2" t="s">
        <v>628</v>
      </c>
      <c r="B70" s="2" t="s">
        <v>629</v>
      </c>
      <c r="C70" s="2" t="s">
        <v>499</v>
      </c>
      <c r="D70" s="2" t="s">
        <v>170</v>
      </c>
      <c r="E70" s="4">
        <v>45525.25</v>
      </c>
      <c r="F70" s="2" t="s">
        <v>446</v>
      </c>
      <c r="G70" s="2" t="s">
        <v>61</v>
      </c>
      <c r="H70" s="2" t="s">
        <v>24</v>
      </c>
      <c r="I70" s="2" t="b">
        <v>1</v>
      </c>
      <c r="J70" s="2" t="b">
        <v>0</v>
      </c>
      <c r="K70" s="7">
        <v>15399.79</v>
      </c>
      <c r="L70" s="16">
        <v>0</v>
      </c>
      <c r="M70" s="2">
        <v>15399.79</v>
      </c>
      <c r="N70" s="2" t="b">
        <v>1</v>
      </c>
      <c r="O70" s="2" t="s">
        <v>437</v>
      </c>
    </row>
    <row r="71" spans="1:15" x14ac:dyDescent="0.35">
      <c r="A71" s="2" t="s">
        <v>630</v>
      </c>
      <c r="B71" s="2" t="s">
        <v>631</v>
      </c>
      <c r="C71" s="2" t="s">
        <v>632</v>
      </c>
      <c r="D71" s="2" t="s">
        <v>71</v>
      </c>
      <c r="E71" s="4">
        <v>45016</v>
      </c>
      <c r="F71" s="2" t="s">
        <v>441</v>
      </c>
      <c r="G71" s="2" t="s">
        <v>219</v>
      </c>
      <c r="H71" s="2" t="s">
        <v>151</v>
      </c>
      <c r="I71" s="2" t="b">
        <v>0</v>
      </c>
      <c r="J71" s="2" t="b">
        <v>0</v>
      </c>
      <c r="K71" s="7">
        <v>0</v>
      </c>
      <c r="L71" s="16">
        <v>47959.360000000001</v>
      </c>
      <c r="M71" s="2">
        <v>47959.360000000001</v>
      </c>
      <c r="N71" s="2" t="b">
        <v>0</v>
      </c>
      <c r="O71" s="2" t="s">
        <v>454</v>
      </c>
    </row>
    <row r="72" spans="1:15" x14ac:dyDescent="0.35">
      <c r="A72" s="2" t="s">
        <v>633</v>
      </c>
      <c r="B72" s="2" t="s">
        <v>634</v>
      </c>
      <c r="C72" s="2" t="s">
        <v>574</v>
      </c>
      <c r="D72" s="2" t="s">
        <v>234</v>
      </c>
      <c r="E72" s="4">
        <v>45306.708333333336</v>
      </c>
      <c r="F72" s="2" t="s">
        <v>458</v>
      </c>
      <c r="G72" s="2" t="s">
        <v>40</v>
      </c>
      <c r="H72" s="2" t="s">
        <v>24</v>
      </c>
      <c r="I72" s="2" t="b">
        <v>0</v>
      </c>
      <c r="J72" s="2" t="b">
        <v>0</v>
      </c>
      <c r="K72" s="7">
        <v>0</v>
      </c>
      <c r="L72" s="16">
        <v>0</v>
      </c>
      <c r="M72" s="2">
        <v>0</v>
      </c>
      <c r="N72" s="2" t="b">
        <v>1</v>
      </c>
      <c r="O72" s="2" t="s">
        <v>437</v>
      </c>
    </row>
    <row r="73" spans="1:15" x14ac:dyDescent="0.35">
      <c r="A73" s="2" t="s">
        <v>635</v>
      </c>
      <c r="B73" s="2" t="s">
        <v>636</v>
      </c>
      <c r="C73" s="2" t="s">
        <v>502</v>
      </c>
      <c r="D73" s="2" t="s">
        <v>282</v>
      </c>
      <c r="E73" s="4">
        <v>45106.791666666664</v>
      </c>
      <c r="F73" s="2" t="s">
        <v>446</v>
      </c>
      <c r="G73" s="2" t="s">
        <v>75</v>
      </c>
      <c r="H73" s="2" t="s">
        <v>144</v>
      </c>
      <c r="I73" s="2" t="b">
        <v>0</v>
      </c>
      <c r="J73" s="2" t="b">
        <v>0</v>
      </c>
      <c r="K73" s="7">
        <v>0</v>
      </c>
      <c r="L73" s="16">
        <v>0</v>
      </c>
      <c r="M73" s="2">
        <v>0</v>
      </c>
      <c r="N73" s="2" t="b">
        <v>1</v>
      </c>
      <c r="O73" s="2" t="s">
        <v>432</v>
      </c>
    </row>
    <row r="74" spans="1:15" x14ac:dyDescent="0.35">
      <c r="A74" s="2" t="s">
        <v>637</v>
      </c>
      <c r="B74" s="2" t="s">
        <v>638</v>
      </c>
      <c r="C74" s="2" t="s">
        <v>555</v>
      </c>
      <c r="D74" s="2" t="s">
        <v>31</v>
      </c>
      <c r="E74" s="4">
        <v>45515.291666666664</v>
      </c>
      <c r="F74" s="2" t="s">
        <v>441</v>
      </c>
      <c r="G74" s="2" t="s">
        <v>50</v>
      </c>
      <c r="H74" s="2" t="s">
        <v>212</v>
      </c>
      <c r="I74" s="2" t="b">
        <v>1</v>
      </c>
      <c r="J74" s="2" t="b">
        <v>0</v>
      </c>
      <c r="K74" s="7">
        <v>0</v>
      </c>
      <c r="L74" s="16">
        <v>0</v>
      </c>
      <c r="M74" s="2">
        <v>0</v>
      </c>
      <c r="N74" s="2" t="b">
        <v>0</v>
      </c>
      <c r="O74" s="2" t="s">
        <v>481</v>
      </c>
    </row>
    <row r="75" spans="1:15" x14ac:dyDescent="0.35">
      <c r="A75" s="2" t="s">
        <v>639</v>
      </c>
      <c r="B75" s="2" t="s">
        <v>640</v>
      </c>
      <c r="C75" s="2" t="s">
        <v>599</v>
      </c>
      <c r="D75" s="2" t="s">
        <v>301</v>
      </c>
      <c r="E75" s="4">
        <v>44698.375</v>
      </c>
      <c r="F75" s="2" t="s">
        <v>436</v>
      </c>
      <c r="G75" s="2" t="s">
        <v>105</v>
      </c>
      <c r="H75" s="2" t="s">
        <v>126</v>
      </c>
      <c r="I75" s="2" t="b">
        <v>1</v>
      </c>
      <c r="J75" s="2" t="b">
        <v>0</v>
      </c>
      <c r="K75" s="7">
        <v>0</v>
      </c>
      <c r="L75" s="16">
        <v>0</v>
      </c>
      <c r="M75" s="2">
        <v>0</v>
      </c>
      <c r="N75" s="2" t="b">
        <v>1</v>
      </c>
      <c r="O75" s="2" t="s">
        <v>490</v>
      </c>
    </row>
    <row r="76" spans="1:15" x14ac:dyDescent="0.35">
      <c r="A76" s="2" t="s">
        <v>641</v>
      </c>
      <c r="B76" s="2" t="s">
        <v>642</v>
      </c>
      <c r="C76" s="2" t="s">
        <v>643</v>
      </c>
      <c r="D76" s="2" t="s">
        <v>26</v>
      </c>
      <c r="E76" s="4">
        <v>44937.333333333336</v>
      </c>
      <c r="F76" s="2" t="s">
        <v>446</v>
      </c>
      <c r="G76" s="2" t="s">
        <v>30</v>
      </c>
      <c r="H76" s="2" t="s">
        <v>74</v>
      </c>
      <c r="I76" s="2" t="b">
        <v>1</v>
      </c>
      <c r="J76" s="2" t="b">
        <v>0</v>
      </c>
      <c r="K76" s="7">
        <v>0</v>
      </c>
      <c r="L76" s="16">
        <v>0</v>
      </c>
      <c r="M76" s="2">
        <v>0</v>
      </c>
      <c r="N76" s="2" t="b">
        <v>0</v>
      </c>
      <c r="O76" s="2" t="s">
        <v>503</v>
      </c>
    </row>
    <row r="77" spans="1:15" x14ac:dyDescent="0.35">
      <c r="A77" s="2" t="s">
        <v>644</v>
      </c>
      <c r="B77" s="2" t="s">
        <v>645</v>
      </c>
      <c r="C77" s="2" t="s">
        <v>518</v>
      </c>
      <c r="D77" s="2" t="s">
        <v>179</v>
      </c>
      <c r="E77" s="4">
        <v>44886.666666666664</v>
      </c>
      <c r="F77" s="2" t="s">
        <v>441</v>
      </c>
      <c r="G77" s="2" t="s">
        <v>167</v>
      </c>
      <c r="H77" s="2" t="s">
        <v>39</v>
      </c>
      <c r="I77" s="2" t="b">
        <v>0</v>
      </c>
      <c r="J77" s="2" t="b">
        <v>1</v>
      </c>
      <c r="K77" s="7">
        <v>23775.81</v>
      </c>
      <c r="L77" s="16">
        <v>0</v>
      </c>
      <c r="M77" s="2">
        <v>23775.81</v>
      </c>
      <c r="N77" s="2" t="b">
        <v>0</v>
      </c>
      <c r="O77" s="2" t="s">
        <v>428</v>
      </c>
    </row>
    <row r="78" spans="1:15" x14ac:dyDescent="0.35">
      <c r="A78" s="2" t="s">
        <v>646</v>
      </c>
      <c r="B78" s="2" t="s">
        <v>647</v>
      </c>
      <c r="C78" s="2" t="s">
        <v>648</v>
      </c>
      <c r="D78" s="2" t="s">
        <v>392</v>
      </c>
      <c r="E78" s="4">
        <v>45067.458333333336</v>
      </c>
      <c r="F78" s="2" t="s">
        <v>441</v>
      </c>
      <c r="G78" s="2" t="s">
        <v>117</v>
      </c>
      <c r="H78" s="2" t="s">
        <v>136</v>
      </c>
      <c r="I78" s="2" t="b">
        <v>0</v>
      </c>
      <c r="J78" s="2" t="b">
        <v>1</v>
      </c>
      <c r="K78" s="7">
        <v>18884.39</v>
      </c>
      <c r="L78" s="16">
        <v>29755.82</v>
      </c>
      <c r="M78" s="2">
        <v>48640.21</v>
      </c>
      <c r="N78" s="2" t="b">
        <v>0</v>
      </c>
      <c r="O78" s="2" t="s">
        <v>442</v>
      </c>
    </row>
    <row r="79" spans="1:15" x14ac:dyDescent="0.35">
      <c r="A79" s="2" t="s">
        <v>649</v>
      </c>
      <c r="B79" s="2" t="s">
        <v>650</v>
      </c>
      <c r="C79" s="2" t="s">
        <v>593</v>
      </c>
      <c r="D79" s="2" t="s">
        <v>341</v>
      </c>
      <c r="E79" s="4">
        <v>45034.291666666664</v>
      </c>
      <c r="F79" s="2" t="s">
        <v>427</v>
      </c>
      <c r="G79" s="2" t="s">
        <v>206</v>
      </c>
      <c r="H79" s="2" t="s">
        <v>24</v>
      </c>
      <c r="I79" s="2" t="b">
        <v>0</v>
      </c>
      <c r="J79" s="2" t="b">
        <v>0</v>
      </c>
      <c r="K79" s="7">
        <v>0</v>
      </c>
      <c r="L79" s="16">
        <v>0</v>
      </c>
      <c r="M79" s="2">
        <v>0</v>
      </c>
      <c r="N79" s="2" t="b">
        <v>0</v>
      </c>
      <c r="O79" s="2" t="s">
        <v>521</v>
      </c>
    </row>
    <row r="80" spans="1:15" x14ac:dyDescent="0.35">
      <c r="A80" s="2" t="s">
        <v>651</v>
      </c>
      <c r="B80" s="2" t="s">
        <v>652</v>
      </c>
      <c r="C80" s="2" t="s">
        <v>596</v>
      </c>
      <c r="D80" s="2" t="s">
        <v>172</v>
      </c>
      <c r="E80" s="4">
        <v>44791.041666666664</v>
      </c>
      <c r="F80" s="2" t="s">
        <v>436</v>
      </c>
      <c r="G80" s="2" t="s">
        <v>50</v>
      </c>
      <c r="H80" s="2" t="s">
        <v>284</v>
      </c>
      <c r="I80" s="2" t="b">
        <v>0</v>
      </c>
      <c r="J80" s="2" t="b">
        <v>0</v>
      </c>
      <c r="K80" s="7">
        <v>19373.439999999999</v>
      </c>
      <c r="L80" s="16">
        <v>0</v>
      </c>
      <c r="M80" s="2">
        <v>19373.439999999999</v>
      </c>
      <c r="N80" s="2" t="b">
        <v>0</v>
      </c>
      <c r="O80" s="2" t="s">
        <v>432</v>
      </c>
    </row>
    <row r="81" spans="1:15" x14ac:dyDescent="0.35">
      <c r="A81" s="2" t="s">
        <v>653</v>
      </c>
      <c r="B81" s="2" t="s">
        <v>654</v>
      </c>
      <c r="C81" s="2" t="s">
        <v>655</v>
      </c>
      <c r="D81" s="2" t="s">
        <v>204</v>
      </c>
      <c r="E81" s="4">
        <v>44582.708333333336</v>
      </c>
      <c r="F81" s="2" t="s">
        <v>427</v>
      </c>
      <c r="G81" s="2" t="s">
        <v>117</v>
      </c>
      <c r="H81" s="2" t="s">
        <v>29</v>
      </c>
      <c r="I81" s="2" t="b">
        <v>0</v>
      </c>
      <c r="J81" s="2" t="b">
        <v>0</v>
      </c>
      <c r="K81" s="7">
        <v>1898.17</v>
      </c>
      <c r="L81" s="16">
        <v>0</v>
      </c>
      <c r="M81" s="2">
        <v>1898.17</v>
      </c>
      <c r="N81" s="2" t="b">
        <v>0</v>
      </c>
      <c r="O81" s="2" t="s">
        <v>503</v>
      </c>
    </row>
    <row r="82" spans="1:15" x14ac:dyDescent="0.35">
      <c r="A82" s="2" t="s">
        <v>656</v>
      </c>
      <c r="B82" s="2" t="s">
        <v>657</v>
      </c>
      <c r="C82" s="2" t="s">
        <v>445</v>
      </c>
      <c r="D82" s="2" t="s">
        <v>170</v>
      </c>
      <c r="E82" s="4">
        <v>44569.916666666664</v>
      </c>
      <c r="F82" s="2" t="s">
        <v>458</v>
      </c>
      <c r="G82" s="2" t="s">
        <v>105</v>
      </c>
      <c r="H82" s="2" t="s">
        <v>55</v>
      </c>
      <c r="I82" s="2" t="b">
        <v>0</v>
      </c>
      <c r="J82" s="2" t="b">
        <v>0</v>
      </c>
      <c r="K82" s="7">
        <v>10725.67</v>
      </c>
      <c r="L82" s="16">
        <v>0</v>
      </c>
      <c r="M82" s="2">
        <v>10725.67</v>
      </c>
      <c r="N82" s="2" t="b">
        <v>0</v>
      </c>
      <c r="O82" s="2" t="s">
        <v>481</v>
      </c>
    </row>
    <row r="83" spans="1:15" x14ac:dyDescent="0.35">
      <c r="A83" s="2" t="s">
        <v>658</v>
      </c>
      <c r="B83" s="2" t="s">
        <v>659</v>
      </c>
      <c r="C83" s="2" t="s">
        <v>660</v>
      </c>
      <c r="D83" s="2" t="s">
        <v>76</v>
      </c>
      <c r="E83" s="4">
        <v>45196.75</v>
      </c>
      <c r="F83" s="2" t="s">
        <v>427</v>
      </c>
      <c r="G83" s="2" t="s">
        <v>56</v>
      </c>
      <c r="H83" s="2" t="s">
        <v>55</v>
      </c>
      <c r="I83" s="2" t="b">
        <v>0</v>
      </c>
      <c r="J83" s="2" t="b">
        <v>0</v>
      </c>
      <c r="K83" s="7">
        <v>3391.18</v>
      </c>
      <c r="L83" s="16">
        <v>35893</v>
      </c>
      <c r="M83" s="2">
        <v>39284.18</v>
      </c>
      <c r="N83" s="2" t="b">
        <v>1</v>
      </c>
      <c r="O83" s="2" t="s">
        <v>503</v>
      </c>
    </row>
    <row r="84" spans="1:15" x14ac:dyDescent="0.35">
      <c r="A84" s="2" t="s">
        <v>661</v>
      </c>
      <c r="B84" s="2" t="s">
        <v>662</v>
      </c>
      <c r="C84" s="2" t="s">
        <v>450</v>
      </c>
      <c r="D84" s="2" t="s">
        <v>145</v>
      </c>
      <c r="E84" s="4">
        <v>44746.083333333336</v>
      </c>
      <c r="F84" s="2" t="s">
        <v>441</v>
      </c>
      <c r="G84" s="2" t="s">
        <v>70</v>
      </c>
      <c r="H84" s="2" t="s">
        <v>88</v>
      </c>
      <c r="I84" s="2" t="b">
        <v>0</v>
      </c>
      <c r="J84" s="2" t="b">
        <v>0</v>
      </c>
      <c r="K84" s="7">
        <v>0</v>
      </c>
      <c r="L84" s="16">
        <v>8606.98</v>
      </c>
      <c r="M84" s="2">
        <v>8606.98</v>
      </c>
      <c r="N84" s="2" t="b">
        <v>1</v>
      </c>
      <c r="O84" s="2" t="s">
        <v>442</v>
      </c>
    </row>
    <row r="85" spans="1:15" x14ac:dyDescent="0.35">
      <c r="A85" s="2" t="s">
        <v>663</v>
      </c>
      <c r="B85" s="2" t="s">
        <v>664</v>
      </c>
      <c r="C85" s="2" t="s">
        <v>665</v>
      </c>
      <c r="D85" s="2" t="s">
        <v>195</v>
      </c>
      <c r="E85" s="4">
        <v>45604.208333333336</v>
      </c>
      <c r="F85" s="2" t="s">
        <v>441</v>
      </c>
      <c r="G85" s="2" t="s">
        <v>30</v>
      </c>
      <c r="H85" s="2" t="s">
        <v>156</v>
      </c>
      <c r="I85" s="2" t="b">
        <v>1</v>
      </c>
      <c r="J85" s="2" t="b">
        <v>0</v>
      </c>
      <c r="K85" s="7">
        <v>0</v>
      </c>
      <c r="L85" s="16">
        <v>0</v>
      </c>
      <c r="M85" s="2">
        <v>0</v>
      </c>
      <c r="N85" s="2" t="b">
        <v>0</v>
      </c>
      <c r="O85" s="2" t="s">
        <v>503</v>
      </c>
    </row>
    <row r="86" spans="1:15" x14ac:dyDescent="0.35">
      <c r="A86" s="2" t="s">
        <v>666</v>
      </c>
      <c r="B86" s="2" t="s">
        <v>667</v>
      </c>
      <c r="C86" s="2" t="s">
        <v>668</v>
      </c>
      <c r="D86" s="2" t="s">
        <v>224</v>
      </c>
      <c r="E86" s="4">
        <v>45141.791666666664</v>
      </c>
      <c r="F86" s="2" t="s">
        <v>458</v>
      </c>
      <c r="G86" s="2" t="s">
        <v>61</v>
      </c>
      <c r="H86" s="2" t="s">
        <v>88</v>
      </c>
      <c r="I86" s="2" t="b">
        <v>0</v>
      </c>
      <c r="J86" s="2" t="b">
        <v>0</v>
      </c>
      <c r="K86" s="7">
        <v>0</v>
      </c>
      <c r="L86" s="16">
        <v>0</v>
      </c>
      <c r="M86" s="2">
        <v>0</v>
      </c>
      <c r="N86" s="2" t="b">
        <v>1</v>
      </c>
      <c r="O86" s="2" t="s">
        <v>454</v>
      </c>
    </row>
    <row r="87" spans="1:15" x14ac:dyDescent="0.35">
      <c r="A87" s="2" t="s">
        <v>669</v>
      </c>
      <c r="B87" s="2" t="s">
        <v>670</v>
      </c>
      <c r="C87" s="2" t="s">
        <v>671</v>
      </c>
      <c r="D87" s="2" t="s">
        <v>607</v>
      </c>
      <c r="E87" s="4">
        <v>45575.625</v>
      </c>
      <c r="F87" s="2" t="s">
        <v>446</v>
      </c>
      <c r="G87" s="2" t="s">
        <v>25</v>
      </c>
      <c r="H87" s="2" t="s">
        <v>80</v>
      </c>
      <c r="I87" s="2" t="b">
        <v>0</v>
      </c>
      <c r="J87" s="2" t="b">
        <v>0</v>
      </c>
      <c r="K87" s="7">
        <v>0</v>
      </c>
      <c r="L87" s="16">
        <v>0</v>
      </c>
      <c r="M87" s="2">
        <v>0</v>
      </c>
      <c r="N87" s="2" t="b">
        <v>1</v>
      </c>
      <c r="O87" s="2" t="s">
        <v>432</v>
      </c>
    </row>
    <row r="88" spans="1:15" x14ac:dyDescent="0.35">
      <c r="A88" s="2" t="s">
        <v>672</v>
      </c>
      <c r="B88" s="2" t="s">
        <v>673</v>
      </c>
      <c r="C88" s="2" t="s">
        <v>562</v>
      </c>
      <c r="D88" s="2" t="s">
        <v>187</v>
      </c>
      <c r="E88" s="4">
        <v>44961.375</v>
      </c>
      <c r="F88" s="2" t="s">
        <v>436</v>
      </c>
      <c r="G88" s="2" t="s">
        <v>209</v>
      </c>
      <c r="H88" s="2" t="s">
        <v>104</v>
      </c>
      <c r="I88" s="2" t="b">
        <v>0</v>
      </c>
      <c r="J88" s="2" t="b">
        <v>0</v>
      </c>
      <c r="K88" s="7">
        <v>0</v>
      </c>
      <c r="L88" s="16">
        <v>0</v>
      </c>
      <c r="M88" s="2">
        <v>0</v>
      </c>
      <c r="N88" s="2" t="b">
        <v>0</v>
      </c>
      <c r="O88" s="2" t="s">
        <v>437</v>
      </c>
    </row>
    <row r="89" spans="1:15" x14ac:dyDescent="0.35">
      <c r="A89" s="2" t="s">
        <v>674</v>
      </c>
      <c r="B89" s="2" t="s">
        <v>675</v>
      </c>
      <c r="C89" s="2" t="s">
        <v>676</v>
      </c>
      <c r="D89" s="2" t="s">
        <v>313</v>
      </c>
      <c r="E89" s="4">
        <v>44952.125</v>
      </c>
      <c r="F89" s="2" t="s">
        <v>436</v>
      </c>
      <c r="G89" s="2" t="s">
        <v>61</v>
      </c>
      <c r="H89" s="2" t="s">
        <v>29</v>
      </c>
      <c r="I89" s="2" t="b">
        <v>0</v>
      </c>
      <c r="J89" s="2" t="b">
        <v>1</v>
      </c>
      <c r="K89" s="7">
        <v>12833.93</v>
      </c>
      <c r="L89" s="16">
        <v>0</v>
      </c>
      <c r="M89" s="2">
        <v>12833.93</v>
      </c>
      <c r="N89" s="2" t="b">
        <v>1</v>
      </c>
      <c r="O89" s="2" t="s">
        <v>442</v>
      </c>
    </row>
    <row r="90" spans="1:15" x14ac:dyDescent="0.35">
      <c r="A90" s="2" t="s">
        <v>677</v>
      </c>
      <c r="B90" s="2" t="s">
        <v>678</v>
      </c>
      <c r="C90" s="2" t="s">
        <v>679</v>
      </c>
      <c r="D90" s="2" t="s">
        <v>199</v>
      </c>
      <c r="E90" s="4">
        <v>44671.958333333336</v>
      </c>
      <c r="F90" s="2" t="s">
        <v>446</v>
      </c>
      <c r="G90" s="2" t="s">
        <v>40</v>
      </c>
      <c r="H90" s="2" t="s">
        <v>284</v>
      </c>
      <c r="I90" s="2" t="b">
        <v>0</v>
      </c>
      <c r="J90" s="2" t="b">
        <v>0</v>
      </c>
      <c r="K90" s="7">
        <v>4569.66</v>
      </c>
      <c r="L90" s="16">
        <v>45853.75</v>
      </c>
      <c r="M90" s="2">
        <v>50423.41</v>
      </c>
      <c r="N90" s="2" t="b">
        <v>0</v>
      </c>
      <c r="O90" s="2" t="s">
        <v>428</v>
      </c>
    </row>
    <row r="91" spans="1:15" x14ac:dyDescent="0.35">
      <c r="A91" s="2" t="s">
        <v>680</v>
      </c>
      <c r="B91" s="2" t="s">
        <v>681</v>
      </c>
      <c r="C91" s="2" t="s">
        <v>471</v>
      </c>
      <c r="D91" s="2" t="s">
        <v>154</v>
      </c>
      <c r="E91" s="4">
        <v>45286.416666666664</v>
      </c>
      <c r="F91" s="2" t="s">
        <v>458</v>
      </c>
      <c r="G91" s="2" t="s">
        <v>56</v>
      </c>
      <c r="H91" s="2" t="s">
        <v>49</v>
      </c>
      <c r="I91" s="2" t="b">
        <v>0</v>
      </c>
      <c r="J91" s="2" t="b">
        <v>0</v>
      </c>
      <c r="K91" s="7">
        <v>0</v>
      </c>
      <c r="L91" s="16">
        <v>0</v>
      </c>
      <c r="M91" s="2">
        <v>0</v>
      </c>
      <c r="N91" s="2" t="b">
        <v>0</v>
      </c>
      <c r="O91" s="2" t="s">
        <v>432</v>
      </c>
    </row>
    <row r="92" spans="1:15" x14ac:dyDescent="0.35">
      <c r="A92" s="2" t="s">
        <v>682</v>
      </c>
      <c r="B92" s="2" t="s">
        <v>683</v>
      </c>
      <c r="C92" s="2" t="s">
        <v>562</v>
      </c>
      <c r="D92" s="2" t="s">
        <v>276</v>
      </c>
      <c r="E92" s="4">
        <v>45461.625</v>
      </c>
      <c r="F92" s="2" t="s">
        <v>458</v>
      </c>
      <c r="G92" s="2" t="s">
        <v>273</v>
      </c>
      <c r="H92" s="2" t="s">
        <v>29</v>
      </c>
      <c r="I92" s="2" t="b">
        <v>1</v>
      </c>
      <c r="J92" s="2" t="b">
        <v>0</v>
      </c>
      <c r="K92" s="7">
        <v>17306.77</v>
      </c>
      <c r="L92" s="16">
        <v>0</v>
      </c>
      <c r="M92" s="2">
        <v>17306.77</v>
      </c>
      <c r="N92" s="2" t="b">
        <v>1</v>
      </c>
      <c r="O92" s="2" t="s">
        <v>481</v>
      </c>
    </row>
    <row r="93" spans="1:15" x14ac:dyDescent="0.35">
      <c r="A93" s="2" t="s">
        <v>684</v>
      </c>
      <c r="B93" s="2" t="s">
        <v>685</v>
      </c>
      <c r="C93" s="2" t="s">
        <v>580</v>
      </c>
      <c r="D93" s="2" t="s">
        <v>351</v>
      </c>
      <c r="E93" s="4">
        <v>45621.541666666664</v>
      </c>
      <c r="F93" s="2" t="s">
        <v>458</v>
      </c>
      <c r="G93" s="2" t="s">
        <v>127</v>
      </c>
      <c r="H93" s="2" t="s">
        <v>74</v>
      </c>
      <c r="I93" s="2" t="b">
        <v>0</v>
      </c>
      <c r="J93" s="2" t="b">
        <v>0</v>
      </c>
      <c r="K93" s="7">
        <v>21157.62</v>
      </c>
      <c r="L93" s="16">
        <v>5222.46</v>
      </c>
      <c r="M93" s="2">
        <v>26380.080000000002</v>
      </c>
      <c r="N93" s="2" t="b">
        <v>0</v>
      </c>
      <c r="O93" s="2" t="s">
        <v>442</v>
      </c>
    </row>
    <row r="94" spans="1:15" x14ac:dyDescent="0.35">
      <c r="A94" s="2" t="s">
        <v>686</v>
      </c>
      <c r="B94" s="2" t="s">
        <v>687</v>
      </c>
      <c r="C94" s="2" t="s">
        <v>632</v>
      </c>
      <c r="D94" s="2" t="s">
        <v>376</v>
      </c>
      <c r="E94" s="4">
        <v>45511.708333333336</v>
      </c>
      <c r="F94" s="2" t="s">
        <v>441</v>
      </c>
      <c r="G94" s="2" t="s">
        <v>70</v>
      </c>
      <c r="H94" s="2" t="s">
        <v>112</v>
      </c>
      <c r="I94" s="2" t="b">
        <v>0</v>
      </c>
      <c r="J94" s="2" t="b">
        <v>0</v>
      </c>
      <c r="K94" s="7">
        <v>14119.63</v>
      </c>
      <c r="L94" s="16">
        <v>0</v>
      </c>
      <c r="M94" s="2">
        <v>14119.63</v>
      </c>
      <c r="N94" s="2" t="b">
        <v>1</v>
      </c>
      <c r="O94" s="2" t="s">
        <v>447</v>
      </c>
    </row>
    <row r="95" spans="1:15" x14ac:dyDescent="0.35">
      <c r="A95" s="2" t="s">
        <v>688</v>
      </c>
      <c r="B95" s="2" t="s">
        <v>689</v>
      </c>
      <c r="C95" s="2" t="s">
        <v>502</v>
      </c>
      <c r="D95" s="2" t="s">
        <v>236</v>
      </c>
      <c r="E95" s="4">
        <v>44949.416666666664</v>
      </c>
      <c r="F95" s="2" t="s">
        <v>427</v>
      </c>
      <c r="G95" s="2" t="s">
        <v>25</v>
      </c>
      <c r="H95" s="2" t="s">
        <v>88</v>
      </c>
      <c r="I95" s="2" t="b">
        <v>0</v>
      </c>
      <c r="J95" s="2" t="b">
        <v>0</v>
      </c>
      <c r="K95" s="7">
        <v>9874.61</v>
      </c>
      <c r="L95" s="16">
        <v>214.41</v>
      </c>
      <c r="M95" s="2">
        <v>10089.02</v>
      </c>
      <c r="N95" s="2" t="b">
        <v>0</v>
      </c>
      <c r="O95" s="2" t="s">
        <v>428</v>
      </c>
    </row>
    <row r="96" spans="1:15" x14ac:dyDescent="0.35">
      <c r="A96" s="2" t="s">
        <v>690</v>
      </c>
      <c r="B96" s="2" t="s">
        <v>691</v>
      </c>
      <c r="C96" s="2" t="s">
        <v>623</v>
      </c>
      <c r="D96" s="2" t="s">
        <v>271</v>
      </c>
      <c r="E96" s="4">
        <v>45617.666666666664</v>
      </c>
      <c r="F96" s="2" t="s">
        <v>458</v>
      </c>
      <c r="G96" s="2" t="s">
        <v>117</v>
      </c>
      <c r="H96" s="2" t="s">
        <v>29</v>
      </c>
      <c r="I96" s="2" t="b">
        <v>1</v>
      </c>
      <c r="J96" s="2" t="b">
        <v>0</v>
      </c>
      <c r="K96" s="7">
        <v>1279.18</v>
      </c>
      <c r="L96" s="16">
        <v>0</v>
      </c>
      <c r="M96" s="2">
        <v>1279.18</v>
      </c>
      <c r="N96" s="2" t="b">
        <v>0</v>
      </c>
      <c r="O96" s="2" t="s">
        <v>566</v>
      </c>
    </row>
    <row r="97" spans="1:15" x14ac:dyDescent="0.35">
      <c r="A97" s="2" t="s">
        <v>692</v>
      </c>
      <c r="B97" s="2" t="s">
        <v>693</v>
      </c>
      <c r="C97" s="2" t="s">
        <v>580</v>
      </c>
      <c r="D97" s="2" t="s">
        <v>190</v>
      </c>
      <c r="E97" s="4">
        <v>45491.708333333336</v>
      </c>
      <c r="F97" s="2" t="s">
        <v>458</v>
      </c>
      <c r="G97" s="2" t="s">
        <v>97</v>
      </c>
      <c r="H97" s="2" t="s">
        <v>126</v>
      </c>
      <c r="I97" s="2" t="b">
        <v>0</v>
      </c>
      <c r="J97" s="2" t="b">
        <v>1</v>
      </c>
      <c r="K97" s="7">
        <v>3427.03</v>
      </c>
      <c r="L97" s="16">
        <v>0</v>
      </c>
      <c r="M97" s="2">
        <v>3427.03</v>
      </c>
      <c r="N97" s="2" t="b">
        <v>0</v>
      </c>
      <c r="O97" s="2" t="s">
        <v>481</v>
      </c>
    </row>
    <row r="98" spans="1:15" x14ac:dyDescent="0.35">
      <c r="A98" s="2" t="s">
        <v>694</v>
      </c>
      <c r="B98" s="2" t="s">
        <v>695</v>
      </c>
      <c r="C98" s="2" t="s">
        <v>696</v>
      </c>
      <c r="D98" s="2" t="s">
        <v>172</v>
      </c>
      <c r="E98" s="4">
        <v>45620.458333333336</v>
      </c>
      <c r="F98" s="2" t="s">
        <v>427</v>
      </c>
      <c r="G98" s="2" t="s">
        <v>66</v>
      </c>
      <c r="H98" s="2" t="s">
        <v>104</v>
      </c>
      <c r="I98" s="2" t="b">
        <v>0</v>
      </c>
      <c r="J98" s="2" t="b">
        <v>0</v>
      </c>
      <c r="K98" s="7">
        <v>9235.6299999999992</v>
      </c>
      <c r="L98" s="16">
        <v>0</v>
      </c>
      <c r="M98" s="2">
        <v>9235.6299999999992</v>
      </c>
      <c r="N98" s="2" t="b">
        <v>0</v>
      </c>
      <c r="O98" s="2" t="s">
        <v>566</v>
      </c>
    </row>
    <row r="99" spans="1:15" x14ac:dyDescent="0.35">
      <c r="A99" s="2" t="s">
        <v>697</v>
      </c>
      <c r="B99" s="2" t="s">
        <v>698</v>
      </c>
      <c r="C99" s="2" t="s">
        <v>604</v>
      </c>
      <c r="D99" s="2" t="s">
        <v>343</v>
      </c>
      <c r="E99" s="4">
        <v>45419.541666666664</v>
      </c>
      <c r="F99" s="2" t="s">
        <v>436</v>
      </c>
      <c r="G99" s="2" t="s">
        <v>45</v>
      </c>
      <c r="H99" s="2" t="s">
        <v>166</v>
      </c>
      <c r="I99" s="2" t="b">
        <v>0</v>
      </c>
      <c r="J99" s="2" t="b">
        <v>0</v>
      </c>
      <c r="K99" s="7">
        <v>8200.77</v>
      </c>
      <c r="L99" s="16">
        <v>9329.09</v>
      </c>
      <c r="M99" s="2">
        <v>17529.86</v>
      </c>
      <c r="N99" s="2" t="b">
        <v>1</v>
      </c>
      <c r="O99" s="2" t="s">
        <v>451</v>
      </c>
    </row>
    <row r="100" spans="1:15" x14ac:dyDescent="0.35">
      <c r="A100" s="2" t="s">
        <v>699</v>
      </c>
      <c r="B100" s="2" t="s">
        <v>700</v>
      </c>
      <c r="C100" s="2" t="s">
        <v>474</v>
      </c>
      <c r="D100" s="2" t="s">
        <v>295</v>
      </c>
      <c r="E100" s="4">
        <v>44996.583333333336</v>
      </c>
      <c r="F100" s="2" t="s">
        <v>446</v>
      </c>
      <c r="G100" s="2" t="s">
        <v>25</v>
      </c>
      <c r="H100" s="2" t="s">
        <v>39</v>
      </c>
      <c r="I100" s="2" t="b">
        <v>0</v>
      </c>
      <c r="J100" s="2" t="b">
        <v>0</v>
      </c>
      <c r="K100" s="7">
        <v>0</v>
      </c>
      <c r="L100" s="16">
        <v>0</v>
      </c>
      <c r="M100" s="2">
        <v>0</v>
      </c>
      <c r="N100" s="2" t="b">
        <v>1</v>
      </c>
      <c r="O100" s="2" t="s">
        <v>490</v>
      </c>
    </row>
    <row r="101" spans="1:15" x14ac:dyDescent="0.35">
      <c r="A101" s="2" t="s">
        <v>701</v>
      </c>
      <c r="B101" s="2" t="s">
        <v>702</v>
      </c>
      <c r="C101" s="2" t="s">
        <v>580</v>
      </c>
      <c r="D101" s="2" t="s">
        <v>315</v>
      </c>
      <c r="E101" s="4">
        <v>45603.541666666664</v>
      </c>
      <c r="F101" s="2" t="s">
        <v>446</v>
      </c>
      <c r="G101" s="2" t="s">
        <v>66</v>
      </c>
      <c r="H101" s="2" t="s">
        <v>49</v>
      </c>
      <c r="I101" s="2" t="b">
        <v>0</v>
      </c>
      <c r="J101" s="2" t="b">
        <v>0</v>
      </c>
      <c r="K101" s="7">
        <v>0</v>
      </c>
      <c r="L101" s="16">
        <v>0</v>
      </c>
      <c r="M101" s="2">
        <v>0</v>
      </c>
      <c r="N101" s="2" t="b">
        <v>1</v>
      </c>
      <c r="O101" s="2" t="s">
        <v>566</v>
      </c>
    </row>
    <row r="102" spans="1:15" x14ac:dyDescent="0.35">
      <c r="A102" s="2" t="s">
        <v>703</v>
      </c>
      <c r="B102" s="2" t="s">
        <v>704</v>
      </c>
      <c r="C102" s="2" t="s">
        <v>705</v>
      </c>
      <c r="D102" s="2" t="s">
        <v>299</v>
      </c>
      <c r="E102" s="4">
        <v>45073.041666666664</v>
      </c>
      <c r="F102" s="2" t="s">
        <v>458</v>
      </c>
      <c r="G102" s="2" t="s">
        <v>45</v>
      </c>
      <c r="H102" s="2" t="s">
        <v>278</v>
      </c>
      <c r="I102" s="2" t="b">
        <v>0</v>
      </c>
      <c r="J102" s="2" t="b">
        <v>0</v>
      </c>
      <c r="K102" s="7">
        <v>14754.02</v>
      </c>
      <c r="L102" s="16">
        <v>15205.91</v>
      </c>
      <c r="M102" s="2">
        <v>29959.93</v>
      </c>
      <c r="N102" s="2" t="b">
        <v>0</v>
      </c>
      <c r="O102" s="2" t="s">
        <v>432</v>
      </c>
    </row>
    <row r="103" spans="1:15" x14ac:dyDescent="0.35">
      <c r="A103" s="2" t="s">
        <v>706</v>
      </c>
      <c r="B103" s="2" t="s">
        <v>707</v>
      </c>
      <c r="C103" s="2" t="s">
        <v>671</v>
      </c>
      <c r="D103" s="2" t="s">
        <v>282</v>
      </c>
      <c r="E103" s="4">
        <v>44749.708333333336</v>
      </c>
      <c r="F103" s="2" t="s">
        <v>441</v>
      </c>
      <c r="G103" s="2" t="s">
        <v>203</v>
      </c>
      <c r="H103" s="2" t="s">
        <v>96</v>
      </c>
      <c r="I103" s="2" t="b">
        <v>1</v>
      </c>
      <c r="J103" s="2" t="b">
        <v>0</v>
      </c>
      <c r="K103" s="7">
        <v>21112.58</v>
      </c>
      <c r="L103" s="16">
        <v>0</v>
      </c>
      <c r="M103" s="2">
        <v>21112.58</v>
      </c>
      <c r="N103" s="2" t="b">
        <v>0</v>
      </c>
      <c r="O103" s="2" t="s">
        <v>521</v>
      </c>
    </row>
    <row r="104" spans="1:15" x14ac:dyDescent="0.35">
      <c r="A104" s="2" t="s">
        <v>708</v>
      </c>
      <c r="B104" s="2" t="s">
        <v>709</v>
      </c>
      <c r="C104" s="2" t="s">
        <v>710</v>
      </c>
      <c r="D104" s="2" t="s">
        <v>295</v>
      </c>
      <c r="E104" s="4">
        <v>45333.125</v>
      </c>
      <c r="F104" s="2" t="s">
        <v>458</v>
      </c>
      <c r="G104" s="2" t="s">
        <v>167</v>
      </c>
      <c r="H104" s="2" t="s">
        <v>104</v>
      </c>
      <c r="I104" s="2" t="b">
        <v>0</v>
      </c>
      <c r="J104" s="2" t="b">
        <v>0</v>
      </c>
      <c r="K104" s="7">
        <v>0</v>
      </c>
      <c r="L104" s="16">
        <v>0</v>
      </c>
      <c r="M104" s="2">
        <v>0</v>
      </c>
      <c r="N104" s="2" t="b">
        <v>1</v>
      </c>
      <c r="O104" s="2" t="s">
        <v>481</v>
      </c>
    </row>
    <row r="105" spans="1:15" x14ac:dyDescent="0.35">
      <c r="A105" s="2" t="s">
        <v>711</v>
      </c>
      <c r="B105" s="2" t="s">
        <v>712</v>
      </c>
      <c r="C105" s="2" t="s">
        <v>713</v>
      </c>
      <c r="D105" s="2" t="s">
        <v>351</v>
      </c>
      <c r="E105" s="4">
        <v>44623.666666666664</v>
      </c>
      <c r="F105" s="2" t="s">
        <v>427</v>
      </c>
      <c r="G105" s="2" t="s">
        <v>203</v>
      </c>
      <c r="H105" s="2" t="s">
        <v>151</v>
      </c>
      <c r="I105" s="2" t="b">
        <v>1</v>
      </c>
      <c r="J105" s="2" t="b">
        <v>0</v>
      </c>
      <c r="K105" s="7">
        <v>3683.8</v>
      </c>
      <c r="L105" s="16">
        <v>383.06</v>
      </c>
      <c r="M105" s="2">
        <v>4066.86</v>
      </c>
      <c r="N105" s="2" t="b">
        <v>1</v>
      </c>
      <c r="O105" s="2" t="s">
        <v>521</v>
      </c>
    </row>
    <row r="106" spans="1:15" x14ac:dyDescent="0.35">
      <c r="A106" s="2" t="s">
        <v>714</v>
      </c>
      <c r="B106" s="2" t="s">
        <v>715</v>
      </c>
      <c r="C106" s="2" t="s">
        <v>696</v>
      </c>
      <c r="D106" s="2" t="s">
        <v>26</v>
      </c>
      <c r="E106" s="4">
        <v>45503.875</v>
      </c>
      <c r="F106" s="2" t="s">
        <v>458</v>
      </c>
      <c r="G106" s="2" t="s">
        <v>30</v>
      </c>
      <c r="H106" s="2" t="s">
        <v>24</v>
      </c>
      <c r="I106" s="2" t="b">
        <v>0</v>
      </c>
      <c r="J106" s="2" t="b">
        <v>0</v>
      </c>
      <c r="K106" s="7">
        <v>9156.0300000000007</v>
      </c>
      <c r="L106" s="16">
        <v>0</v>
      </c>
      <c r="M106" s="2">
        <v>9156.0300000000007</v>
      </c>
      <c r="N106" s="2" t="b">
        <v>1</v>
      </c>
      <c r="O106" s="2" t="s">
        <v>521</v>
      </c>
    </row>
    <row r="107" spans="1:15" x14ac:dyDescent="0.35">
      <c r="A107" s="2" t="s">
        <v>716</v>
      </c>
      <c r="B107" s="2" t="s">
        <v>717</v>
      </c>
      <c r="C107" s="2" t="s">
        <v>506</v>
      </c>
      <c r="D107" s="2" t="s">
        <v>309</v>
      </c>
      <c r="E107" s="4">
        <v>45360.291666666664</v>
      </c>
      <c r="F107" s="2" t="s">
        <v>446</v>
      </c>
      <c r="G107" s="2" t="s">
        <v>250</v>
      </c>
      <c r="H107" s="2" t="s">
        <v>284</v>
      </c>
      <c r="I107" s="2" t="b">
        <v>0</v>
      </c>
      <c r="J107" s="2" t="b">
        <v>0</v>
      </c>
      <c r="K107" s="7">
        <v>0</v>
      </c>
      <c r="L107" s="16">
        <v>0</v>
      </c>
      <c r="M107" s="2">
        <v>0</v>
      </c>
      <c r="N107" s="2" t="b">
        <v>1</v>
      </c>
      <c r="O107" s="2" t="s">
        <v>447</v>
      </c>
    </row>
    <row r="108" spans="1:15" x14ac:dyDescent="0.35">
      <c r="A108" s="2" t="s">
        <v>718</v>
      </c>
      <c r="B108" s="2" t="s">
        <v>719</v>
      </c>
      <c r="C108" s="2" t="s">
        <v>720</v>
      </c>
      <c r="D108" s="2" t="s">
        <v>390</v>
      </c>
      <c r="E108" s="4">
        <v>44785.791666666664</v>
      </c>
      <c r="F108" s="2" t="s">
        <v>427</v>
      </c>
      <c r="G108" s="2" t="s">
        <v>209</v>
      </c>
      <c r="H108" s="2" t="s">
        <v>88</v>
      </c>
      <c r="I108" s="2" t="b">
        <v>1</v>
      </c>
      <c r="J108" s="2" t="b">
        <v>0</v>
      </c>
      <c r="K108" s="7">
        <v>0</v>
      </c>
      <c r="L108" s="16">
        <v>0</v>
      </c>
      <c r="M108" s="2">
        <v>0</v>
      </c>
      <c r="N108" s="2" t="b">
        <v>1</v>
      </c>
      <c r="O108" s="2" t="s">
        <v>454</v>
      </c>
    </row>
    <row r="109" spans="1:15" x14ac:dyDescent="0.35">
      <c r="A109" s="2" t="s">
        <v>721</v>
      </c>
      <c r="B109" s="2" t="s">
        <v>722</v>
      </c>
      <c r="C109" s="2" t="s">
        <v>474</v>
      </c>
      <c r="D109" s="2" t="s">
        <v>190</v>
      </c>
      <c r="E109" s="4">
        <v>45321.75</v>
      </c>
      <c r="F109" s="2" t="s">
        <v>458</v>
      </c>
      <c r="G109" s="2" t="s">
        <v>92</v>
      </c>
      <c r="H109" s="2" t="s">
        <v>166</v>
      </c>
      <c r="I109" s="2" t="b">
        <v>1</v>
      </c>
      <c r="J109" s="2" t="b">
        <v>0</v>
      </c>
      <c r="K109" s="7">
        <v>2738.59</v>
      </c>
      <c r="L109" s="16">
        <v>0</v>
      </c>
      <c r="M109" s="2">
        <v>2738.59</v>
      </c>
      <c r="N109" s="2" t="b">
        <v>0</v>
      </c>
      <c r="O109" s="2" t="s">
        <v>454</v>
      </c>
    </row>
    <row r="110" spans="1:15" x14ac:dyDescent="0.35">
      <c r="A110" s="2" t="s">
        <v>723</v>
      </c>
      <c r="B110" s="2" t="s">
        <v>724</v>
      </c>
      <c r="C110" s="2" t="s">
        <v>725</v>
      </c>
      <c r="D110" s="2" t="s">
        <v>295</v>
      </c>
      <c r="E110" s="4">
        <v>45562.875</v>
      </c>
      <c r="F110" s="2" t="s">
        <v>458</v>
      </c>
      <c r="G110" s="2" t="s">
        <v>127</v>
      </c>
      <c r="H110" s="2" t="s">
        <v>136</v>
      </c>
      <c r="I110" s="2" t="b">
        <v>0</v>
      </c>
      <c r="J110" s="2" t="b">
        <v>1</v>
      </c>
      <c r="K110" s="7">
        <v>0</v>
      </c>
      <c r="L110" s="16">
        <v>49744.07</v>
      </c>
      <c r="M110" s="2">
        <v>49744.07</v>
      </c>
      <c r="N110" s="2" t="b">
        <v>1</v>
      </c>
      <c r="O110" s="2" t="s">
        <v>521</v>
      </c>
    </row>
    <row r="111" spans="1:15" x14ac:dyDescent="0.35">
      <c r="A111" s="2" t="s">
        <v>726</v>
      </c>
      <c r="B111" s="2" t="s">
        <v>727</v>
      </c>
      <c r="C111" s="2" t="s">
        <v>543</v>
      </c>
      <c r="D111" s="2" t="s">
        <v>35</v>
      </c>
      <c r="E111" s="4">
        <v>45155.375</v>
      </c>
      <c r="F111" s="2" t="s">
        <v>427</v>
      </c>
      <c r="G111" s="2" t="s">
        <v>50</v>
      </c>
      <c r="H111" s="2" t="s">
        <v>49</v>
      </c>
      <c r="I111" s="2" t="b">
        <v>0</v>
      </c>
      <c r="J111" s="2" t="b">
        <v>0</v>
      </c>
      <c r="K111" s="7">
        <v>6524.27</v>
      </c>
      <c r="L111" s="16">
        <v>0</v>
      </c>
      <c r="M111" s="2">
        <v>6524.27</v>
      </c>
      <c r="N111" s="2" t="b">
        <v>0</v>
      </c>
      <c r="O111" s="2" t="s">
        <v>454</v>
      </c>
    </row>
    <row r="112" spans="1:15" x14ac:dyDescent="0.35">
      <c r="A112" s="2" t="s">
        <v>728</v>
      </c>
      <c r="B112" s="2" t="s">
        <v>729</v>
      </c>
      <c r="C112" s="2" t="s">
        <v>464</v>
      </c>
      <c r="D112" s="2" t="s">
        <v>98</v>
      </c>
      <c r="E112" s="4">
        <v>45054.833333333336</v>
      </c>
      <c r="F112" s="2" t="s">
        <v>441</v>
      </c>
      <c r="G112" s="2" t="s">
        <v>61</v>
      </c>
      <c r="H112" s="2" t="s">
        <v>166</v>
      </c>
      <c r="I112" s="2" t="b">
        <v>0</v>
      </c>
      <c r="J112" s="2" t="b">
        <v>0</v>
      </c>
      <c r="K112" s="7">
        <v>14176.42</v>
      </c>
      <c r="L112" s="16">
        <v>32.85</v>
      </c>
      <c r="M112" s="2">
        <v>14209.27</v>
      </c>
      <c r="N112" s="2" t="b">
        <v>0</v>
      </c>
      <c r="O112" s="2" t="s">
        <v>454</v>
      </c>
    </row>
    <row r="113" spans="1:15" x14ac:dyDescent="0.35">
      <c r="A113" s="2" t="s">
        <v>730</v>
      </c>
      <c r="B113" s="2" t="s">
        <v>731</v>
      </c>
      <c r="C113" s="2" t="s">
        <v>648</v>
      </c>
      <c r="D113" s="2" t="s">
        <v>388</v>
      </c>
      <c r="E113" s="4">
        <v>44905.833333333336</v>
      </c>
      <c r="F113" s="2" t="s">
        <v>427</v>
      </c>
      <c r="G113" s="2" t="s">
        <v>70</v>
      </c>
      <c r="H113" s="2" t="s">
        <v>144</v>
      </c>
      <c r="I113" s="2" t="b">
        <v>0</v>
      </c>
      <c r="J113" s="2" t="b">
        <v>0</v>
      </c>
      <c r="K113" s="7">
        <v>8635.8700000000008</v>
      </c>
      <c r="L113" s="16">
        <v>0</v>
      </c>
      <c r="M113" s="2">
        <v>8635.8700000000008</v>
      </c>
      <c r="N113" s="2" t="b">
        <v>1</v>
      </c>
      <c r="O113" s="2" t="s">
        <v>481</v>
      </c>
    </row>
    <row r="114" spans="1:15" x14ac:dyDescent="0.35">
      <c r="A114" s="2" t="s">
        <v>732</v>
      </c>
      <c r="B114" s="2" t="s">
        <v>733</v>
      </c>
      <c r="C114" s="2" t="s">
        <v>734</v>
      </c>
      <c r="D114" s="2" t="s">
        <v>353</v>
      </c>
      <c r="E114" s="4">
        <v>44774</v>
      </c>
      <c r="F114" s="2" t="s">
        <v>446</v>
      </c>
      <c r="G114" s="2" t="s">
        <v>250</v>
      </c>
      <c r="H114" s="2" t="s">
        <v>136</v>
      </c>
      <c r="I114" s="2" t="b">
        <v>1</v>
      </c>
      <c r="J114" s="2" t="b">
        <v>0</v>
      </c>
      <c r="K114" s="7">
        <v>837.51</v>
      </c>
      <c r="L114" s="16">
        <v>0</v>
      </c>
      <c r="M114" s="2">
        <v>837.51</v>
      </c>
      <c r="N114" s="2" t="b">
        <v>1</v>
      </c>
      <c r="O114" s="2" t="s">
        <v>442</v>
      </c>
    </row>
    <row r="115" spans="1:15" x14ac:dyDescent="0.35">
      <c r="A115" s="2" t="s">
        <v>735</v>
      </c>
      <c r="B115" s="2" t="s">
        <v>736</v>
      </c>
      <c r="C115" s="2" t="s">
        <v>616</v>
      </c>
      <c r="D115" s="2" t="s">
        <v>187</v>
      </c>
      <c r="E115" s="4">
        <v>44584.166666666664</v>
      </c>
      <c r="F115" s="2" t="s">
        <v>446</v>
      </c>
      <c r="G115" s="2" t="s">
        <v>109</v>
      </c>
      <c r="H115" s="2" t="s">
        <v>60</v>
      </c>
      <c r="I115" s="2" t="b">
        <v>1</v>
      </c>
      <c r="J115" s="2" t="b">
        <v>0</v>
      </c>
      <c r="K115" s="7">
        <v>11269.86</v>
      </c>
      <c r="L115" s="16">
        <v>0</v>
      </c>
      <c r="M115" s="2">
        <v>11269.86</v>
      </c>
      <c r="N115" s="2" t="b">
        <v>1</v>
      </c>
      <c r="O115" s="2" t="s">
        <v>437</v>
      </c>
    </row>
    <row r="116" spans="1:15" x14ac:dyDescent="0.35">
      <c r="A116" s="2" t="s">
        <v>737</v>
      </c>
      <c r="B116" s="2" t="s">
        <v>738</v>
      </c>
      <c r="C116" s="2" t="s">
        <v>616</v>
      </c>
      <c r="D116" s="2" t="s">
        <v>341</v>
      </c>
      <c r="E116" s="4">
        <v>44782.708333333336</v>
      </c>
      <c r="F116" s="2" t="s">
        <v>436</v>
      </c>
      <c r="G116" s="2" t="s">
        <v>250</v>
      </c>
      <c r="H116" s="2" t="s">
        <v>104</v>
      </c>
      <c r="I116" s="2" t="b">
        <v>0</v>
      </c>
      <c r="J116" s="2" t="b">
        <v>0</v>
      </c>
      <c r="K116" s="7">
        <v>6982.35</v>
      </c>
      <c r="L116" s="16">
        <v>0</v>
      </c>
      <c r="M116" s="2">
        <v>6982.35</v>
      </c>
      <c r="N116" s="2" t="b">
        <v>0</v>
      </c>
      <c r="O116" s="2" t="s">
        <v>432</v>
      </c>
    </row>
    <row r="117" spans="1:15" x14ac:dyDescent="0.35">
      <c r="A117" s="2" t="s">
        <v>739</v>
      </c>
      <c r="B117" s="2" t="s">
        <v>740</v>
      </c>
      <c r="C117" s="2" t="s">
        <v>489</v>
      </c>
      <c r="D117" s="2" t="s">
        <v>26</v>
      </c>
      <c r="E117" s="4">
        <v>44673.041666666664</v>
      </c>
      <c r="F117" s="2" t="s">
        <v>436</v>
      </c>
      <c r="G117" s="2" t="s">
        <v>45</v>
      </c>
      <c r="H117" s="2" t="s">
        <v>166</v>
      </c>
      <c r="I117" s="2" t="b">
        <v>0</v>
      </c>
      <c r="J117" s="2" t="b">
        <v>0</v>
      </c>
      <c r="K117" s="7">
        <v>4300.84</v>
      </c>
      <c r="L117" s="16">
        <v>0</v>
      </c>
      <c r="M117" s="2">
        <v>4300.84</v>
      </c>
      <c r="N117" s="2" t="b">
        <v>0</v>
      </c>
      <c r="O117" s="2" t="s">
        <v>481</v>
      </c>
    </row>
    <row r="118" spans="1:15" x14ac:dyDescent="0.35">
      <c r="A118" s="2" t="s">
        <v>741</v>
      </c>
      <c r="B118" s="2" t="s">
        <v>742</v>
      </c>
      <c r="C118" s="2" t="s">
        <v>499</v>
      </c>
      <c r="D118" s="2" t="s">
        <v>222</v>
      </c>
      <c r="E118" s="4">
        <v>44818.916666666664</v>
      </c>
      <c r="F118" s="2" t="s">
        <v>427</v>
      </c>
      <c r="G118" s="2" t="s">
        <v>92</v>
      </c>
      <c r="H118" s="2" t="s">
        <v>278</v>
      </c>
      <c r="I118" s="2" t="b">
        <v>0</v>
      </c>
      <c r="J118" s="2" t="b">
        <v>0</v>
      </c>
      <c r="K118" s="7">
        <v>0</v>
      </c>
      <c r="L118" s="16">
        <v>0</v>
      </c>
      <c r="M118" s="2">
        <v>0</v>
      </c>
      <c r="N118" s="2" t="b">
        <v>0</v>
      </c>
      <c r="O118" s="2" t="s">
        <v>437</v>
      </c>
    </row>
    <row r="119" spans="1:15" x14ac:dyDescent="0.35">
      <c r="A119" s="2" t="s">
        <v>743</v>
      </c>
      <c r="B119" s="2" t="s">
        <v>744</v>
      </c>
      <c r="C119" s="2" t="s">
        <v>745</v>
      </c>
      <c r="D119" s="2" t="s">
        <v>289</v>
      </c>
      <c r="E119" s="4">
        <v>44685.083333333336</v>
      </c>
      <c r="F119" s="2" t="s">
        <v>446</v>
      </c>
      <c r="G119" s="2" t="s">
        <v>167</v>
      </c>
      <c r="H119" s="2" t="s">
        <v>88</v>
      </c>
      <c r="I119" s="2" t="b">
        <v>0</v>
      </c>
      <c r="J119" s="2" t="b">
        <v>0</v>
      </c>
      <c r="K119" s="7">
        <v>3594.57</v>
      </c>
      <c r="L119" s="16">
        <v>0</v>
      </c>
      <c r="M119" s="2">
        <v>3594.57</v>
      </c>
      <c r="N119" s="2" t="b">
        <v>1</v>
      </c>
      <c r="O119" s="2" t="s">
        <v>481</v>
      </c>
    </row>
    <row r="120" spans="1:15" x14ac:dyDescent="0.35">
      <c r="A120" s="2" t="s">
        <v>746</v>
      </c>
      <c r="B120" s="2" t="s">
        <v>747</v>
      </c>
      <c r="C120" s="2" t="s">
        <v>748</v>
      </c>
      <c r="D120" s="2" t="s">
        <v>89</v>
      </c>
      <c r="E120" s="4">
        <v>45610.458333333336</v>
      </c>
      <c r="F120" s="2" t="s">
        <v>436</v>
      </c>
      <c r="G120" s="2" t="s">
        <v>209</v>
      </c>
      <c r="H120" s="2" t="s">
        <v>60</v>
      </c>
      <c r="I120" s="2" t="b">
        <v>0</v>
      </c>
      <c r="J120" s="2" t="b">
        <v>1</v>
      </c>
      <c r="K120" s="7">
        <v>19126.05</v>
      </c>
      <c r="L120" s="16">
        <v>0</v>
      </c>
      <c r="M120" s="2">
        <v>19126.05</v>
      </c>
      <c r="N120" s="2" t="b">
        <v>0</v>
      </c>
      <c r="O120" s="2" t="s">
        <v>432</v>
      </c>
    </row>
    <row r="121" spans="1:15" x14ac:dyDescent="0.35">
      <c r="A121" s="2" t="s">
        <v>749</v>
      </c>
      <c r="B121" s="2" t="s">
        <v>750</v>
      </c>
      <c r="C121" s="2" t="s">
        <v>745</v>
      </c>
      <c r="D121" s="2" t="s">
        <v>232</v>
      </c>
      <c r="E121" s="4">
        <v>44739.666666666664</v>
      </c>
      <c r="F121" s="2" t="s">
        <v>436</v>
      </c>
      <c r="G121" s="2" t="s">
        <v>105</v>
      </c>
      <c r="H121" s="2" t="s">
        <v>104</v>
      </c>
      <c r="I121" s="2" t="b">
        <v>1</v>
      </c>
      <c r="J121" s="2" t="b">
        <v>0</v>
      </c>
      <c r="K121" s="7">
        <v>21722.31</v>
      </c>
      <c r="L121" s="16">
        <v>0</v>
      </c>
      <c r="M121" s="2">
        <v>21722.31</v>
      </c>
      <c r="N121" s="2" t="b">
        <v>0</v>
      </c>
      <c r="O121" s="2" t="s">
        <v>503</v>
      </c>
    </row>
    <row r="122" spans="1:15" x14ac:dyDescent="0.35">
      <c r="A122" s="2" t="s">
        <v>751</v>
      </c>
      <c r="B122" s="2" t="s">
        <v>752</v>
      </c>
      <c r="C122" s="2" t="s">
        <v>753</v>
      </c>
      <c r="D122" s="2" t="s">
        <v>207</v>
      </c>
      <c r="E122" s="4">
        <v>44931.125</v>
      </c>
      <c r="F122" s="2" t="s">
        <v>441</v>
      </c>
      <c r="G122" s="2" t="s">
        <v>113</v>
      </c>
      <c r="H122" s="2" t="s">
        <v>104</v>
      </c>
      <c r="I122" s="2" t="b">
        <v>0</v>
      </c>
      <c r="J122" s="2" t="b">
        <v>0</v>
      </c>
      <c r="K122" s="7">
        <v>15928.79</v>
      </c>
      <c r="L122" s="16">
        <v>0</v>
      </c>
      <c r="M122" s="2">
        <v>15928.79</v>
      </c>
      <c r="N122" s="2" t="b">
        <v>0</v>
      </c>
      <c r="O122" s="2" t="s">
        <v>490</v>
      </c>
    </row>
    <row r="123" spans="1:15" x14ac:dyDescent="0.35">
      <c r="A123" s="2" t="s">
        <v>754</v>
      </c>
      <c r="B123" s="2" t="s">
        <v>755</v>
      </c>
      <c r="C123" s="2" t="s">
        <v>748</v>
      </c>
      <c r="D123" s="2" t="s">
        <v>303</v>
      </c>
      <c r="E123" s="4">
        <v>44735.666666666664</v>
      </c>
      <c r="F123" s="2" t="s">
        <v>446</v>
      </c>
      <c r="G123" s="2" t="s">
        <v>97</v>
      </c>
      <c r="H123" s="2" t="s">
        <v>144</v>
      </c>
      <c r="I123" s="2" t="b">
        <v>0</v>
      </c>
      <c r="J123" s="2" t="b">
        <v>1</v>
      </c>
      <c r="K123" s="7">
        <v>18614.97</v>
      </c>
      <c r="L123" s="16">
        <v>0</v>
      </c>
      <c r="M123" s="2">
        <v>18614.97</v>
      </c>
      <c r="N123" s="2" t="b">
        <v>0</v>
      </c>
      <c r="O123" s="2" t="s">
        <v>432</v>
      </c>
    </row>
    <row r="124" spans="1:15" x14ac:dyDescent="0.35">
      <c r="A124" s="2" t="s">
        <v>756</v>
      </c>
      <c r="B124" s="2" t="s">
        <v>757</v>
      </c>
      <c r="C124" s="2" t="s">
        <v>599</v>
      </c>
      <c r="D124" s="2" t="s">
        <v>207</v>
      </c>
      <c r="E124" s="4">
        <v>44738.416666666664</v>
      </c>
      <c r="F124" s="2" t="s">
        <v>458</v>
      </c>
      <c r="G124" s="2" t="s">
        <v>105</v>
      </c>
      <c r="H124" s="2" t="s">
        <v>156</v>
      </c>
      <c r="I124" s="2" t="b">
        <v>0</v>
      </c>
      <c r="J124" s="2" t="b">
        <v>0</v>
      </c>
      <c r="K124" s="7">
        <v>21920.959999999999</v>
      </c>
      <c r="L124" s="16">
        <v>15568.53</v>
      </c>
      <c r="M124" s="2">
        <v>37489.49</v>
      </c>
      <c r="N124" s="2" t="b">
        <v>1</v>
      </c>
      <c r="O124" s="2" t="s">
        <v>490</v>
      </c>
    </row>
    <row r="125" spans="1:15" x14ac:dyDescent="0.35">
      <c r="A125" s="2" t="s">
        <v>758</v>
      </c>
      <c r="B125" s="2" t="s">
        <v>759</v>
      </c>
      <c r="C125" s="2" t="s">
        <v>569</v>
      </c>
      <c r="D125" s="2" t="s">
        <v>323</v>
      </c>
      <c r="E125" s="4">
        <v>44735</v>
      </c>
      <c r="F125" s="2" t="s">
        <v>458</v>
      </c>
      <c r="G125" s="2" t="s">
        <v>127</v>
      </c>
      <c r="H125" s="2" t="s">
        <v>151</v>
      </c>
      <c r="I125" s="2" t="b">
        <v>0</v>
      </c>
      <c r="J125" s="2" t="b">
        <v>0</v>
      </c>
      <c r="K125" s="7">
        <v>24566.39</v>
      </c>
      <c r="L125" s="16">
        <v>0</v>
      </c>
      <c r="M125" s="2">
        <v>24566.39</v>
      </c>
      <c r="N125" s="2" t="b">
        <v>1</v>
      </c>
      <c r="O125" s="2" t="s">
        <v>442</v>
      </c>
    </row>
    <row r="126" spans="1:15" x14ac:dyDescent="0.35">
      <c r="A126" s="2" t="s">
        <v>760</v>
      </c>
      <c r="B126" s="2" t="s">
        <v>761</v>
      </c>
      <c r="C126" s="2" t="s">
        <v>762</v>
      </c>
      <c r="D126" s="2" t="s">
        <v>386</v>
      </c>
      <c r="E126" s="4">
        <v>45300.666666666664</v>
      </c>
      <c r="F126" s="2" t="s">
        <v>441</v>
      </c>
      <c r="G126" s="2" t="s">
        <v>40</v>
      </c>
      <c r="H126" s="2" t="s">
        <v>126</v>
      </c>
      <c r="I126" s="2" t="b">
        <v>1</v>
      </c>
      <c r="J126" s="2" t="b">
        <v>0</v>
      </c>
      <c r="K126" s="7">
        <v>2103.69</v>
      </c>
      <c r="L126" s="16">
        <v>37531.43</v>
      </c>
      <c r="M126" s="2">
        <v>39635.120000000003</v>
      </c>
      <c r="N126" s="2" t="b">
        <v>0</v>
      </c>
      <c r="O126" s="2" t="s">
        <v>432</v>
      </c>
    </row>
    <row r="127" spans="1:15" x14ac:dyDescent="0.35">
      <c r="A127" s="2" t="s">
        <v>763</v>
      </c>
      <c r="B127" s="2" t="s">
        <v>764</v>
      </c>
      <c r="C127" s="2" t="s">
        <v>493</v>
      </c>
      <c r="D127" s="2" t="s">
        <v>297</v>
      </c>
      <c r="E127" s="4">
        <v>45334.125</v>
      </c>
      <c r="F127" s="2" t="s">
        <v>436</v>
      </c>
      <c r="G127" s="2" t="s">
        <v>105</v>
      </c>
      <c r="H127" s="2" t="s">
        <v>156</v>
      </c>
      <c r="I127" s="2" t="b">
        <v>0</v>
      </c>
      <c r="J127" s="2" t="b">
        <v>0</v>
      </c>
      <c r="K127" s="7">
        <v>9648.15</v>
      </c>
      <c r="L127" s="16">
        <v>0</v>
      </c>
      <c r="M127" s="2">
        <v>9648.15</v>
      </c>
      <c r="N127" s="2" t="b">
        <v>1</v>
      </c>
      <c r="O127" s="2" t="s">
        <v>454</v>
      </c>
    </row>
    <row r="128" spans="1:15" x14ac:dyDescent="0.35">
      <c r="A128" s="2" t="s">
        <v>765</v>
      </c>
      <c r="B128" s="2" t="s">
        <v>766</v>
      </c>
      <c r="C128" s="2" t="s">
        <v>767</v>
      </c>
      <c r="D128" s="2" t="s">
        <v>368</v>
      </c>
      <c r="E128" s="4">
        <v>45108.291666666664</v>
      </c>
      <c r="F128" s="2" t="s">
        <v>458</v>
      </c>
      <c r="G128" s="2" t="s">
        <v>40</v>
      </c>
      <c r="H128" s="2" t="s">
        <v>166</v>
      </c>
      <c r="I128" s="2" t="b">
        <v>0</v>
      </c>
      <c r="J128" s="2" t="b">
        <v>0</v>
      </c>
      <c r="K128" s="7">
        <v>18690.009999999998</v>
      </c>
      <c r="L128" s="16">
        <v>0</v>
      </c>
      <c r="M128" s="2">
        <v>18690.009999999998</v>
      </c>
      <c r="N128" s="2" t="b">
        <v>0</v>
      </c>
      <c r="O128" s="2" t="s">
        <v>447</v>
      </c>
    </row>
    <row r="129" spans="1:15" x14ac:dyDescent="0.35">
      <c r="A129" s="2" t="s">
        <v>768</v>
      </c>
      <c r="B129" s="2" t="s">
        <v>769</v>
      </c>
      <c r="C129" s="2" t="s">
        <v>748</v>
      </c>
      <c r="D129" s="2" t="s">
        <v>325</v>
      </c>
      <c r="E129" s="4">
        <v>44900.5</v>
      </c>
      <c r="F129" s="2" t="s">
        <v>427</v>
      </c>
      <c r="G129" s="2" t="s">
        <v>167</v>
      </c>
      <c r="H129" s="2" t="s">
        <v>55</v>
      </c>
      <c r="I129" s="2" t="b">
        <v>1</v>
      </c>
      <c r="J129" s="2" t="b">
        <v>1</v>
      </c>
      <c r="K129" s="7">
        <v>19385.57</v>
      </c>
      <c r="L129" s="16">
        <v>0</v>
      </c>
      <c r="M129" s="2">
        <v>19385.57</v>
      </c>
      <c r="N129" s="2" t="b">
        <v>0</v>
      </c>
      <c r="O129" s="2" t="s">
        <v>454</v>
      </c>
    </row>
    <row r="130" spans="1:15" x14ac:dyDescent="0.35">
      <c r="A130" s="2" t="s">
        <v>770</v>
      </c>
      <c r="B130" s="2" t="s">
        <v>771</v>
      </c>
      <c r="C130" s="2" t="s">
        <v>767</v>
      </c>
      <c r="D130" s="2" t="s">
        <v>71</v>
      </c>
      <c r="E130" s="4">
        <v>45245.875</v>
      </c>
      <c r="F130" s="2" t="s">
        <v>446</v>
      </c>
      <c r="G130" s="2" t="s">
        <v>70</v>
      </c>
      <c r="H130" s="2" t="s">
        <v>278</v>
      </c>
      <c r="I130" s="2" t="b">
        <v>0</v>
      </c>
      <c r="J130" s="2" t="b">
        <v>0</v>
      </c>
      <c r="K130" s="7">
        <v>4321.13</v>
      </c>
      <c r="L130" s="16">
        <v>34662.46</v>
      </c>
      <c r="M130" s="2">
        <v>38983.589999999997</v>
      </c>
      <c r="N130" s="2" t="b">
        <v>1</v>
      </c>
      <c r="O130" s="2" t="s">
        <v>490</v>
      </c>
    </row>
    <row r="131" spans="1:15" x14ac:dyDescent="0.35">
      <c r="A131" s="2" t="s">
        <v>772</v>
      </c>
      <c r="B131" s="2" t="s">
        <v>773</v>
      </c>
      <c r="C131" s="2" t="s">
        <v>745</v>
      </c>
      <c r="D131" s="2" t="s">
        <v>195</v>
      </c>
      <c r="E131" s="4">
        <v>45260.416666666664</v>
      </c>
      <c r="F131" s="2" t="s">
        <v>427</v>
      </c>
      <c r="G131" s="2" t="s">
        <v>70</v>
      </c>
      <c r="H131" s="2" t="s">
        <v>39</v>
      </c>
      <c r="I131" s="2" t="b">
        <v>1</v>
      </c>
      <c r="J131" s="2" t="b">
        <v>0</v>
      </c>
      <c r="K131" s="7">
        <v>19681.98</v>
      </c>
      <c r="L131" s="16">
        <v>0</v>
      </c>
      <c r="M131" s="2">
        <v>19681.98</v>
      </c>
      <c r="N131" s="2" t="b">
        <v>0</v>
      </c>
      <c r="O131" s="2" t="s">
        <v>566</v>
      </c>
    </row>
    <row r="132" spans="1:15" x14ac:dyDescent="0.35">
      <c r="A132" s="2" t="s">
        <v>774</v>
      </c>
      <c r="B132" s="2" t="s">
        <v>775</v>
      </c>
      <c r="C132" s="2" t="s">
        <v>776</v>
      </c>
      <c r="D132" s="2" t="s">
        <v>207</v>
      </c>
      <c r="E132" s="4">
        <v>44605.708333333336</v>
      </c>
      <c r="F132" s="2" t="s">
        <v>441</v>
      </c>
      <c r="G132" s="2" t="s">
        <v>25</v>
      </c>
      <c r="H132" s="2" t="s">
        <v>60</v>
      </c>
      <c r="I132" s="2" t="b">
        <v>0</v>
      </c>
      <c r="J132" s="2" t="b">
        <v>0</v>
      </c>
      <c r="K132" s="7">
        <v>17099.919999999998</v>
      </c>
      <c r="L132" s="16">
        <v>0</v>
      </c>
      <c r="M132" s="2">
        <v>17099.919999999998</v>
      </c>
      <c r="N132" s="2" t="b">
        <v>0</v>
      </c>
      <c r="O132" s="2" t="s">
        <v>566</v>
      </c>
    </row>
    <row r="133" spans="1:15" x14ac:dyDescent="0.35">
      <c r="A133" s="2" t="s">
        <v>777</v>
      </c>
      <c r="B133" s="2" t="s">
        <v>778</v>
      </c>
      <c r="C133" s="2" t="s">
        <v>643</v>
      </c>
      <c r="D133" s="2" t="s">
        <v>394</v>
      </c>
      <c r="E133" s="4">
        <v>45553.333333333336</v>
      </c>
      <c r="F133" s="2" t="s">
        <v>446</v>
      </c>
      <c r="G133" s="2" t="s">
        <v>117</v>
      </c>
      <c r="H133" s="2" t="s">
        <v>126</v>
      </c>
      <c r="I133" s="2" t="b">
        <v>1</v>
      </c>
      <c r="J133" s="2" t="b">
        <v>0</v>
      </c>
      <c r="K133" s="7">
        <v>8811.67</v>
      </c>
      <c r="L133" s="16">
        <v>41316.050000000003</v>
      </c>
      <c r="M133" s="2">
        <v>50127.72</v>
      </c>
      <c r="N133" s="2" t="b">
        <v>0</v>
      </c>
      <c r="O133" s="2" t="s">
        <v>442</v>
      </c>
    </row>
    <row r="134" spans="1:15" x14ac:dyDescent="0.35">
      <c r="A134" s="2" t="s">
        <v>779</v>
      </c>
      <c r="B134" s="2" t="s">
        <v>780</v>
      </c>
      <c r="C134" s="2" t="s">
        <v>655</v>
      </c>
      <c r="D134" s="2" t="s">
        <v>215</v>
      </c>
      <c r="E134" s="4">
        <v>45290</v>
      </c>
      <c r="F134" s="2" t="s">
        <v>441</v>
      </c>
      <c r="G134" s="2" t="s">
        <v>250</v>
      </c>
      <c r="H134" s="2" t="s">
        <v>166</v>
      </c>
      <c r="I134" s="2" t="b">
        <v>0</v>
      </c>
      <c r="J134" s="2" t="b">
        <v>1</v>
      </c>
      <c r="K134" s="7">
        <v>20190.09</v>
      </c>
      <c r="L134" s="16">
        <v>0</v>
      </c>
      <c r="M134" s="2">
        <v>20190.09</v>
      </c>
      <c r="N134" s="2" t="b">
        <v>0</v>
      </c>
      <c r="O134" s="2" t="s">
        <v>566</v>
      </c>
    </row>
    <row r="135" spans="1:15" x14ac:dyDescent="0.35">
      <c r="A135" s="2" t="s">
        <v>781</v>
      </c>
      <c r="B135" s="2" t="s">
        <v>782</v>
      </c>
      <c r="C135" s="2" t="s">
        <v>532</v>
      </c>
      <c r="D135" s="2" t="s">
        <v>335</v>
      </c>
      <c r="E135" s="4">
        <v>45512.916666666664</v>
      </c>
      <c r="F135" s="2" t="s">
        <v>441</v>
      </c>
      <c r="G135" s="2" t="s">
        <v>70</v>
      </c>
      <c r="H135" s="2" t="s">
        <v>74</v>
      </c>
      <c r="I135" s="2" t="b">
        <v>0</v>
      </c>
      <c r="J135" s="2" t="b">
        <v>0</v>
      </c>
      <c r="K135" s="7">
        <v>19578.75</v>
      </c>
      <c r="L135" s="16">
        <v>18583.37</v>
      </c>
      <c r="M135" s="2">
        <v>38162.120000000003</v>
      </c>
      <c r="N135" s="2" t="b">
        <v>0</v>
      </c>
      <c r="O135" s="2" t="s">
        <v>566</v>
      </c>
    </row>
    <row r="136" spans="1:15" x14ac:dyDescent="0.35">
      <c r="A136" s="2" t="s">
        <v>783</v>
      </c>
      <c r="B136" s="2" t="s">
        <v>784</v>
      </c>
      <c r="C136" s="2" t="s">
        <v>762</v>
      </c>
      <c r="D136" s="2" t="s">
        <v>301</v>
      </c>
      <c r="E136" s="4">
        <v>44878.625</v>
      </c>
      <c r="F136" s="2" t="s">
        <v>427</v>
      </c>
      <c r="G136" s="2" t="s">
        <v>273</v>
      </c>
      <c r="H136" s="2" t="s">
        <v>104</v>
      </c>
      <c r="I136" s="2" t="b">
        <v>1</v>
      </c>
      <c r="J136" s="2" t="b">
        <v>0</v>
      </c>
      <c r="K136" s="7">
        <v>17077.38</v>
      </c>
      <c r="L136" s="16">
        <v>31507.48</v>
      </c>
      <c r="M136" s="2">
        <v>48584.86</v>
      </c>
      <c r="N136" s="2" t="b">
        <v>1</v>
      </c>
      <c r="O136" s="2" t="s">
        <v>428</v>
      </c>
    </row>
    <row r="137" spans="1:15" x14ac:dyDescent="0.35">
      <c r="A137" s="2" t="s">
        <v>785</v>
      </c>
      <c r="B137" s="2" t="s">
        <v>786</v>
      </c>
      <c r="C137" s="2" t="s">
        <v>524</v>
      </c>
      <c r="D137" s="2" t="s">
        <v>20</v>
      </c>
      <c r="E137" s="4">
        <v>45227.5</v>
      </c>
      <c r="F137" s="2" t="s">
        <v>427</v>
      </c>
      <c r="G137" s="2" t="s">
        <v>40</v>
      </c>
      <c r="H137" s="2" t="s">
        <v>74</v>
      </c>
      <c r="I137" s="2" t="b">
        <v>0</v>
      </c>
      <c r="J137" s="2" t="b">
        <v>0</v>
      </c>
      <c r="K137" s="7">
        <v>0</v>
      </c>
      <c r="L137" s="16">
        <v>33681.19</v>
      </c>
      <c r="M137" s="2">
        <v>33681.19</v>
      </c>
      <c r="N137" s="2" t="b">
        <v>1</v>
      </c>
      <c r="O137" s="2" t="s">
        <v>442</v>
      </c>
    </row>
    <row r="138" spans="1:15" x14ac:dyDescent="0.35">
      <c r="A138" s="2" t="s">
        <v>787</v>
      </c>
      <c r="B138" s="2" t="s">
        <v>788</v>
      </c>
      <c r="C138" s="2" t="s">
        <v>577</v>
      </c>
      <c r="D138" s="2" t="s">
        <v>26</v>
      </c>
      <c r="E138" s="4">
        <v>44836.875</v>
      </c>
      <c r="F138" s="2" t="s">
        <v>436</v>
      </c>
      <c r="G138" s="2" t="s">
        <v>30</v>
      </c>
      <c r="H138" s="2" t="s">
        <v>212</v>
      </c>
      <c r="I138" s="2" t="b">
        <v>0</v>
      </c>
      <c r="J138" s="2" t="b">
        <v>1</v>
      </c>
      <c r="K138" s="7">
        <v>0</v>
      </c>
      <c r="L138" s="16">
        <v>6225.41</v>
      </c>
      <c r="M138" s="2">
        <v>6225.41</v>
      </c>
      <c r="N138" s="2" t="b">
        <v>1</v>
      </c>
      <c r="O138" s="2" t="s">
        <v>447</v>
      </c>
    </row>
    <row r="139" spans="1:15" x14ac:dyDescent="0.35">
      <c r="A139" s="2" t="s">
        <v>789</v>
      </c>
      <c r="B139" s="2" t="s">
        <v>790</v>
      </c>
      <c r="C139" s="2" t="s">
        <v>791</v>
      </c>
      <c r="D139" s="2" t="s">
        <v>197</v>
      </c>
      <c r="E139" s="4">
        <v>45037.333333333336</v>
      </c>
      <c r="F139" s="2" t="s">
        <v>436</v>
      </c>
      <c r="G139" s="2" t="s">
        <v>56</v>
      </c>
      <c r="H139" s="2" t="s">
        <v>166</v>
      </c>
      <c r="I139" s="2" t="b">
        <v>0</v>
      </c>
      <c r="J139" s="2" t="b">
        <v>0</v>
      </c>
      <c r="K139" s="7">
        <v>24239.68</v>
      </c>
      <c r="L139" s="16">
        <v>0</v>
      </c>
      <c r="M139" s="2">
        <v>24239.68</v>
      </c>
      <c r="N139" s="2" t="b">
        <v>0</v>
      </c>
      <c r="O139" s="2" t="s">
        <v>451</v>
      </c>
    </row>
    <row r="140" spans="1:15" x14ac:dyDescent="0.35">
      <c r="A140" s="2" t="s">
        <v>792</v>
      </c>
      <c r="B140" s="2" t="s">
        <v>793</v>
      </c>
      <c r="C140" s="2" t="s">
        <v>569</v>
      </c>
      <c r="D140" s="2" t="s">
        <v>305</v>
      </c>
      <c r="E140" s="4">
        <v>44802.75</v>
      </c>
      <c r="F140" s="2" t="s">
        <v>436</v>
      </c>
      <c r="G140" s="2" t="s">
        <v>127</v>
      </c>
      <c r="H140" s="2" t="s">
        <v>88</v>
      </c>
      <c r="I140" s="2" t="b">
        <v>0</v>
      </c>
      <c r="J140" s="2" t="b">
        <v>1</v>
      </c>
      <c r="K140" s="7">
        <v>0</v>
      </c>
      <c r="L140" s="16">
        <v>4379.68</v>
      </c>
      <c r="M140" s="2">
        <v>4379.68</v>
      </c>
      <c r="N140" s="2" t="b">
        <v>0</v>
      </c>
      <c r="O140" s="2" t="s">
        <v>481</v>
      </c>
    </row>
    <row r="141" spans="1:15" x14ac:dyDescent="0.35">
      <c r="A141" s="2" t="s">
        <v>794</v>
      </c>
      <c r="B141" s="2" t="s">
        <v>795</v>
      </c>
      <c r="C141" s="2" t="s">
        <v>562</v>
      </c>
      <c r="D141" s="2" t="s">
        <v>242</v>
      </c>
      <c r="E141" s="4">
        <v>45408.625</v>
      </c>
      <c r="F141" s="2" t="s">
        <v>427</v>
      </c>
      <c r="G141" s="2" t="s">
        <v>61</v>
      </c>
      <c r="H141" s="2" t="s">
        <v>104</v>
      </c>
      <c r="I141" s="2" t="b">
        <v>0</v>
      </c>
      <c r="J141" s="2" t="b">
        <v>0</v>
      </c>
      <c r="K141" s="7">
        <v>17565.57</v>
      </c>
      <c r="L141" s="16">
        <v>0</v>
      </c>
      <c r="M141" s="2">
        <v>17565.57</v>
      </c>
      <c r="N141" s="2" t="b">
        <v>0</v>
      </c>
      <c r="O141" s="2" t="s">
        <v>490</v>
      </c>
    </row>
    <row r="142" spans="1:15" x14ac:dyDescent="0.35">
      <c r="A142" s="2" t="s">
        <v>796</v>
      </c>
      <c r="B142" s="2" t="s">
        <v>797</v>
      </c>
      <c r="C142" s="2" t="s">
        <v>616</v>
      </c>
      <c r="D142" s="2" t="s">
        <v>341</v>
      </c>
      <c r="E142" s="4">
        <v>45301.875</v>
      </c>
      <c r="F142" s="2" t="s">
        <v>446</v>
      </c>
      <c r="G142" s="2" t="s">
        <v>50</v>
      </c>
      <c r="H142" s="2" t="s">
        <v>88</v>
      </c>
      <c r="I142" s="2" t="b">
        <v>1</v>
      </c>
      <c r="J142" s="2" t="b">
        <v>0</v>
      </c>
      <c r="K142" s="7">
        <v>0</v>
      </c>
      <c r="L142" s="16">
        <v>4607.3</v>
      </c>
      <c r="M142" s="2">
        <v>4607.3</v>
      </c>
      <c r="N142" s="2" t="b">
        <v>0</v>
      </c>
      <c r="O142" s="2" t="s">
        <v>437</v>
      </c>
    </row>
    <row r="143" spans="1:15" x14ac:dyDescent="0.35">
      <c r="A143" s="2" t="s">
        <v>798</v>
      </c>
      <c r="B143" s="2" t="s">
        <v>799</v>
      </c>
      <c r="C143" s="2" t="s">
        <v>524</v>
      </c>
      <c r="D143" s="2" t="s">
        <v>195</v>
      </c>
      <c r="E143" s="4">
        <v>44957.125</v>
      </c>
      <c r="F143" s="2" t="s">
        <v>446</v>
      </c>
      <c r="G143" s="2" t="s">
        <v>219</v>
      </c>
      <c r="H143" s="2" t="s">
        <v>166</v>
      </c>
      <c r="I143" s="2" t="b">
        <v>1</v>
      </c>
      <c r="J143" s="2" t="b">
        <v>0</v>
      </c>
      <c r="K143" s="7">
        <v>7087.59</v>
      </c>
      <c r="L143" s="16">
        <v>7470.49</v>
      </c>
      <c r="M143" s="2">
        <v>14558.08</v>
      </c>
      <c r="N143" s="2" t="b">
        <v>0</v>
      </c>
      <c r="O143" s="2" t="s">
        <v>451</v>
      </c>
    </row>
    <row r="144" spans="1:15" x14ac:dyDescent="0.35">
      <c r="A144" s="2" t="s">
        <v>800</v>
      </c>
      <c r="B144" s="2" t="s">
        <v>801</v>
      </c>
      <c r="C144" s="2" t="s">
        <v>632</v>
      </c>
      <c r="D144" s="2" t="s">
        <v>145</v>
      </c>
      <c r="E144" s="4">
        <v>45331.625</v>
      </c>
      <c r="F144" s="2" t="s">
        <v>436</v>
      </c>
      <c r="G144" s="2" t="s">
        <v>127</v>
      </c>
      <c r="H144" s="2" t="s">
        <v>74</v>
      </c>
      <c r="I144" s="2" t="b">
        <v>0</v>
      </c>
      <c r="J144" s="2" t="b">
        <v>0</v>
      </c>
      <c r="K144" s="7">
        <v>21803.47</v>
      </c>
      <c r="L144" s="16">
        <v>0</v>
      </c>
      <c r="M144" s="2">
        <v>21803.47</v>
      </c>
      <c r="N144" s="2" t="b">
        <v>1</v>
      </c>
      <c r="O144" s="2" t="s">
        <v>481</v>
      </c>
    </row>
    <row r="145" spans="1:15" x14ac:dyDescent="0.35">
      <c r="A145" s="2" t="s">
        <v>802</v>
      </c>
      <c r="B145" s="2" t="s">
        <v>803</v>
      </c>
      <c r="C145" s="2" t="s">
        <v>543</v>
      </c>
      <c r="D145" s="2" t="s">
        <v>234</v>
      </c>
      <c r="E145" s="4">
        <v>45359.875</v>
      </c>
      <c r="F145" s="2" t="s">
        <v>458</v>
      </c>
      <c r="G145" s="2" t="s">
        <v>50</v>
      </c>
      <c r="H145" s="2" t="s">
        <v>151</v>
      </c>
      <c r="I145" s="2" t="b">
        <v>0</v>
      </c>
      <c r="J145" s="2" t="b">
        <v>0</v>
      </c>
      <c r="K145" s="7">
        <v>0</v>
      </c>
      <c r="L145" s="16">
        <v>0</v>
      </c>
      <c r="M145" s="2">
        <v>0</v>
      </c>
      <c r="N145" s="2" t="b">
        <v>1</v>
      </c>
      <c r="O145" s="2" t="s">
        <v>521</v>
      </c>
    </row>
    <row r="146" spans="1:15" x14ac:dyDescent="0.35">
      <c r="A146" s="2" t="s">
        <v>804</v>
      </c>
      <c r="B146" s="2" t="s">
        <v>805</v>
      </c>
      <c r="C146" s="2" t="s">
        <v>616</v>
      </c>
      <c r="D146" s="2" t="s">
        <v>357</v>
      </c>
      <c r="E146" s="4">
        <v>45368.166666666664</v>
      </c>
      <c r="F146" s="2" t="s">
        <v>427</v>
      </c>
      <c r="G146" s="2" t="s">
        <v>127</v>
      </c>
      <c r="H146" s="2" t="s">
        <v>136</v>
      </c>
      <c r="I146" s="2" t="b">
        <v>0</v>
      </c>
      <c r="J146" s="2" t="b">
        <v>0</v>
      </c>
      <c r="K146" s="7">
        <v>14995.98</v>
      </c>
      <c r="L146" s="16">
        <v>0</v>
      </c>
      <c r="M146" s="2">
        <v>14995.98</v>
      </c>
      <c r="N146" s="2" t="b">
        <v>0</v>
      </c>
      <c r="O146" s="2" t="s">
        <v>437</v>
      </c>
    </row>
    <row r="147" spans="1:15" x14ac:dyDescent="0.35">
      <c r="A147" s="2" t="s">
        <v>806</v>
      </c>
      <c r="B147" s="2" t="s">
        <v>807</v>
      </c>
      <c r="C147" s="2" t="s">
        <v>808</v>
      </c>
      <c r="D147" s="2" t="s">
        <v>179</v>
      </c>
      <c r="E147" s="4">
        <v>44990.875</v>
      </c>
      <c r="F147" s="2" t="s">
        <v>436</v>
      </c>
      <c r="G147" s="2" t="s">
        <v>105</v>
      </c>
      <c r="H147" s="2" t="s">
        <v>126</v>
      </c>
      <c r="I147" s="2" t="b">
        <v>0</v>
      </c>
      <c r="J147" s="2" t="b">
        <v>0</v>
      </c>
      <c r="K147" s="7">
        <v>0</v>
      </c>
      <c r="L147" s="16">
        <v>0</v>
      </c>
      <c r="M147" s="2">
        <v>0</v>
      </c>
      <c r="N147" s="2" t="b">
        <v>1</v>
      </c>
      <c r="O147" s="2" t="s">
        <v>432</v>
      </c>
    </row>
    <row r="148" spans="1:15" x14ac:dyDescent="0.35">
      <c r="A148" s="2" t="s">
        <v>809</v>
      </c>
      <c r="B148" s="2" t="s">
        <v>810</v>
      </c>
      <c r="C148" s="2" t="s">
        <v>509</v>
      </c>
      <c r="D148" s="2" t="s">
        <v>297</v>
      </c>
      <c r="E148" s="4">
        <v>44579.25</v>
      </c>
      <c r="F148" s="2" t="s">
        <v>446</v>
      </c>
      <c r="G148" s="2" t="s">
        <v>97</v>
      </c>
      <c r="H148" s="2" t="s">
        <v>55</v>
      </c>
      <c r="I148" s="2" t="b">
        <v>0</v>
      </c>
      <c r="J148" s="2" t="b">
        <v>0</v>
      </c>
      <c r="K148" s="7">
        <v>12831.58</v>
      </c>
      <c r="L148" s="16">
        <v>0</v>
      </c>
      <c r="M148" s="2">
        <v>12831.58</v>
      </c>
      <c r="N148" s="2" t="b">
        <v>0</v>
      </c>
      <c r="O148" s="2" t="s">
        <v>447</v>
      </c>
    </row>
    <row r="149" spans="1:15" x14ac:dyDescent="0.35">
      <c r="A149" s="2" t="s">
        <v>811</v>
      </c>
      <c r="B149" s="2" t="s">
        <v>812</v>
      </c>
      <c r="C149" s="2" t="s">
        <v>813</v>
      </c>
      <c r="D149" s="2" t="s">
        <v>289</v>
      </c>
      <c r="E149" s="4">
        <v>45563</v>
      </c>
      <c r="F149" s="2" t="s">
        <v>441</v>
      </c>
      <c r="G149" s="2" t="s">
        <v>250</v>
      </c>
      <c r="H149" s="2" t="s">
        <v>60</v>
      </c>
      <c r="I149" s="2" t="b">
        <v>0</v>
      </c>
      <c r="J149" s="2" t="b">
        <v>0</v>
      </c>
      <c r="K149" s="7">
        <v>7869.76</v>
      </c>
      <c r="L149" s="16">
        <v>0</v>
      </c>
      <c r="M149" s="2">
        <v>7869.76</v>
      </c>
      <c r="N149" s="2" t="b">
        <v>0</v>
      </c>
      <c r="O149" s="2" t="s">
        <v>451</v>
      </c>
    </row>
    <row r="150" spans="1:15" x14ac:dyDescent="0.35">
      <c r="A150" s="2" t="s">
        <v>814</v>
      </c>
      <c r="B150" s="2" t="s">
        <v>815</v>
      </c>
      <c r="C150" s="2" t="s">
        <v>499</v>
      </c>
      <c r="D150" s="2" t="s">
        <v>71</v>
      </c>
      <c r="E150" s="4">
        <v>44796.958333333336</v>
      </c>
      <c r="F150" s="2" t="s">
        <v>446</v>
      </c>
      <c r="G150" s="2" t="s">
        <v>92</v>
      </c>
      <c r="H150" s="2" t="s">
        <v>156</v>
      </c>
      <c r="I150" s="2" t="b">
        <v>0</v>
      </c>
      <c r="J150" s="2" t="b">
        <v>0</v>
      </c>
      <c r="K150" s="7">
        <v>15647.86</v>
      </c>
      <c r="L150" s="16">
        <v>2310.73</v>
      </c>
      <c r="M150" s="2">
        <v>17958.59</v>
      </c>
      <c r="N150" s="2" t="b">
        <v>1</v>
      </c>
      <c r="O150" s="2" t="s">
        <v>454</v>
      </c>
    </row>
    <row r="151" spans="1:15" x14ac:dyDescent="0.35">
      <c r="A151" s="2" t="s">
        <v>816</v>
      </c>
      <c r="B151" s="2" t="s">
        <v>817</v>
      </c>
      <c r="C151" s="2" t="s">
        <v>818</v>
      </c>
      <c r="D151" s="2" t="s">
        <v>201</v>
      </c>
      <c r="E151" s="4">
        <v>44658.958333333336</v>
      </c>
      <c r="F151" s="2" t="s">
        <v>436</v>
      </c>
      <c r="G151" s="2" t="s">
        <v>203</v>
      </c>
      <c r="H151" s="2" t="s">
        <v>156</v>
      </c>
      <c r="I151" s="2" t="b">
        <v>0</v>
      </c>
      <c r="J151" s="2" t="b">
        <v>0</v>
      </c>
      <c r="K151" s="7">
        <v>0</v>
      </c>
      <c r="L151" s="16">
        <v>18410.14</v>
      </c>
      <c r="M151" s="2">
        <v>18410.14</v>
      </c>
      <c r="N151" s="2" t="b">
        <v>0</v>
      </c>
      <c r="O151" s="2" t="s">
        <v>432</v>
      </c>
    </row>
    <row r="152" spans="1:15" x14ac:dyDescent="0.35">
      <c r="A152" s="2" t="s">
        <v>819</v>
      </c>
      <c r="B152" s="2" t="s">
        <v>820</v>
      </c>
      <c r="C152" s="2" t="s">
        <v>512</v>
      </c>
      <c r="D152" s="2" t="s">
        <v>213</v>
      </c>
      <c r="E152" s="4">
        <v>45314.041666666664</v>
      </c>
      <c r="F152" s="2" t="s">
        <v>458</v>
      </c>
      <c r="G152" s="2" t="s">
        <v>273</v>
      </c>
      <c r="H152" s="2" t="s">
        <v>16</v>
      </c>
      <c r="I152" s="2" t="b">
        <v>0</v>
      </c>
      <c r="J152" s="2" t="b">
        <v>1</v>
      </c>
      <c r="K152" s="7">
        <v>5762.54</v>
      </c>
      <c r="L152" s="16">
        <v>0</v>
      </c>
      <c r="M152" s="2">
        <v>5762.54</v>
      </c>
      <c r="N152" s="2" t="b">
        <v>0</v>
      </c>
      <c r="O152" s="2" t="s">
        <v>490</v>
      </c>
    </row>
    <row r="153" spans="1:15" x14ac:dyDescent="0.35">
      <c r="A153" s="2" t="s">
        <v>821</v>
      </c>
      <c r="B153" s="2" t="s">
        <v>822</v>
      </c>
      <c r="C153" s="2" t="s">
        <v>613</v>
      </c>
      <c r="D153" s="2" t="s">
        <v>85</v>
      </c>
      <c r="E153" s="4">
        <v>44880</v>
      </c>
      <c r="F153" s="2" t="s">
        <v>441</v>
      </c>
      <c r="G153" s="2" t="s">
        <v>273</v>
      </c>
      <c r="H153" s="2" t="s">
        <v>88</v>
      </c>
      <c r="I153" s="2" t="b">
        <v>1</v>
      </c>
      <c r="J153" s="2" t="b">
        <v>0</v>
      </c>
      <c r="K153" s="7">
        <v>0</v>
      </c>
      <c r="L153" s="16">
        <v>0</v>
      </c>
      <c r="M153" s="2">
        <v>0</v>
      </c>
      <c r="N153" s="2" t="b">
        <v>0</v>
      </c>
      <c r="O153" s="2" t="s">
        <v>451</v>
      </c>
    </row>
    <row r="154" spans="1:15" x14ac:dyDescent="0.35">
      <c r="A154" s="2" t="s">
        <v>823</v>
      </c>
      <c r="B154" s="2" t="s">
        <v>824</v>
      </c>
      <c r="C154" s="2" t="s">
        <v>610</v>
      </c>
      <c r="D154" s="2" t="s">
        <v>257</v>
      </c>
      <c r="E154" s="4">
        <v>45059.333333333336</v>
      </c>
      <c r="F154" s="2" t="s">
        <v>436</v>
      </c>
      <c r="G154" s="2" t="s">
        <v>105</v>
      </c>
      <c r="H154" s="2" t="s">
        <v>49</v>
      </c>
      <c r="I154" s="2" t="b">
        <v>1</v>
      </c>
      <c r="J154" s="2" t="b">
        <v>1</v>
      </c>
      <c r="K154" s="7">
        <v>15640.06</v>
      </c>
      <c r="L154" s="16">
        <v>28390.39</v>
      </c>
      <c r="M154" s="2">
        <v>44030.45</v>
      </c>
      <c r="N154" s="2" t="b">
        <v>0</v>
      </c>
      <c r="O154" s="2" t="s">
        <v>432</v>
      </c>
    </row>
    <row r="155" spans="1:15" x14ac:dyDescent="0.35">
      <c r="A155" s="2" t="s">
        <v>825</v>
      </c>
      <c r="B155" s="2" t="s">
        <v>826</v>
      </c>
      <c r="C155" s="2" t="s">
        <v>445</v>
      </c>
      <c r="D155" s="2" t="s">
        <v>287</v>
      </c>
      <c r="E155" s="4">
        <v>45407.125</v>
      </c>
      <c r="F155" s="2" t="s">
        <v>458</v>
      </c>
      <c r="G155" s="2" t="s">
        <v>50</v>
      </c>
      <c r="H155" s="2" t="s">
        <v>24</v>
      </c>
      <c r="I155" s="2" t="b">
        <v>1</v>
      </c>
      <c r="J155" s="2" t="b">
        <v>0</v>
      </c>
      <c r="K155" s="7">
        <v>21868.6</v>
      </c>
      <c r="L155" s="16">
        <v>23572.73</v>
      </c>
      <c r="M155" s="2">
        <v>45441.33</v>
      </c>
      <c r="N155" s="2" t="b">
        <v>0</v>
      </c>
      <c r="O155" s="2" t="s">
        <v>490</v>
      </c>
    </row>
    <row r="156" spans="1:15" x14ac:dyDescent="0.35">
      <c r="A156" s="2" t="s">
        <v>827</v>
      </c>
      <c r="B156" s="2" t="s">
        <v>828</v>
      </c>
      <c r="C156" s="2" t="s">
        <v>546</v>
      </c>
      <c r="D156" s="2" t="s">
        <v>101</v>
      </c>
      <c r="E156" s="4">
        <v>44867.75</v>
      </c>
      <c r="F156" s="2" t="s">
        <v>441</v>
      </c>
      <c r="G156" s="2" t="s">
        <v>30</v>
      </c>
      <c r="H156" s="2" t="s">
        <v>284</v>
      </c>
      <c r="I156" s="2" t="b">
        <v>0</v>
      </c>
      <c r="J156" s="2" t="b">
        <v>0</v>
      </c>
      <c r="K156" s="7">
        <v>7673.56</v>
      </c>
      <c r="L156" s="16">
        <v>0</v>
      </c>
      <c r="M156" s="2">
        <v>7673.56</v>
      </c>
      <c r="N156" s="2" t="b">
        <v>0</v>
      </c>
      <c r="O156" s="2" t="s">
        <v>481</v>
      </c>
    </row>
    <row r="157" spans="1:15" x14ac:dyDescent="0.35">
      <c r="A157" s="2" t="s">
        <v>829</v>
      </c>
      <c r="B157" s="2" t="s">
        <v>830</v>
      </c>
      <c r="C157" s="2" t="s">
        <v>831</v>
      </c>
      <c r="D157" s="2" t="s">
        <v>76</v>
      </c>
      <c r="E157" s="4">
        <v>45074.5</v>
      </c>
      <c r="F157" s="2" t="s">
        <v>427</v>
      </c>
      <c r="G157" s="2" t="s">
        <v>209</v>
      </c>
      <c r="H157" s="2" t="s">
        <v>96</v>
      </c>
      <c r="I157" s="2" t="b">
        <v>0</v>
      </c>
      <c r="J157" s="2" t="b">
        <v>1</v>
      </c>
      <c r="K157" s="7">
        <v>0</v>
      </c>
      <c r="L157" s="16">
        <v>18911.939999999999</v>
      </c>
      <c r="M157" s="2">
        <v>18911.939999999999</v>
      </c>
      <c r="N157" s="2" t="b">
        <v>1</v>
      </c>
      <c r="O157" s="2" t="s">
        <v>437</v>
      </c>
    </row>
    <row r="158" spans="1:15" x14ac:dyDescent="0.35">
      <c r="A158" s="2" t="s">
        <v>832</v>
      </c>
      <c r="B158" s="2" t="s">
        <v>833</v>
      </c>
      <c r="C158" s="2" t="s">
        <v>502</v>
      </c>
      <c r="D158" s="2" t="s">
        <v>388</v>
      </c>
      <c r="E158" s="4">
        <v>45014</v>
      </c>
      <c r="F158" s="2" t="s">
        <v>458</v>
      </c>
      <c r="G158" s="2" t="s">
        <v>25</v>
      </c>
      <c r="H158" s="2" t="s">
        <v>144</v>
      </c>
      <c r="I158" s="2" t="b">
        <v>1</v>
      </c>
      <c r="J158" s="2" t="b">
        <v>0</v>
      </c>
      <c r="K158" s="7">
        <v>22050.560000000001</v>
      </c>
      <c r="L158" s="16">
        <v>0</v>
      </c>
      <c r="M158" s="2">
        <v>22050.560000000001</v>
      </c>
      <c r="N158" s="2" t="b">
        <v>0</v>
      </c>
      <c r="O158" s="2" t="s">
        <v>447</v>
      </c>
    </row>
    <row r="159" spans="1:15" x14ac:dyDescent="0.35">
      <c r="A159" s="2" t="s">
        <v>834</v>
      </c>
      <c r="B159" s="2" t="s">
        <v>835</v>
      </c>
      <c r="C159" s="2" t="s">
        <v>725</v>
      </c>
      <c r="D159" s="2" t="s">
        <v>388</v>
      </c>
      <c r="E159" s="4">
        <v>45130.458333333336</v>
      </c>
      <c r="F159" s="2" t="s">
        <v>436</v>
      </c>
      <c r="G159" s="2" t="s">
        <v>17</v>
      </c>
      <c r="H159" s="2" t="s">
        <v>29</v>
      </c>
      <c r="I159" s="2" t="b">
        <v>0</v>
      </c>
      <c r="J159" s="2" t="b">
        <v>0</v>
      </c>
      <c r="K159" s="7">
        <v>18006.54</v>
      </c>
      <c r="L159" s="16">
        <v>0</v>
      </c>
      <c r="M159" s="2">
        <v>18006.54</v>
      </c>
      <c r="N159" s="2" t="b">
        <v>0</v>
      </c>
      <c r="O159" s="2" t="s">
        <v>481</v>
      </c>
    </row>
    <row r="160" spans="1:15" x14ac:dyDescent="0.35">
      <c r="A160" s="2" t="s">
        <v>836</v>
      </c>
      <c r="B160" s="2" t="s">
        <v>837</v>
      </c>
      <c r="C160" s="2" t="s">
        <v>623</v>
      </c>
      <c r="D160" s="2" t="s">
        <v>384</v>
      </c>
      <c r="E160" s="4">
        <v>44776.041666666664</v>
      </c>
      <c r="F160" s="2" t="s">
        <v>441</v>
      </c>
      <c r="G160" s="2" t="s">
        <v>97</v>
      </c>
      <c r="H160" s="2" t="s">
        <v>112</v>
      </c>
      <c r="I160" s="2" t="b">
        <v>1</v>
      </c>
      <c r="J160" s="2" t="b">
        <v>0</v>
      </c>
      <c r="K160" s="7">
        <v>17785.05</v>
      </c>
      <c r="L160" s="16">
        <v>44746.09</v>
      </c>
      <c r="M160" s="2">
        <v>62531.14</v>
      </c>
      <c r="N160" s="2" t="b">
        <v>1</v>
      </c>
      <c r="O160" s="2" t="s">
        <v>521</v>
      </c>
    </row>
    <row r="161" spans="1:15" x14ac:dyDescent="0.35">
      <c r="A161" s="2" t="s">
        <v>838</v>
      </c>
      <c r="B161" s="2" t="s">
        <v>839</v>
      </c>
      <c r="C161" s="2" t="s">
        <v>616</v>
      </c>
      <c r="D161" s="2" t="s">
        <v>152</v>
      </c>
      <c r="E161" s="4">
        <v>45521.291666666664</v>
      </c>
      <c r="F161" s="2" t="s">
        <v>441</v>
      </c>
      <c r="G161" s="2" t="s">
        <v>206</v>
      </c>
      <c r="H161" s="2" t="s">
        <v>212</v>
      </c>
      <c r="I161" s="2" t="b">
        <v>0</v>
      </c>
      <c r="J161" s="2" t="b">
        <v>0</v>
      </c>
      <c r="K161" s="7">
        <v>10368.65</v>
      </c>
      <c r="L161" s="16">
        <v>3080.69</v>
      </c>
      <c r="M161" s="2">
        <v>13449.34</v>
      </c>
      <c r="N161" s="2" t="b">
        <v>1</v>
      </c>
      <c r="O161" s="2" t="s">
        <v>521</v>
      </c>
    </row>
    <row r="162" spans="1:15" x14ac:dyDescent="0.35">
      <c r="A162" s="2" t="s">
        <v>840</v>
      </c>
      <c r="B162" s="2" t="s">
        <v>841</v>
      </c>
      <c r="C162" s="2" t="s">
        <v>842</v>
      </c>
      <c r="D162" s="2" t="s">
        <v>132</v>
      </c>
      <c r="E162" s="4">
        <v>45541.291666666664</v>
      </c>
      <c r="F162" s="2" t="s">
        <v>458</v>
      </c>
      <c r="G162" s="2" t="s">
        <v>66</v>
      </c>
      <c r="H162" s="2" t="s">
        <v>96</v>
      </c>
      <c r="I162" s="2" t="b">
        <v>0</v>
      </c>
      <c r="J162" s="2" t="b">
        <v>0</v>
      </c>
      <c r="K162" s="7">
        <v>0</v>
      </c>
      <c r="L162" s="16">
        <v>0</v>
      </c>
      <c r="M162" s="2">
        <v>0</v>
      </c>
      <c r="N162" s="2" t="b">
        <v>0</v>
      </c>
      <c r="O162" s="2" t="s">
        <v>566</v>
      </c>
    </row>
    <row r="163" spans="1:15" x14ac:dyDescent="0.35">
      <c r="A163" s="2" t="s">
        <v>843</v>
      </c>
      <c r="B163" s="2" t="s">
        <v>844</v>
      </c>
      <c r="C163" s="2" t="s">
        <v>477</v>
      </c>
      <c r="D163" s="2" t="s">
        <v>364</v>
      </c>
      <c r="E163" s="4">
        <v>45383.583333333336</v>
      </c>
      <c r="F163" s="2" t="s">
        <v>436</v>
      </c>
      <c r="G163" s="2" t="s">
        <v>92</v>
      </c>
      <c r="H163" s="2" t="s">
        <v>156</v>
      </c>
      <c r="I163" s="2" t="b">
        <v>1</v>
      </c>
      <c r="J163" s="2" t="b">
        <v>0</v>
      </c>
      <c r="K163" s="7">
        <v>13452.82</v>
      </c>
      <c r="L163" s="16">
        <v>0</v>
      </c>
      <c r="M163" s="2">
        <v>13452.82</v>
      </c>
      <c r="N163" s="2" t="b">
        <v>0</v>
      </c>
      <c r="O163" s="2" t="s">
        <v>432</v>
      </c>
    </row>
    <row r="164" spans="1:15" x14ac:dyDescent="0.35">
      <c r="A164" s="2" t="s">
        <v>845</v>
      </c>
      <c r="B164" s="2" t="s">
        <v>846</v>
      </c>
      <c r="C164" s="2" t="s">
        <v>518</v>
      </c>
      <c r="D164" s="2" t="s">
        <v>201</v>
      </c>
      <c r="E164" s="4">
        <v>45303.916666666664</v>
      </c>
      <c r="F164" s="2" t="s">
        <v>436</v>
      </c>
      <c r="G164" s="2" t="s">
        <v>250</v>
      </c>
      <c r="H164" s="2" t="s">
        <v>136</v>
      </c>
      <c r="I164" s="2" t="b">
        <v>0</v>
      </c>
      <c r="J164" s="2" t="b">
        <v>1</v>
      </c>
      <c r="K164" s="7">
        <v>0</v>
      </c>
      <c r="L164" s="16">
        <v>0</v>
      </c>
      <c r="M164" s="2">
        <v>0</v>
      </c>
      <c r="N164" s="2" t="b">
        <v>0</v>
      </c>
      <c r="O164" s="2" t="s">
        <v>490</v>
      </c>
    </row>
    <row r="165" spans="1:15" x14ac:dyDescent="0.35">
      <c r="A165" s="2" t="s">
        <v>847</v>
      </c>
      <c r="B165" s="2" t="s">
        <v>848</v>
      </c>
      <c r="C165" s="2" t="s">
        <v>632</v>
      </c>
      <c r="D165" s="2" t="s">
        <v>179</v>
      </c>
      <c r="E165" s="4">
        <v>44566.083333333336</v>
      </c>
      <c r="F165" s="2" t="s">
        <v>446</v>
      </c>
      <c r="G165" s="2" t="s">
        <v>109</v>
      </c>
      <c r="H165" s="2" t="s">
        <v>116</v>
      </c>
      <c r="I165" s="2" t="b">
        <v>1</v>
      </c>
      <c r="J165" s="2" t="b">
        <v>0</v>
      </c>
      <c r="K165" s="7">
        <v>12983.51</v>
      </c>
      <c r="L165" s="16">
        <v>0</v>
      </c>
      <c r="M165" s="2">
        <v>12983.51</v>
      </c>
      <c r="N165" s="2" t="b">
        <v>0</v>
      </c>
      <c r="O165" s="2" t="s">
        <v>442</v>
      </c>
    </row>
    <row r="166" spans="1:15" x14ac:dyDescent="0.35">
      <c r="A166" s="2" t="s">
        <v>849</v>
      </c>
      <c r="B166" s="2" t="s">
        <v>850</v>
      </c>
      <c r="C166" s="2" t="s">
        <v>643</v>
      </c>
      <c r="D166" s="2" t="s">
        <v>400</v>
      </c>
      <c r="E166" s="4">
        <v>45217.041666666664</v>
      </c>
      <c r="F166" s="2" t="s">
        <v>427</v>
      </c>
      <c r="G166" s="2" t="s">
        <v>17</v>
      </c>
      <c r="H166" s="2" t="s">
        <v>88</v>
      </c>
      <c r="I166" s="2" t="b">
        <v>0</v>
      </c>
      <c r="J166" s="2" t="b">
        <v>1</v>
      </c>
      <c r="K166" s="7">
        <v>0</v>
      </c>
      <c r="L166" s="16">
        <v>33733.85</v>
      </c>
      <c r="M166" s="2">
        <v>33733.85</v>
      </c>
      <c r="N166" s="2" t="b">
        <v>0</v>
      </c>
      <c r="O166" s="2" t="s">
        <v>503</v>
      </c>
    </row>
    <row r="167" spans="1:15" x14ac:dyDescent="0.35">
      <c r="A167" s="2" t="s">
        <v>851</v>
      </c>
      <c r="B167" s="2" t="s">
        <v>852</v>
      </c>
      <c r="C167" s="2" t="s">
        <v>831</v>
      </c>
      <c r="D167" s="2" t="s">
        <v>98</v>
      </c>
      <c r="E167" s="4">
        <v>45421.333333333336</v>
      </c>
      <c r="F167" s="2" t="s">
        <v>446</v>
      </c>
      <c r="G167" s="2" t="s">
        <v>109</v>
      </c>
      <c r="H167" s="2" t="s">
        <v>49</v>
      </c>
      <c r="I167" s="2" t="b">
        <v>0</v>
      </c>
      <c r="J167" s="2" t="b">
        <v>0</v>
      </c>
      <c r="K167" s="7">
        <v>0</v>
      </c>
      <c r="L167" s="16">
        <v>0</v>
      </c>
      <c r="M167" s="2">
        <v>0</v>
      </c>
      <c r="N167" s="2" t="b">
        <v>0</v>
      </c>
      <c r="O167" s="2" t="s">
        <v>454</v>
      </c>
    </row>
    <row r="168" spans="1:15" x14ac:dyDescent="0.35">
      <c r="A168" s="2" t="s">
        <v>853</v>
      </c>
      <c r="B168" s="2" t="s">
        <v>854</v>
      </c>
      <c r="C168" s="2" t="s">
        <v>499</v>
      </c>
      <c r="D168" s="2" t="s">
        <v>157</v>
      </c>
      <c r="E168" s="4">
        <v>45069.291666666664</v>
      </c>
      <c r="F168" s="2" t="s">
        <v>441</v>
      </c>
      <c r="G168" s="2" t="s">
        <v>50</v>
      </c>
      <c r="H168" s="2" t="s">
        <v>24</v>
      </c>
      <c r="I168" s="2" t="b">
        <v>0</v>
      </c>
      <c r="J168" s="2" t="b">
        <v>0</v>
      </c>
      <c r="K168" s="7">
        <v>0</v>
      </c>
      <c r="L168" s="16">
        <v>20745.080000000002</v>
      </c>
      <c r="M168" s="2">
        <v>20745.080000000002</v>
      </c>
      <c r="N168" s="2" t="b">
        <v>0</v>
      </c>
      <c r="O168" s="2" t="s">
        <v>566</v>
      </c>
    </row>
    <row r="169" spans="1:15" x14ac:dyDescent="0.35">
      <c r="A169" s="2" t="s">
        <v>855</v>
      </c>
      <c r="B169" s="2" t="s">
        <v>856</v>
      </c>
      <c r="C169" s="2" t="s">
        <v>857</v>
      </c>
      <c r="D169" s="2" t="s">
        <v>26</v>
      </c>
      <c r="E169" s="4">
        <v>44569.708333333336</v>
      </c>
      <c r="F169" s="2" t="s">
        <v>446</v>
      </c>
      <c r="G169" s="2" t="s">
        <v>92</v>
      </c>
      <c r="H169" s="2" t="s">
        <v>116</v>
      </c>
      <c r="I169" s="2" t="b">
        <v>0</v>
      </c>
      <c r="J169" s="2" t="b">
        <v>0</v>
      </c>
      <c r="K169" s="7">
        <v>6355.71</v>
      </c>
      <c r="L169" s="16">
        <v>0</v>
      </c>
      <c r="M169" s="2">
        <v>6355.71</v>
      </c>
      <c r="N169" s="2" t="b">
        <v>0</v>
      </c>
      <c r="O169" s="2" t="s">
        <v>454</v>
      </c>
    </row>
    <row r="170" spans="1:15" x14ac:dyDescent="0.35">
      <c r="A170" s="2" t="s">
        <v>858</v>
      </c>
      <c r="B170" s="2" t="s">
        <v>859</v>
      </c>
      <c r="C170" s="2" t="s">
        <v>489</v>
      </c>
      <c r="D170" s="2" t="s">
        <v>378</v>
      </c>
      <c r="E170" s="4">
        <v>45439</v>
      </c>
      <c r="F170" s="2" t="s">
        <v>441</v>
      </c>
      <c r="G170" s="2" t="s">
        <v>70</v>
      </c>
      <c r="H170" s="2" t="s">
        <v>151</v>
      </c>
      <c r="I170" s="2" t="b">
        <v>0</v>
      </c>
      <c r="J170" s="2" t="b">
        <v>0</v>
      </c>
      <c r="K170" s="7">
        <v>23060</v>
      </c>
      <c r="L170" s="16">
        <v>19477.23</v>
      </c>
      <c r="M170" s="2">
        <v>42537.23</v>
      </c>
      <c r="N170" s="2" t="b">
        <v>1</v>
      </c>
      <c r="O170" s="2" t="s">
        <v>442</v>
      </c>
    </row>
    <row r="171" spans="1:15" x14ac:dyDescent="0.35">
      <c r="A171" s="2" t="s">
        <v>860</v>
      </c>
      <c r="B171" s="2" t="s">
        <v>861</v>
      </c>
      <c r="C171" s="2" t="s">
        <v>515</v>
      </c>
      <c r="D171" s="2" t="s">
        <v>106</v>
      </c>
      <c r="E171" s="4">
        <v>45028.166666666664</v>
      </c>
      <c r="F171" s="2" t="s">
        <v>427</v>
      </c>
      <c r="G171" s="2" t="s">
        <v>117</v>
      </c>
      <c r="H171" s="2" t="s">
        <v>278</v>
      </c>
      <c r="I171" s="2" t="b">
        <v>0</v>
      </c>
      <c r="J171" s="2" t="b">
        <v>0</v>
      </c>
      <c r="K171" s="7">
        <v>0</v>
      </c>
      <c r="L171" s="16">
        <v>0</v>
      </c>
      <c r="M171" s="2">
        <v>0</v>
      </c>
      <c r="N171" s="2" t="b">
        <v>0</v>
      </c>
      <c r="O171" s="2" t="s">
        <v>521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F55B-7EDD-49AC-8D44-2B5D29D136AF}">
  <dimension ref="A3:B13"/>
  <sheetViews>
    <sheetView zoomScale="51" workbookViewId="0">
      <selection activeCell="BG49" sqref="BG49"/>
    </sheetView>
  </sheetViews>
  <sheetFormatPr defaultRowHeight="14.5" x14ac:dyDescent="0.35"/>
  <cols>
    <col min="1" max="1" width="16.08984375" bestFit="1" customWidth="1"/>
    <col min="2" max="2" width="17.36328125" bestFit="1" customWidth="1"/>
  </cols>
  <sheetData>
    <row r="3" spans="1:2" x14ac:dyDescent="0.35">
      <c r="A3" s="5" t="s">
        <v>865</v>
      </c>
      <c r="B3" t="s">
        <v>866</v>
      </c>
    </row>
    <row r="4" spans="1:2" x14ac:dyDescent="0.35">
      <c r="A4" s="6" t="s">
        <v>190</v>
      </c>
      <c r="B4" s="18">
        <v>2311844.2999999998</v>
      </c>
    </row>
    <row r="5" spans="1:2" x14ac:dyDescent="0.35">
      <c r="A5" s="6" t="s">
        <v>315</v>
      </c>
      <c r="B5" s="18">
        <v>2311327.9</v>
      </c>
    </row>
    <row r="6" spans="1:2" x14ac:dyDescent="0.35">
      <c r="A6" s="6" t="s">
        <v>210</v>
      </c>
      <c r="B6" s="18">
        <v>2305056.6</v>
      </c>
    </row>
    <row r="7" spans="1:2" x14ac:dyDescent="0.35">
      <c r="A7" s="6" t="s">
        <v>89</v>
      </c>
      <c r="B7" s="18">
        <v>2278574.88</v>
      </c>
    </row>
    <row r="8" spans="1:2" x14ac:dyDescent="0.35">
      <c r="A8" s="6" t="s">
        <v>101</v>
      </c>
      <c r="B8" s="18">
        <v>2275654.7599999998</v>
      </c>
    </row>
    <row r="9" spans="1:2" x14ac:dyDescent="0.35">
      <c r="A9" s="6" t="s">
        <v>353</v>
      </c>
      <c r="B9" s="18">
        <v>2272317.62</v>
      </c>
    </row>
    <row r="10" spans="1:2" x14ac:dyDescent="0.35">
      <c r="A10" s="6" t="s">
        <v>398</v>
      </c>
      <c r="B10" s="18">
        <v>2269105.67</v>
      </c>
    </row>
    <row r="11" spans="1:2" x14ac:dyDescent="0.35">
      <c r="A11" s="6" t="s">
        <v>394</v>
      </c>
      <c r="B11" s="18">
        <v>2256066.9200000004</v>
      </c>
    </row>
    <row r="12" spans="1:2" x14ac:dyDescent="0.35">
      <c r="A12" s="6" t="s">
        <v>265</v>
      </c>
      <c r="B12" s="18">
        <v>2229521.2300000004</v>
      </c>
    </row>
    <row r="13" spans="1:2" x14ac:dyDescent="0.35">
      <c r="A13" s="6" t="s">
        <v>269</v>
      </c>
      <c r="B13" s="18">
        <v>2214003.3300000005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81C3-19F0-40C7-B847-434804836032}">
  <dimension ref="A3:B13"/>
  <sheetViews>
    <sheetView zoomScale="55" workbookViewId="0">
      <selection activeCell="B4" sqref="B4"/>
    </sheetView>
  </sheetViews>
  <sheetFormatPr defaultRowHeight="14.5" x14ac:dyDescent="0.35"/>
  <cols>
    <col min="1" max="1" width="12.1796875" bestFit="1" customWidth="1"/>
    <col min="2" max="2" width="17.26953125" bestFit="1" customWidth="1"/>
  </cols>
  <sheetData>
    <row r="3" spans="1:2" x14ac:dyDescent="0.35">
      <c r="A3" s="5" t="s">
        <v>864</v>
      </c>
      <c r="B3" t="s">
        <v>863</v>
      </c>
    </row>
    <row r="4" spans="1:2" x14ac:dyDescent="0.35">
      <c r="A4" s="6" t="s">
        <v>315</v>
      </c>
      <c r="B4" s="13">
        <v>0.47716666666666668</v>
      </c>
    </row>
    <row r="5" spans="1:2" x14ac:dyDescent="0.35">
      <c r="A5" s="6" t="s">
        <v>307</v>
      </c>
      <c r="B5" s="13">
        <v>0.47775000000000006</v>
      </c>
    </row>
    <row r="6" spans="1:2" x14ac:dyDescent="0.35">
      <c r="A6" s="6" t="s">
        <v>323</v>
      </c>
      <c r="B6" s="13">
        <v>0.47891666666666666</v>
      </c>
    </row>
    <row r="7" spans="1:2" x14ac:dyDescent="0.35">
      <c r="A7" s="6" t="s">
        <v>213</v>
      </c>
      <c r="B7" s="13">
        <v>0.47911111111111127</v>
      </c>
    </row>
    <row r="8" spans="1:2" x14ac:dyDescent="0.35">
      <c r="A8" s="6" t="s">
        <v>114</v>
      </c>
      <c r="B8" s="13">
        <v>0.48116666666666674</v>
      </c>
    </row>
    <row r="9" spans="1:2" x14ac:dyDescent="0.35">
      <c r="A9" s="6" t="s">
        <v>106</v>
      </c>
      <c r="B9" s="13">
        <v>0.48252777777777794</v>
      </c>
    </row>
    <row r="10" spans="1:2" x14ac:dyDescent="0.35">
      <c r="A10" s="6" t="s">
        <v>299</v>
      </c>
      <c r="B10" s="13">
        <v>0.48286111111111119</v>
      </c>
    </row>
    <row r="11" spans="1:2" x14ac:dyDescent="0.35">
      <c r="A11" s="6" t="s">
        <v>325</v>
      </c>
      <c r="B11" s="13">
        <v>0.48805555555555569</v>
      </c>
    </row>
    <row r="12" spans="1:2" x14ac:dyDescent="0.35">
      <c r="A12" s="6" t="s">
        <v>152</v>
      </c>
      <c r="B12" s="13">
        <v>0.49041666666666672</v>
      </c>
    </row>
    <row r="13" spans="1:2" x14ac:dyDescent="0.35">
      <c r="A13" s="6" t="s">
        <v>339</v>
      </c>
      <c r="B13" s="13">
        <v>0.50766666666666671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67C-8763-4941-B3B2-4DA8388F0165}">
  <dimension ref="A3:B13"/>
  <sheetViews>
    <sheetView topLeftCell="A3" workbookViewId="0">
      <selection activeCell="D18" sqref="D18"/>
    </sheetView>
  </sheetViews>
  <sheetFormatPr defaultRowHeight="14.5" x14ac:dyDescent="0.35"/>
  <cols>
    <col min="1" max="1" width="10.81640625" bestFit="1" customWidth="1"/>
    <col min="2" max="2" width="12.08984375" bestFit="1" customWidth="1"/>
  </cols>
  <sheetData>
    <row r="3" spans="1:2" x14ac:dyDescent="0.35">
      <c r="A3" s="5" t="s">
        <v>865</v>
      </c>
      <c r="B3" t="s">
        <v>867</v>
      </c>
    </row>
    <row r="4" spans="1:2" x14ac:dyDescent="0.35">
      <c r="A4" s="6" t="s">
        <v>309</v>
      </c>
      <c r="B4" s="12">
        <v>236.27</v>
      </c>
    </row>
    <row r="5" spans="1:2" x14ac:dyDescent="0.35">
      <c r="A5" s="6" t="s">
        <v>305</v>
      </c>
      <c r="B5" s="12">
        <v>236.23999999999998</v>
      </c>
    </row>
    <row r="6" spans="1:2" x14ac:dyDescent="0.35">
      <c r="A6" s="6" t="s">
        <v>317</v>
      </c>
      <c r="B6" s="12">
        <v>236.22000000000003</v>
      </c>
    </row>
    <row r="7" spans="1:2" x14ac:dyDescent="0.35">
      <c r="A7" s="6" t="s">
        <v>295</v>
      </c>
      <c r="B7" s="12">
        <v>235.92</v>
      </c>
    </row>
    <row r="8" spans="1:2" x14ac:dyDescent="0.35">
      <c r="A8" s="6" t="s">
        <v>184</v>
      </c>
      <c r="B8" s="12">
        <v>235.9</v>
      </c>
    </row>
    <row r="9" spans="1:2" x14ac:dyDescent="0.35">
      <c r="A9" s="6" t="s">
        <v>157</v>
      </c>
      <c r="B9" s="12">
        <v>235.77000000000004</v>
      </c>
    </row>
    <row r="10" spans="1:2" x14ac:dyDescent="0.35">
      <c r="A10" s="6" t="s">
        <v>382</v>
      </c>
      <c r="B10" s="12">
        <v>235.70000000000002</v>
      </c>
    </row>
    <row r="11" spans="1:2" x14ac:dyDescent="0.35">
      <c r="A11" s="6" t="s">
        <v>204</v>
      </c>
      <c r="B11" s="12">
        <v>235.70000000000002</v>
      </c>
    </row>
    <row r="12" spans="1:2" x14ac:dyDescent="0.35">
      <c r="A12" s="6" t="s">
        <v>257</v>
      </c>
      <c r="B12" s="12">
        <v>235.68</v>
      </c>
    </row>
    <row r="13" spans="1:2" x14ac:dyDescent="0.35">
      <c r="A13" s="6" t="s">
        <v>118</v>
      </c>
      <c r="B13" s="12">
        <v>235.61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7E9F-F089-48D8-9EAC-38867F9F5682}">
  <dimension ref="A1:C151"/>
  <sheetViews>
    <sheetView workbookViewId="0">
      <selection activeCell="D6" sqref="D6"/>
    </sheetView>
  </sheetViews>
  <sheetFormatPr defaultRowHeight="14.5" x14ac:dyDescent="0.35"/>
  <cols>
    <col min="1" max="1" width="9.26953125" bestFit="1" customWidth="1"/>
    <col min="2" max="2" width="15.453125" bestFit="1" customWidth="1"/>
    <col min="3" max="3" width="15" bestFit="1" customWidth="1"/>
  </cols>
  <sheetData>
    <row r="1" spans="1:3" x14ac:dyDescent="0.35">
      <c r="A1" t="s">
        <v>0</v>
      </c>
      <c r="B1" t="s">
        <v>11</v>
      </c>
      <c r="C1" t="s">
        <v>869</v>
      </c>
    </row>
    <row r="2" spans="1:3" x14ac:dyDescent="0.35">
      <c r="A2" t="str" cm="1">
        <f t="array" ref="A2:A151">drivers[driver_id]</f>
        <v>DRV00001</v>
      </c>
      <c r="B2" cm="1">
        <f t="array" ref="B2:B151">drivers[years_experience]</f>
        <v>3</v>
      </c>
      <c r="C2">
        <f>IFERROR(AVERAGEIF(driver_monthly_metrics[driver_id],A2,driver_monthly_metrics[on_time_delivery_rate]),"")</f>
        <v>0.45416666666666661</v>
      </c>
    </row>
    <row r="3" spans="1:3" x14ac:dyDescent="0.35">
      <c r="A3" t="str">
        <v>DRV00002</v>
      </c>
      <c r="B3">
        <v>20</v>
      </c>
      <c r="C3">
        <f>IFERROR(AVERAGEIF(driver_monthly_metrics[driver_id],A3,driver_monthly_metrics[on_time_delivery_rate]),"")</f>
        <v>0.46838888888888897</v>
      </c>
    </row>
    <row r="4" spans="1:3" x14ac:dyDescent="0.35">
      <c r="A4" t="str">
        <v>DRV00003</v>
      </c>
      <c r="B4">
        <v>19</v>
      </c>
      <c r="C4">
        <f>IFERROR(AVERAGEIF(driver_monthly_metrics[driver_id],A4,driver_monthly_metrics[on_time_delivery_rate]),"")</f>
        <v>0.45080555555555574</v>
      </c>
    </row>
    <row r="5" spans="1:3" x14ac:dyDescent="0.35">
      <c r="A5" t="str">
        <v>DRV00004</v>
      </c>
      <c r="B5">
        <v>19</v>
      </c>
      <c r="C5">
        <f>IFERROR(AVERAGEIF(driver_monthly_metrics[driver_id],A5,driver_monthly_metrics[on_time_delivery_rate]),"")</f>
        <v>0.42833333333333334</v>
      </c>
    </row>
    <row r="6" spans="1:3" x14ac:dyDescent="0.35">
      <c r="A6" t="str">
        <v>DRV00005</v>
      </c>
      <c r="B6">
        <v>12</v>
      </c>
      <c r="C6">
        <f>IFERROR(AVERAGEIF(driver_monthly_metrics[driver_id],A6,driver_monthly_metrics[on_time_delivery_rate]),"")</f>
        <v>0.45405555555555555</v>
      </c>
    </row>
    <row r="7" spans="1:3" x14ac:dyDescent="0.35">
      <c r="A7" t="str">
        <v>DRV00006</v>
      </c>
      <c r="B7">
        <v>23</v>
      </c>
      <c r="C7">
        <f>IFERROR(AVERAGEIF(driver_monthly_metrics[driver_id],A7,driver_monthly_metrics[on_time_delivery_rate]),"")</f>
        <v>0.4388611111111112</v>
      </c>
    </row>
    <row r="8" spans="1:3" x14ac:dyDescent="0.35">
      <c r="A8" t="str">
        <v>DRV00007</v>
      </c>
      <c r="B8">
        <v>5</v>
      </c>
      <c r="C8" t="str">
        <f>IFERROR(AVERAGEIF(driver_monthly_metrics[driver_id],A8,driver_monthly_metrics[on_time_delivery_rate]),"")</f>
        <v/>
      </c>
    </row>
    <row r="9" spans="1:3" x14ac:dyDescent="0.35">
      <c r="A9" t="str">
        <v>DRV00008</v>
      </c>
      <c r="B9">
        <v>15</v>
      </c>
      <c r="C9" t="str">
        <f>IFERROR(AVERAGEIF(driver_monthly_metrics[driver_id],A9,driver_monthly_metrics[on_time_delivery_rate]),"")</f>
        <v/>
      </c>
    </row>
    <row r="10" spans="1:3" x14ac:dyDescent="0.35">
      <c r="A10" t="str">
        <v>DRV00009</v>
      </c>
      <c r="B10">
        <v>13</v>
      </c>
      <c r="C10">
        <f>IFERROR(AVERAGEIF(driver_monthly_metrics[driver_id],A10,driver_monthly_metrics[on_time_delivery_rate]),"")</f>
        <v>0.443388888888889</v>
      </c>
    </row>
    <row r="11" spans="1:3" x14ac:dyDescent="0.35">
      <c r="A11" t="str">
        <v>DRV00010</v>
      </c>
      <c r="B11">
        <v>23</v>
      </c>
      <c r="C11">
        <f>IFERROR(AVERAGEIF(driver_monthly_metrics[driver_id],A11,driver_monthly_metrics[on_time_delivery_rate]),"")</f>
        <v>0.43747222222222226</v>
      </c>
    </row>
    <row r="12" spans="1:3" x14ac:dyDescent="0.35">
      <c r="A12" t="str">
        <v>DRV00011</v>
      </c>
      <c r="B12">
        <v>15</v>
      </c>
      <c r="C12">
        <f>IFERROR(AVERAGEIF(driver_monthly_metrics[driver_id],A12,driver_monthly_metrics[on_time_delivery_rate]),"")</f>
        <v>0.43877777777777788</v>
      </c>
    </row>
    <row r="13" spans="1:3" x14ac:dyDescent="0.35">
      <c r="A13" t="str">
        <v>DRV00012</v>
      </c>
      <c r="B13">
        <v>25</v>
      </c>
      <c r="C13">
        <f>IFERROR(AVERAGEIF(driver_monthly_metrics[driver_id],A13,driver_monthly_metrics[on_time_delivery_rate]),"")</f>
        <v>0.43747222222222226</v>
      </c>
    </row>
    <row r="14" spans="1:3" x14ac:dyDescent="0.35">
      <c r="A14" t="str">
        <v>DRV00013</v>
      </c>
      <c r="B14">
        <v>3</v>
      </c>
      <c r="C14">
        <f>IFERROR(AVERAGEIF(driver_monthly_metrics[driver_id],A14,driver_monthly_metrics[on_time_delivery_rate]),"")</f>
        <v>0.43177777777777782</v>
      </c>
    </row>
    <row r="15" spans="1:3" x14ac:dyDescent="0.35">
      <c r="A15" t="str">
        <v>DRV00014</v>
      </c>
      <c r="B15">
        <v>11</v>
      </c>
      <c r="C15">
        <f>IFERROR(AVERAGEIF(driver_monthly_metrics[driver_id],A15,driver_monthly_metrics[on_time_delivery_rate]),"")</f>
        <v>0.43288888888888893</v>
      </c>
    </row>
    <row r="16" spans="1:3" x14ac:dyDescent="0.35">
      <c r="A16" t="str">
        <v>DRV00015</v>
      </c>
      <c r="B16">
        <v>21</v>
      </c>
      <c r="C16">
        <f>IFERROR(AVERAGEIF(driver_monthly_metrics[driver_id],A16,driver_monthly_metrics[on_time_delivery_rate]),"")</f>
        <v>0.42463888888888895</v>
      </c>
    </row>
    <row r="17" spans="1:3" x14ac:dyDescent="0.35">
      <c r="A17" t="str">
        <v>DRV00016</v>
      </c>
      <c r="B17">
        <v>11</v>
      </c>
      <c r="C17">
        <f>IFERROR(AVERAGEIF(driver_monthly_metrics[driver_id],A17,driver_monthly_metrics[on_time_delivery_rate]),"")</f>
        <v>0.45011111111111113</v>
      </c>
    </row>
    <row r="18" spans="1:3" x14ac:dyDescent="0.35">
      <c r="A18" t="str">
        <v>DRV00017</v>
      </c>
      <c r="B18">
        <v>13</v>
      </c>
      <c r="C18">
        <f>IFERROR(AVERAGEIF(driver_monthly_metrics[driver_id],A18,driver_monthly_metrics[on_time_delivery_rate]),"")</f>
        <v>0.45799999999999996</v>
      </c>
    </row>
    <row r="19" spans="1:3" x14ac:dyDescent="0.35">
      <c r="A19" t="str">
        <v>DRV00018</v>
      </c>
      <c r="B19">
        <v>5</v>
      </c>
      <c r="C19">
        <f>IFERROR(AVERAGEIF(driver_monthly_metrics[driver_id],A19,driver_monthly_metrics[on_time_delivery_rate]),"")</f>
        <v>0.43327777777777787</v>
      </c>
    </row>
    <row r="20" spans="1:3" x14ac:dyDescent="0.35">
      <c r="A20" t="str">
        <v>DRV00019</v>
      </c>
      <c r="B20">
        <v>20</v>
      </c>
      <c r="C20">
        <f>IFERROR(AVERAGEIF(driver_monthly_metrics[driver_id],A20,driver_monthly_metrics[on_time_delivery_rate]),"")</f>
        <v>0.44919444444444445</v>
      </c>
    </row>
    <row r="21" spans="1:3" x14ac:dyDescent="0.35">
      <c r="A21" t="str">
        <v>DRV00020</v>
      </c>
      <c r="B21">
        <v>18</v>
      </c>
      <c r="C21">
        <f>IFERROR(AVERAGEIF(driver_monthly_metrics[driver_id],A21,driver_monthly_metrics[on_time_delivery_rate]),"")</f>
        <v>0.48252777777777794</v>
      </c>
    </row>
    <row r="22" spans="1:3" x14ac:dyDescent="0.35">
      <c r="A22" t="str">
        <v>DRV00021</v>
      </c>
      <c r="B22">
        <v>8</v>
      </c>
      <c r="C22" t="str">
        <f>IFERROR(AVERAGEIF(driver_monthly_metrics[driver_id],A22,driver_monthly_metrics[on_time_delivery_rate]),"")</f>
        <v/>
      </c>
    </row>
    <row r="23" spans="1:3" x14ac:dyDescent="0.35">
      <c r="A23" t="str">
        <v>DRV00022</v>
      </c>
      <c r="B23">
        <v>6</v>
      </c>
      <c r="C23">
        <f>IFERROR(AVERAGEIF(driver_monthly_metrics[driver_id],A23,driver_monthly_metrics[on_time_delivery_rate]),"")</f>
        <v>0.48116666666666674</v>
      </c>
    </row>
    <row r="24" spans="1:3" x14ac:dyDescent="0.35">
      <c r="A24" t="str">
        <v>DRV00023</v>
      </c>
      <c r="B24">
        <v>23</v>
      </c>
      <c r="C24">
        <f>IFERROR(AVERAGEIF(driver_monthly_metrics[driver_id],A24,driver_monthly_metrics[on_time_delivery_rate]),"")</f>
        <v>0.46524999999999994</v>
      </c>
    </row>
    <row r="25" spans="1:3" x14ac:dyDescent="0.35">
      <c r="A25" t="str">
        <v>DRV00024</v>
      </c>
      <c r="B25">
        <v>17</v>
      </c>
      <c r="C25">
        <f>IFERROR(AVERAGEIF(driver_monthly_metrics[driver_id],A25,driver_monthly_metrics[on_time_delivery_rate]),"")</f>
        <v>0.44816666666666666</v>
      </c>
    </row>
    <row r="26" spans="1:3" x14ac:dyDescent="0.35">
      <c r="A26" t="str">
        <v>DRV00025</v>
      </c>
      <c r="B26">
        <v>9</v>
      </c>
      <c r="C26">
        <f>IFERROR(AVERAGEIF(driver_monthly_metrics[driver_id],A26,driver_monthly_metrics[on_time_delivery_rate]),"")</f>
        <v>0.43280555555555567</v>
      </c>
    </row>
    <row r="27" spans="1:3" x14ac:dyDescent="0.35">
      <c r="A27" t="str">
        <v>DRV00026</v>
      </c>
      <c r="B27">
        <v>5</v>
      </c>
      <c r="C27">
        <f>IFERROR(AVERAGEIF(driver_monthly_metrics[driver_id],A27,driver_monthly_metrics[on_time_delivery_rate]),"")</f>
        <v>0.43538888888888894</v>
      </c>
    </row>
    <row r="28" spans="1:3" x14ac:dyDescent="0.35">
      <c r="A28" t="str">
        <v>DRV00027</v>
      </c>
      <c r="B28">
        <v>13</v>
      </c>
      <c r="C28" t="str">
        <f>IFERROR(AVERAGEIF(driver_monthly_metrics[driver_id],A28,driver_monthly_metrics[on_time_delivery_rate]),"")</f>
        <v/>
      </c>
    </row>
    <row r="29" spans="1:3" x14ac:dyDescent="0.35">
      <c r="A29" t="str">
        <v>DRV00028</v>
      </c>
      <c r="B29">
        <v>19</v>
      </c>
      <c r="C29">
        <f>IFERROR(AVERAGEIF(driver_monthly_metrics[driver_id],A29,driver_monthly_metrics[on_time_delivery_rate]),"")</f>
        <v>0.44213888888888897</v>
      </c>
    </row>
    <row r="30" spans="1:3" x14ac:dyDescent="0.35">
      <c r="A30" t="str">
        <v>DRV00029</v>
      </c>
      <c r="B30">
        <v>13</v>
      </c>
      <c r="C30">
        <f>IFERROR(AVERAGEIF(driver_monthly_metrics[driver_id],A30,driver_monthly_metrics[on_time_delivery_rate]),"")</f>
        <v>0.47213888888888889</v>
      </c>
    </row>
    <row r="31" spans="1:3" x14ac:dyDescent="0.35">
      <c r="A31" t="str">
        <v>DRV00030</v>
      </c>
      <c r="B31">
        <v>5</v>
      </c>
      <c r="C31">
        <f>IFERROR(AVERAGEIF(driver_monthly_metrics[driver_id],A31,driver_monthly_metrics[on_time_delivery_rate]),"")</f>
        <v>0.45241666666666674</v>
      </c>
    </row>
    <row r="32" spans="1:3" x14ac:dyDescent="0.35">
      <c r="A32" t="str">
        <v>DRV00031</v>
      </c>
      <c r="B32">
        <v>10</v>
      </c>
      <c r="C32" t="str">
        <f>IFERROR(AVERAGEIF(driver_monthly_metrics[driver_id],A32,driver_monthly_metrics[on_time_delivery_rate]),"")</f>
        <v/>
      </c>
    </row>
    <row r="33" spans="1:3" x14ac:dyDescent="0.35">
      <c r="A33" t="str">
        <v>DRV00032</v>
      </c>
      <c r="B33">
        <v>20</v>
      </c>
      <c r="C33">
        <f>IFERROR(AVERAGEIF(driver_monthly_metrics[driver_id],A33,driver_monthly_metrics[on_time_delivery_rate]),"")</f>
        <v>0.449388888888889</v>
      </c>
    </row>
    <row r="34" spans="1:3" x14ac:dyDescent="0.35">
      <c r="A34" t="str">
        <v>DRV00033</v>
      </c>
      <c r="B34">
        <v>9</v>
      </c>
      <c r="C34">
        <f>IFERROR(AVERAGEIF(driver_monthly_metrics[driver_id],A34,driver_monthly_metrics[on_time_delivery_rate]),"")</f>
        <v>0.43791666666666668</v>
      </c>
    </row>
    <row r="35" spans="1:3" x14ac:dyDescent="0.35">
      <c r="A35" t="str">
        <v>DRV00034</v>
      </c>
      <c r="B35">
        <v>15</v>
      </c>
      <c r="C35">
        <f>IFERROR(AVERAGEIF(driver_monthly_metrics[driver_id],A35,driver_monthly_metrics[on_time_delivery_rate]),"")</f>
        <v>0.45013888888888892</v>
      </c>
    </row>
    <row r="36" spans="1:3" x14ac:dyDescent="0.35">
      <c r="A36" t="str">
        <v>DRV00035</v>
      </c>
      <c r="B36">
        <v>19</v>
      </c>
      <c r="C36">
        <f>IFERROR(AVERAGEIF(driver_monthly_metrics[driver_id],A36,driver_monthly_metrics[on_time_delivery_rate]),"")</f>
        <v>0.46816666666666684</v>
      </c>
    </row>
    <row r="37" spans="1:3" x14ac:dyDescent="0.35">
      <c r="A37" t="str">
        <v>DRV00036</v>
      </c>
      <c r="B37">
        <v>21</v>
      </c>
      <c r="C37">
        <f>IFERROR(AVERAGEIF(driver_monthly_metrics[driver_id],A37,driver_monthly_metrics[on_time_delivery_rate]),"")</f>
        <v>0.49041666666666672</v>
      </c>
    </row>
    <row r="38" spans="1:3" x14ac:dyDescent="0.35">
      <c r="A38" t="str">
        <v>DRV00037</v>
      </c>
      <c r="B38">
        <v>21</v>
      </c>
      <c r="C38">
        <f>IFERROR(AVERAGEIF(driver_monthly_metrics[driver_id],A38,driver_monthly_metrics[on_time_delivery_rate]),"")</f>
        <v>0.44088888888888883</v>
      </c>
    </row>
    <row r="39" spans="1:3" x14ac:dyDescent="0.35">
      <c r="A39" t="str">
        <v>DRV00038</v>
      </c>
      <c r="B39">
        <v>23</v>
      </c>
      <c r="C39">
        <f>IFERROR(AVERAGEIF(driver_monthly_metrics[driver_id],A39,driver_monthly_metrics[on_time_delivery_rate]),"")</f>
        <v>0.44472222222222219</v>
      </c>
    </row>
    <row r="40" spans="1:3" x14ac:dyDescent="0.35">
      <c r="A40" t="str">
        <v>DRV00039</v>
      </c>
      <c r="B40">
        <v>22</v>
      </c>
      <c r="C40">
        <f>IFERROR(AVERAGEIF(driver_monthly_metrics[driver_id],A40,driver_monthly_metrics[on_time_delivery_rate]),"")</f>
        <v>0.45919444444444452</v>
      </c>
    </row>
    <row r="41" spans="1:3" x14ac:dyDescent="0.35">
      <c r="A41" t="str">
        <v>DRV00040</v>
      </c>
      <c r="B41">
        <v>19</v>
      </c>
      <c r="C41" t="str">
        <f>IFERROR(AVERAGEIF(driver_monthly_metrics[driver_id],A41,driver_monthly_metrics[on_time_delivery_rate]),"")</f>
        <v/>
      </c>
    </row>
    <row r="42" spans="1:3" x14ac:dyDescent="0.35">
      <c r="A42" t="str">
        <v>DRV00041</v>
      </c>
      <c r="B42">
        <v>2</v>
      </c>
      <c r="C42">
        <f>IFERROR(AVERAGEIF(driver_monthly_metrics[driver_id],A42,driver_monthly_metrics[on_time_delivery_rate]),"")</f>
        <v>0.43980555555555556</v>
      </c>
    </row>
    <row r="43" spans="1:3" x14ac:dyDescent="0.35">
      <c r="A43" t="str">
        <v>DRV00042</v>
      </c>
      <c r="B43">
        <v>21</v>
      </c>
      <c r="C43" t="str">
        <f>IFERROR(AVERAGEIF(driver_monthly_metrics[driver_id],A43,driver_monthly_metrics[on_time_delivery_rate]),"")</f>
        <v/>
      </c>
    </row>
    <row r="44" spans="1:3" x14ac:dyDescent="0.35">
      <c r="A44" t="str">
        <v>DRV00043</v>
      </c>
      <c r="B44">
        <v>23</v>
      </c>
      <c r="C44">
        <f>IFERROR(AVERAGEIF(driver_monthly_metrics[driver_id],A44,driver_monthly_metrics[on_time_delivery_rate]),"")</f>
        <v>0.44361111111111112</v>
      </c>
    </row>
    <row r="45" spans="1:3" x14ac:dyDescent="0.35">
      <c r="A45" t="str">
        <v>DRV00044</v>
      </c>
      <c r="B45">
        <v>24</v>
      </c>
      <c r="C45">
        <f>IFERROR(AVERAGEIF(driver_monthly_metrics[driver_id],A45,driver_monthly_metrics[on_time_delivery_rate]),"")</f>
        <v>0.4370555555555557</v>
      </c>
    </row>
    <row r="46" spans="1:3" x14ac:dyDescent="0.35">
      <c r="A46" t="str">
        <v>DRV00045</v>
      </c>
      <c r="B46">
        <v>10</v>
      </c>
      <c r="C46">
        <f>IFERROR(AVERAGEIF(driver_monthly_metrics[driver_id],A46,driver_monthly_metrics[on_time_delivery_rate]),"")</f>
        <v>0.45180555555555557</v>
      </c>
    </row>
    <row r="47" spans="1:3" x14ac:dyDescent="0.35">
      <c r="A47" t="str">
        <v>DRV00046</v>
      </c>
      <c r="B47">
        <v>2</v>
      </c>
      <c r="C47" t="str">
        <f>IFERROR(AVERAGEIF(driver_monthly_metrics[driver_id],A47,driver_monthly_metrics[on_time_delivery_rate]),"")</f>
        <v/>
      </c>
    </row>
    <row r="48" spans="1:3" x14ac:dyDescent="0.35">
      <c r="A48" t="str">
        <v>DRV00047</v>
      </c>
      <c r="B48">
        <v>7</v>
      </c>
      <c r="C48">
        <f>IFERROR(AVERAGEIF(driver_monthly_metrics[driver_id],A48,driver_monthly_metrics[on_time_delivery_rate]),"")</f>
        <v>0.45230555555555557</v>
      </c>
    </row>
    <row r="49" spans="1:3" x14ac:dyDescent="0.35">
      <c r="A49" t="str">
        <v>DRV00048</v>
      </c>
      <c r="B49">
        <v>10</v>
      </c>
      <c r="C49" t="str">
        <f>IFERROR(AVERAGEIF(driver_monthly_metrics[driver_id],A49,driver_monthly_metrics[on_time_delivery_rate]),"")</f>
        <v/>
      </c>
    </row>
    <row r="50" spans="1:3" x14ac:dyDescent="0.35">
      <c r="A50" t="str">
        <v>DRV00049</v>
      </c>
      <c r="B50">
        <v>24</v>
      </c>
      <c r="C50">
        <f>IFERROR(AVERAGEIF(driver_monthly_metrics[driver_id],A50,driver_monthly_metrics[on_time_delivery_rate]),"")</f>
        <v>0.45044444444444448</v>
      </c>
    </row>
    <row r="51" spans="1:3" x14ac:dyDescent="0.35">
      <c r="A51" t="str">
        <v>DRV00050</v>
      </c>
      <c r="B51">
        <v>11</v>
      </c>
      <c r="C51">
        <f>IFERROR(AVERAGEIF(driver_monthly_metrics[driver_id],A51,driver_monthly_metrics[on_time_delivery_rate]),"")</f>
        <v>0.4425</v>
      </c>
    </row>
    <row r="52" spans="1:3" x14ac:dyDescent="0.35">
      <c r="A52" t="str">
        <v>DRV00051</v>
      </c>
      <c r="B52">
        <v>12</v>
      </c>
      <c r="C52">
        <f>IFERROR(AVERAGEIF(driver_monthly_metrics[driver_id],A52,driver_monthly_metrics[on_time_delivery_rate]),"")</f>
        <v>0.43422222222222223</v>
      </c>
    </row>
    <row r="53" spans="1:3" x14ac:dyDescent="0.35">
      <c r="A53" t="str">
        <v>DRV00052</v>
      </c>
      <c r="B53">
        <v>13</v>
      </c>
      <c r="C53" t="str">
        <f>IFERROR(AVERAGEIF(driver_monthly_metrics[driver_id],A53,driver_monthly_metrics[on_time_delivery_rate]),"")</f>
        <v/>
      </c>
    </row>
    <row r="54" spans="1:3" x14ac:dyDescent="0.35">
      <c r="A54" t="str">
        <v>DRV00053</v>
      </c>
      <c r="B54">
        <v>2</v>
      </c>
      <c r="C54">
        <f>IFERROR(AVERAGEIF(driver_monthly_metrics[driver_id],A54,driver_monthly_metrics[on_time_delivery_rate]),"")</f>
        <v>0.44227777777777777</v>
      </c>
    </row>
    <row r="55" spans="1:3" x14ac:dyDescent="0.35">
      <c r="A55" t="str">
        <v>DRV00054</v>
      </c>
      <c r="B55">
        <v>7</v>
      </c>
      <c r="C55">
        <f>IFERROR(AVERAGEIF(driver_monthly_metrics[driver_id],A55,driver_monthly_metrics[on_time_delivery_rate]),"")</f>
        <v>0.42986111111111119</v>
      </c>
    </row>
    <row r="56" spans="1:3" x14ac:dyDescent="0.35">
      <c r="A56" t="str">
        <v>DRV00055</v>
      </c>
      <c r="B56">
        <v>6</v>
      </c>
      <c r="C56">
        <f>IFERROR(AVERAGEIF(driver_monthly_metrics[driver_id],A56,driver_monthly_metrics[on_time_delivery_rate]),"")</f>
        <v>0.45100000000000001</v>
      </c>
    </row>
    <row r="57" spans="1:3" x14ac:dyDescent="0.35">
      <c r="A57" t="str">
        <v>DRV00056</v>
      </c>
      <c r="B57">
        <v>20</v>
      </c>
      <c r="C57">
        <f>IFERROR(AVERAGEIF(driver_monthly_metrics[driver_id],A57,driver_monthly_metrics[on_time_delivery_rate]),"")</f>
        <v>0.42969444444444449</v>
      </c>
    </row>
    <row r="58" spans="1:3" x14ac:dyDescent="0.35">
      <c r="A58" t="str">
        <v>DRV00057</v>
      </c>
      <c r="B58">
        <v>23</v>
      </c>
      <c r="C58">
        <f>IFERROR(AVERAGEIF(driver_monthly_metrics[driver_id],A58,driver_monthly_metrics[on_time_delivery_rate]),"")</f>
        <v>0.45900000000000013</v>
      </c>
    </row>
    <row r="59" spans="1:3" x14ac:dyDescent="0.35">
      <c r="A59" t="str">
        <v>DRV00058</v>
      </c>
      <c r="B59">
        <v>14</v>
      </c>
      <c r="C59">
        <f>IFERROR(AVERAGEIF(driver_monthly_metrics[driver_id],A59,driver_monthly_metrics[on_time_delivery_rate]),"")</f>
        <v>0.44347222222222227</v>
      </c>
    </row>
    <row r="60" spans="1:3" x14ac:dyDescent="0.35">
      <c r="A60" t="str">
        <v>DRV00059</v>
      </c>
      <c r="B60">
        <v>4</v>
      </c>
      <c r="C60">
        <f>IFERROR(AVERAGEIF(driver_monthly_metrics[driver_id],A60,driver_monthly_metrics[on_time_delivery_rate]),"")</f>
        <v>0.45966666666666661</v>
      </c>
    </row>
    <row r="61" spans="1:3" x14ac:dyDescent="0.35">
      <c r="A61" t="str">
        <v>DRV00060</v>
      </c>
      <c r="B61">
        <v>6</v>
      </c>
      <c r="C61">
        <f>IFERROR(AVERAGEIF(driver_monthly_metrics[driver_id],A61,driver_monthly_metrics[on_time_delivery_rate]),"")</f>
        <v>0.47911111111111127</v>
      </c>
    </row>
    <row r="62" spans="1:3" x14ac:dyDescent="0.35">
      <c r="A62" t="str">
        <v>DRV00061</v>
      </c>
      <c r="B62">
        <v>25</v>
      </c>
      <c r="C62">
        <f>IFERROR(AVERAGEIF(driver_monthly_metrics[driver_id],A62,driver_monthly_metrics[on_time_delivery_rate]),"")</f>
        <v>0.42488888888888893</v>
      </c>
    </row>
    <row r="63" spans="1:3" x14ac:dyDescent="0.35">
      <c r="A63" t="str">
        <v>DRV00062</v>
      </c>
      <c r="B63">
        <v>22</v>
      </c>
      <c r="C63">
        <f>IFERROR(AVERAGEIF(driver_monthly_metrics[driver_id],A63,driver_monthly_metrics[on_time_delivery_rate]),"")</f>
        <v>0.44947222222222233</v>
      </c>
    </row>
    <row r="64" spans="1:3" x14ac:dyDescent="0.35">
      <c r="A64" t="str">
        <v>DRV00063</v>
      </c>
      <c r="B64">
        <v>2</v>
      </c>
      <c r="C64">
        <f>IFERROR(AVERAGEIF(driver_monthly_metrics[driver_id],A64,driver_monthly_metrics[on_time_delivery_rate]),"")</f>
        <v>0.45900000000000002</v>
      </c>
    </row>
    <row r="65" spans="1:3" x14ac:dyDescent="0.35">
      <c r="A65" t="str">
        <v>DRV00064</v>
      </c>
      <c r="B65">
        <v>4</v>
      </c>
      <c r="C65">
        <f>IFERROR(AVERAGEIF(driver_monthly_metrics[driver_id],A65,driver_monthly_metrics[on_time_delivery_rate]),"")</f>
        <v>0.41613888888888895</v>
      </c>
    </row>
    <row r="66" spans="1:3" x14ac:dyDescent="0.35">
      <c r="A66" t="str">
        <v>DRV00065</v>
      </c>
      <c r="B66">
        <v>25</v>
      </c>
      <c r="C66">
        <f>IFERROR(AVERAGEIF(driver_monthly_metrics[driver_id],A66,driver_monthly_metrics[on_time_delivery_rate]),"")</f>
        <v>0.45252777777777781</v>
      </c>
    </row>
    <row r="67" spans="1:3" x14ac:dyDescent="0.35">
      <c r="A67" t="str">
        <v>DRV00066</v>
      </c>
      <c r="B67">
        <v>18</v>
      </c>
      <c r="C67">
        <f>IFERROR(AVERAGEIF(driver_monthly_metrics[driver_id],A67,driver_monthly_metrics[on_time_delivery_rate]),"")</f>
        <v>0.44377777777777777</v>
      </c>
    </row>
    <row r="68" spans="1:3" x14ac:dyDescent="0.35">
      <c r="A68" t="str">
        <v>DRV00067</v>
      </c>
      <c r="B68">
        <v>8</v>
      </c>
      <c r="C68" t="str">
        <f>IFERROR(AVERAGEIF(driver_monthly_metrics[driver_id],A68,driver_monthly_metrics[on_time_delivery_rate]),"")</f>
        <v/>
      </c>
    </row>
    <row r="69" spans="1:3" x14ac:dyDescent="0.35">
      <c r="A69" t="str">
        <v>DRV00068</v>
      </c>
      <c r="B69">
        <v>14</v>
      </c>
      <c r="C69" t="str">
        <f>IFERROR(AVERAGEIF(driver_monthly_metrics[driver_id],A69,driver_monthly_metrics[on_time_delivery_rate]),"")</f>
        <v/>
      </c>
    </row>
    <row r="70" spans="1:3" x14ac:dyDescent="0.35">
      <c r="A70" t="str">
        <v>DRV00069</v>
      </c>
      <c r="B70">
        <v>15</v>
      </c>
      <c r="C70">
        <f>IFERROR(AVERAGEIF(driver_monthly_metrics[driver_id],A70,driver_monthly_metrics[on_time_delivery_rate]),"")</f>
        <v>0.42575000000000002</v>
      </c>
    </row>
    <row r="71" spans="1:3" x14ac:dyDescent="0.35">
      <c r="A71" t="str">
        <v>DRV00070</v>
      </c>
      <c r="B71">
        <v>16</v>
      </c>
      <c r="C71">
        <f>IFERROR(AVERAGEIF(driver_monthly_metrics[driver_id],A71,driver_monthly_metrics[on_time_delivery_rate]),"")</f>
        <v>0.44186111111111109</v>
      </c>
    </row>
    <row r="72" spans="1:3" x14ac:dyDescent="0.35">
      <c r="A72" t="str">
        <v>DRV00071</v>
      </c>
      <c r="B72">
        <v>12</v>
      </c>
      <c r="C72">
        <f>IFERROR(AVERAGEIF(driver_monthly_metrics[driver_id],A72,driver_monthly_metrics[on_time_delivery_rate]),"")</f>
        <v>0.41549999999999998</v>
      </c>
    </row>
    <row r="73" spans="1:3" x14ac:dyDescent="0.35">
      <c r="A73" t="str">
        <v>DRV00072</v>
      </c>
      <c r="B73">
        <v>7</v>
      </c>
      <c r="C73" t="str">
        <f>IFERROR(AVERAGEIF(driver_monthly_metrics[driver_id],A73,driver_monthly_metrics[on_time_delivery_rate]),"")</f>
        <v/>
      </c>
    </row>
    <row r="74" spans="1:3" x14ac:dyDescent="0.35">
      <c r="A74" t="str">
        <v>DRV00073</v>
      </c>
      <c r="B74">
        <v>13</v>
      </c>
      <c r="C74" t="str">
        <f>IFERROR(AVERAGEIF(driver_monthly_metrics[driver_id],A74,driver_monthly_metrics[on_time_delivery_rate]),"")</f>
        <v/>
      </c>
    </row>
    <row r="75" spans="1:3" x14ac:dyDescent="0.35">
      <c r="A75" t="str">
        <v>DRV00074</v>
      </c>
      <c r="B75">
        <v>11</v>
      </c>
      <c r="C75">
        <f>IFERROR(AVERAGEIF(driver_monthly_metrics[driver_id],A75,driver_monthly_metrics[on_time_delivery_rate]),"")</f>
        <v>0.39236111111111122</v>
      </c>
    </row>
    <row r="76" spans="1:3" x14ac:dyDescent="0.35">
      <c r="A76" t="str">
        <v>DRV00075</v>
      </c>
      <c r="B76">
        <v>25</v>
      </c>
      <c r="C76">
        <f>IFERROR(AVERAGEIF(driver_monthly_metrics[driver_id],A76,driver_monthly_metrics[on_time_delivery_rate]),"")</f>
        <v>0.43647222222222221</v>
      </c>
    </row>
    <row r="77" spans="1:3" x14ac:dyDescent="0.35">
      <c r="A77" t="str">
        <v>DRV00076</v>
      </c>
      <c r="B77">
        <v>12</v>
      </c>
      <c r="C77" t="str">
        <f>IFERROR(AVERAGEIF(driver_monthly_metrics[driver_id],A77,driver_monthly_metrics[on_time_delivery_rate]),"")</f>
        <v/>
      </c>
    </row>
    <row r="78" spans="1:3" x14ac:dyDescent="0.35">
      <c r="A78" t="str">
        <v>DRV00077</v>
      </c>
      <c r="B78">
        <v>20</v>
      </c>
      <c r="C78">
        <f>IFERROR(AVERAGEIF(driver_monthly_metrics[driver_id],A78,driver_monthly_metrics[on_time_delivery_rate]),"")</f>
        <v>0.44463888888888892</v>
      </c>
    </row>
    <row r="79" spans="1:3" x14ac:dyDescent="0.35">
      <c r="A79" t="str">
        <v>DRV00078</v>
      </c>
      <c r="B79">
        <v>21</v>
      </c>
      <c r="C79">
        <f>IFERROR(AVERAGEIF(driver_monthly_metrics[driver_id],A79,driver_monthly_metrics[on_time_delivery_rate]),"")</f>
        <v>0.44394444444444453</v>
      </c>
    </row>
    <row r="80" spans="1:3" x14ac:dyDescent="0.35">
      <c r="A80" t="str">
        <v>DRV00079</v>
      </c>
      <c r="B80">
        <v>4</v>
      </c>
      <c r="C80">
        <f>IFERROR(AVERAGEIF(driver_monthly_metrics[driver_id],A80,driver_monthly_metrics[on_time_delivery_rate]),"")</f>
        <v>0.42961111111111105</v>
      </c>
    </row>
    <row r="81" spans="1:3" x14ac:dyDescent="0.35">
      <c r="A81" t="str">
        <v>DRV00080</v>
      </c>
      <c r="B81">
        <v>3</v>
      </c>
      <c r="C81">
        <f>IFERROR(AVERAGEIF(driver_monthly_metrics[driver_id],A81,driver_monthly_metrics[on_time_delivery_rate]),"")</f>
        <v>0.45947222222222223</v>
      </c>
    </row>
    <row r="82" spans="1:3" x14ac:dyDescent="0.35">
      <c r="A82" t="str">
        <v>DRV00081</v>
      </c>
      <c r="B82">
        <v>6</v>
      </c>
      <c r="C82">
        <f>IFERROR(AVERAGEIF(driver_monthly_metrics[driver_id],A82,driver_monthly_metrics[on_time_delivery_rate]),"")</f>
        <v>0.46744444444444433</v>
      </c>
    </row>
    <row r="83" spans="1:3" x14ac:dyDescent="0.35">
      <c r="A83" t="str">
        <v>DRV00082</v>
      </c>
      <c r="B83">
        <v>7</v>
      </c>
      <c r="C83">
        <f>IFERROR(AVERAGEIF(driver_monthly_metrics[driver_id],A83,driver_monthly_metrics[on_time_delivery_rate]),"")</f>
        <v>0.43641666666666656</v>
      </c>
    </row>
    <row r="84" spans="1:3" x14ac:dyDescent="0.35">
      <c r="A84" t="str">
        <v>DRV00083</v>
      </c>
      <c r="B84">
        <v>21</v>
      </c>
      <c r="C84">
        <f>IFERROR(AVERAGEIF(driver_monthly_metrics[driver_id],A84,driver_monthly_metrics[on_time_delivery_rate]),"")</f>
        <v>0.45369444444444462</v>
      </c>
    </row>
    <row r="85" spans="1:3" x14ac:dyDescent="0.35">
      <c r="A85" t="str">
        <v>DRV00084</v>
      </c>
      <c r="B85">
        <v>3</v>
      </c>
      <c r="C85">
        <f>IFERROR(AVERAGEIF(driver_monthly_metrics[driver_id],A85,driver_monthly_metrics[on_time_delivery_rate]),"")</f>
        <v>0.44388888888888883</v>
      </c>
    </row>
    <row r="86" spans="1:3" x14ac:dyDescent="0.35">
      <c r="A86" t="str">
        <v>DRV00085</v>
      </c>
      <c r="B86">
        <v>23</v>
      </c>
      <c r="C86">
        <f>IFERROR(AVERAGEIF(driver_monthly_metrics[driver_id],A86,driver_monthly_metrics[on_time_delivery_rate]),"")</f>
        <v>0.45388888888888879</v>
      </c>
    </row>
    <row r="87" spans="1:3" x14ac:dyDescent="0.35">
      <c r="A87" t="str">
        <v>DRV00086</v>
      </c>
      <c r="B87">
        <v>4</v>
      </c>
      <c r="C87" t="str">
        <f>IFERROR(AVERAGEIF(driver_monthly_metrics[driver_id],A87,driver_monthly_metrics[on_time_delivery_rate]),"")</f>
        <v/>
      </c>
    </row>
    <row r="88" spans="1:3" x14ac:dyDescent="0.35">
      <c r="A88" t="str">
        <v>DRV00087</v>
      </c>
      <c r="B88">
        <v>10</v>
      </c>
      <c r="C88">
        <f>IFERROR(AVERAGEIF(driver_monthly_metrics[driver_id],A88,driver_monthly_metrics[on_time_delivery_rate]),"")</f>
        <v>0.41905555555555563</v>
      </c>
    </row>
    <row r="89" spans="1:3" x14ac:dyDescent="0.35">
      <c r="A89" t="str">
        <v>DRV00088</v>
      </c>
      <c r="B89">
        <v>16</v>
      </c>
      <c r="C89">
        <f>IFERROR(AVERAGEIF(driver_monthly_metrics[driver_id],A89,driver_monthly_metrics[on_time_delivery_rate]),"")</f>
        <v>0.46813888888888894</v>
      </c>
    </row>
    <row r="90" spans="1:3" x14ac:dyDescent="0.35">
      <c r="A90" t="str">
        <v>DRV00089</v>
      </c>
      <c r="B90">
        <v>23</v>
      </c>
      <c r="C90">
        <f>IFERROR(AVERAGEIF(driver_monthly_metrics[driver_id],A90,driver_monthly_metrics[on_time_delivery_rate]),"")</f>
        <v>0.46433333333333338</v>
      </c>
    </row>
    <row r="91" spans="1:3" x14ac:dyDescent="0.35">
      <c r="A91" t="str">
        <v>DRV00090</v>
      </c>
      <c r="B91">
        <v>15</v>
      </c>
      <c r="C91">
        <f>IFERROR(AVERAGEIF(driver_monthly_metrics[driver_id],A91,driver_monthly_metrics[on_time_delivery_rate]),"")</f>
        <v>0.43727777777777771</v>
      </c>
    </row>
    <row r="92" spans="1:3" x14ac:dyDescent="0.35">
      <c r="A92" t="str">
        <v>DRV00091</v>
      </c>
      <c r="B92">
        <v>17</v>
      </c>
      <c r="C92">
        <f>IFERROR(AVERAGEIF(driver_monthly_metrics[driver_id],A92,driver_monthly_metrics[on_time_delivery_rate]),"")</f>
        <v>0.45861111111111108</v>
      </c>
    </row>
    <row r="93" spans="1:3" x14ac:dyDescent="0.35">
      <c r="A93" t="str">
        <v>DRV00092</v>
      </c>
      <c r="B93">
        <v>21</v>
      </c>
      <c r="C93">
        <f>IFERROR(AVERAGEIF(driver_monthly_metrics[driver_id],A93,driver_monthly_metrics[on_time_delivery_rate]),"")</f>
        <v>0.42144444444444457</v>
      </c>
    </row>
    <row r="94" spans="1:3" x14ac:dyDescent="0.35">
      <c r="A94" t="str">
        <v>DRV00093</v>
      </c>
      <c r="B94">
        <v>16</v>
      </c>
      <c r="C94" t="str">
        <f>IFERROR(AVERAGEIF(driver_monthly_metrics[driver_id],A94,driver_monthly_metrics[on_time_delivery_rate]),"")</f>
        <v/>
      </c>
    </row>
    <row r="95" spans="1:3" x14ac:dyDescent="0.35">
      <c r="A95" t="str">
        <v>DRV00094</v>
      </c>
      <c r="B95">
        <v>15</v>
      </c>
      <c r="C95">
        <f>IFERROR(AVERAGEIF(driver_monthly_metrics[driver_id],A95,driver_monthly_metrics[on_time_delivery_rate]),"")</f>
        <v>0.43750000000000011</v>
      </c>
    </row>
    <row r="96" spans="1:3" x14ac:dyDescent="0.35">
      <c r="A96" t="str">
        <v>DRV00095</v>
      </c>
      <c r="B96">
        <v>10</v>
      </c>
      <c r="C96">
        <f>IFERROR(AVERAGEIF(driver_monthly_metrics[driver_id],A96,driver_monthly_metrics[on_time_delivery_rate]),"")</f>
        <v>0.41361111111111104</v>
      </c>
    </row>
    <row r="97" spans="1:3" x14ac:dyDescent="0.35">
      <c r="A97" t="str">
        <v>DRV00096</v>
      </c>
      <c r="B97">
        <v>8</v>
      </c>
      <c r="C97" t="str">
        <f>IFERROR(AVERAGEIF(driver_monthly_metrics[driver_id],A97,driver_monthly_metrics[on_time_delivery_rate]),"")</f>
        <v/>
      </c>
    </row>
    <row r="98" spans="1:3" x14ac:dyDescent="0.35">
      <c r="A98" t="str">
        <v>DRV00097</v>
      </c>
      <c r="B98">
        <v>18</v>
      </c>
      <c r="C98">
        <f>IFERROR(AVERAGEIF(driver_monthly_metrics[driver_id],A98,driver_monthly_metrics[on_time_delivery_rate]),"")</f>
        <v>0.42330555555555555</v>
      </c>
    </row>
    <row r="99" spans="1:3" x14ac:dyDescent="0.35">
      <c r="A99" t="str">
        <v>DRV00098</v>
      </c>
      <c r="B99">
        <v>5</v>
      </c>
      <c r="C99">
        <f>IFERROR(AVERAGEIF(driver_monthly_metrics[driver_id],A99,driver_monthly_metrics[on_time_delivery_rate]),"")</f>
        <v>0.40663888888888894</v>
      </c>
    </row>
    <row r="100" spans="1:3" x14ac:dyDescent="0.35">
      <c r="A100" t="str">
        <v>DRV00099</v>
      </c>
      <c r="B100">
        <v>13</v>
      </c>
      <c r="C100">
        <f>IFERROR(AVERAGEIF(driver_monthly_metrics[driver_id],A100,driver_monthly_metrics[on_time_delivery_rate]),"")</f>
        <v>0.46202777777777776</v>
      </c>
    </row>
    <row r="101" spans="1:3" x14ac:dyDescent="0.35">
      <c r="A101" t="str">
        <v>DRV00100</v>
      </c>
      <c r="B101">
        <v>15</v>
      </c>
      <c r="C101">
        <f>IFERROR(AVERAGEIF(driver_monthly_metrics[driver_id],A101,driver_monthly_metrics[on_time_delivery_rate]),"")</f>
        <v>0.48286111111111119</v>
      </c>
    </row>
    <row r="102" spans="1:3" x14ac:dyDescent="0.35">
      <c r="A102" t="str">
        <v>DRV00101</v>
      </c>
      <c r="B102">
        <v>5</v>
      </c>
      <c r="C102">
        <f>IFERROR(AVERAGEIF(driver_monthly_metrics[driver_id],A102,driver_monthly_metrics[on_time_delivery_rate]),"")</f>
        <v>0.42736111111111114</v>
      </c>
    </row>
    <row r="103" spans="1:3" x14ac:dyDescent="0.35">
      <c r="A103" t="str">
        <v>DRV00102</v>
      </c>
      <c r="B103">
        <v>11</v>
      </c>
      <c r="C103">
        <f>IFERROR(AVERAGEIF(driver_monthly_metrics[driver_id],A103,driver_monthly_metrics[on_time_delivery_rate]),"")</f>
        <v>0.45461111111111108</v>
      </c>
    </row>
    <row r="104" spans="1:3" x14ac:dyDescent="0.35">
      <c r="A104" t="str">
        <v>DRV00103</v>
      </c>
      <c r="B104">
        <v>23</v>
      </c>
      <c r="C104">
        <f>IFERROR(AVERAGEIF(driver_monthly_metrics[driver_id],A104,driver_monthly_metrics[on_time_delivery_rate]),"")</f>
        <v>0.45941666666666658</v>
      </c>
    </row>
    <row r="105" spans="1:3" x14ac:dyDescent="0.35">
      <c r="A105" t="str">
        <v>DRV00104</v>
      </c>
      <c r="B105">
        <v>23</v>
      </c>
      <c r="C105">
        <f>IFERROR(AVERAGEIF(driver_monthly_metrics[driver_id],A105,driver_monthly_metrics[on_time_delivery_rate]),"")</f>
        <v>0.47775000000000006</v>
      </c>
    </row>
    <row r="106" spans="1:3" x14ac:dyDescent="0.35">
      <c r="A106" t="str">
        <v>DRV00105</v>
      </c>
      <c r="B106">
        <v>20</v>
      </c>
      <c r="C106">
        <f>IFERROR(AVERAGEIF(driver_monthly_metrics[driver_id],A106,driver_monthly_metrics[on_time_delivery_rate]),"")</f>
        <v>0.4531944444444444</v>
      </c>
    </row>
    <row r="107" spans="1:3" x14ac:dyDescent="0.35">
      <c r="A107" t="str">
        <v>DRV00106</v>
      </c>
      <c r="B107">
        <v>17</v>
      </c>
      <c r="C107" t="str">
        <f>IFERROR(AVERAGEIF(driver_monthly_metrics[driver_id],A107,driver_monthly_metrics[on_time_delivery_rate]),"")</f>
        <v/>
      </c>
    </row>
    <row r="108" spans="1:3" x14ac:dyDescent="0.35">
      <c r="A108" t="str">
        <v>DRV00107</v>
      </c>
      <c r="B108">
        <v>18</v>
      </c>
      <c r="C108">
        <f>IFERROR(AVERAGEIF(driver_monthly_metrics[driver_id],A108,driver_monthly_metrics[on_time_delivery_rate]),"")</f>
        <v>0.45969444444444452</v>
      </c>
    </row>
    <row r="109" spans="1:3" x14ac:dyDescent="0.35">
      <c r="A109" t="str">
        <v>DRV00108</v>
      </c>
      <c r="B109">
        <v>23</v>
      </c>
      <c r="C109">
        <f>IFERROR(AVERAGEIF(driver_monthly_metrics[driver_id],A109,driver_monthly_metrics[on_time_delivery_rate]),"")</f>
        <v>0.47716666666666668</v>
      </c>
    </row>
    <row r="110" spans="1:3" x14ac:dyDescent="0.35">
      <c r="A110" t="str">
        <v>DRV00109</v>
      </c>
      <c r="B110">
        <v>11</v>
      </c>
      <c r="C110">
        <f>IFERROR(AVERAGEIF(driver_monthly_metrics[driver_id],A110,driver_monthly_metrics[on_time_delivery_rate]),"")</f>
        <v>0.44344444444444447</v>
      </c>
    </row>
    <row r="111" spans="1:3" x14ac:dyDescent="0.35">
      <c r="A111" t="str">
        <v>DRV00110</v>
      </c>
      <c r="B111">
        <v>3</v>
      </c>
      <c r="C111">
        <f>IFERROR(AVERAGEIF(driver_monthly_metrics[driver_id],A111,driver_monthly_metrics[on_time_delivery_rate]),"")</f>
        <v>0.45972222222222214</v>
      </c>
    </row>
    <row r="112" spans="1:3" x14ac:dyDescent="0.35">
      <c r="A112" t="str">
        <v>DRV00111</v>
      </c>
      <c r="B112">
        <v>9</v>
      </c>
      <c r="C112">
        <f>IFERROR(AVERAGEIF(driver_monthly_metrics[driver_id],A112,driver_monthly_metrics[on_time_delivery_rate]),"")</f>
        <v>0.45172222222222236</v>
      </c>
    </row>
    <row r="113" spans="1:3" x14ac:dyDescent="0.35">
      <c r="A113" t="str">
        <v>DRV00112</v>
      </c>
      <c r="B113">
        <v>14</v>
      </c>
      <c r="C113">
        <f>IFERROR(AVERAGEIF(driver_monthly_metrics[driver_id],A113,driver_monthly_metrics[on_time_delivery_rate]),"")</f>
        <v>0.47891666666666666</v>
      </c>
    </row>
    <row r="114" spans="1:3" x14ac:dyDescent="0.35">
      <c r="A114" t="str">
        <v>DRV00113</v>
      </c>
      <c r="B114">
        <v>21</v>
      </c>
      <c r="C114">
        <f>IFERROR(AVERAGEIF(driver_monthly_metrics[driver_id],A114,driver_monthly_metrics[on_time_delivery_rate]),"")</f>
        <v>0.48805555555555569</v>
      </c>
    </row>
    <row r="115" spans="1:3" x14ac:dyDescent="0.35">
      <c r="A115" t="str">
        <v>DRV00114</v>
      </c>
      <c r="B115">
        <v>3</v>
      </c>
      <c r="C115">
        <f>IFERROR(AVERAGEIF(driver_monthly_metrics[driver_id],A115,driver_monthly_metrics[on_time_delivery_rate]),"")</f>
        <v>0.46322222222222237</v>
      </c>
    </row>
    <row r="116" spans="1:3" x14ac:dyDescent="0.35">
      <c r="A116" t="str">
        <v>DRV00115</v>
      </c>
      <c r="B116">
        <v>2</v>
      </c>
      <c r="C116" t="str">
        <f>IFERROR(AVERAGEIF(driver_monthly_metrics[driver_id],A116,driver_monthly_metrics[on_time_delivery_rate]),"")</f>
        <v/>
      </c>
    </row>
    <row r="117" spans="1:3" x14ac:dyDescent="0.35">
      <c r="A117" t="str">
        <v>DRV00116</v>
      </c>
      <c r="B117">
        <v>8</v>
      </c>
      <c r="C117" t="str">
        <f>IFERROR(AVERAGEIF(driver_monthly_metrics[driver_id],A117,driver_monthly_metrics[on_time_delivery_rate]),"")</f>
        <v/>
      </c>
    </row>
    <row r="118" spans="1:3" x14ac:dyDescent="0.35">
      <c r="A118" t="str">
        <v>DRV00117</v>
      </c>
      <c r="B118">
        <v>11</v>
      </c>
      <c r="C118">
        <f>IFERROR(AVERAGEIF(driver_monthly_metrics[driver_id],A118,driver_monthly_metrics[on_time_delivery_rate]),"")</f>
        <v>0.43522222222222223</v>
      </c>
    </row>
    <row r="119" spans="1:3" x14ac:dyDescent="0.35">
      <c r="A119" t="str">
        <v>DRV00118</v>
      </c>
      <c r="B119">
        <v>8</v>
      </c>
      <c r="C119">
        <f>IFERROR(AVERAGEIF(driver_monthly_metrics[driver_id],A119,driver_monthly_metrics[on_time_delivery_rate]),"")</f>
        <v>0.39736111111111111</v>
      </c>
    </row>
    <row r="120" spans="1:3" x14ac:dyDescent="0.35">
      <c r="A120" t="str">
        <v>DRV00119</v>
      </c>
      <c r="B120">
        <v>6</v>
      </c>
      <c r="C120">
        <f>IFERROR(AVERAGEIF(driver_monthly_metrics[driver_id],A120,driver_monthly_metrics[on_time_delivery_rate]),"")</f>
        <v>0.43644444444444447</v>
      </c>
    </row>
    <row r="121" spans="1:3" x14ac:dyDescent="0.35">
      <c r="A121" t="str">
        <v>DRV00120</v>
      </c>
      <c r="B121">
        <v>10</v>
      </c>
      <c r="C121">
        <f>IFERROR(AVERAGEIF(driver_monthly_metrics[driver_id],A121,driver_monthly_metrics[on_time_delivery_rate]),"")</f>
        <v>0.50766666666666671</v>
      </c>
    </row>
    <row r="122" spans="1:3" x14ac:dyDescent="0.35">
      <c r="A122" t="str">
        <v>DRV00121</v>
      </c>
      <c r="B122">
        <v>11</v>
      </c>
      <c r="C122">
        <f>IFERROR(AVERAGEIF(driver_monthly_metrics[driver_id],A122,driver_monthly_metrics[on_time_delivery_rate]),"")</f>
        <v>0.44016666666666671</v>
      </c>
    </row>
    <row r="123" spans="1:3" x14ac:dyDescent="0.35">
      <c r="A123" t="str">
        <v>DRV00122</v>
      </c>
      <c r="B123">
        <v>12</v>
      </c>
      <c r="C123">
        <f>IFERROR(AVERAGEIF(driver_monthly_metrics[driver_id],A123,driver_monthly_metrics[on_time_delivery_rate]),"")</f>
        <v>0.42894444444444446</v>
      </c>
    </row>
    <row r="124" spans="1:3" x14ac:dyDescent="0.35">
      <c r="A124" t="str">
        <v>DRV00123</v>
      </c>
      <c r="B124">
        <v>5</v>
      </c>
      <c r="C124">
        <f>IFERROR(AVERAGEIF(driver_monthly_metrics[driver_id],A124,driver_monthly_metrics[on_time_delivery_rate]),"")</f>
        <v>0.43347222222222215</v>
      </c>
    </row>
    <row r="125" spans="1:3" x14ac:dyDescent="0.35">
      <c r="A125" t="str">
        <v>DRV00124</v>
      </c>
      <c r="B125">
        <v>2</v>
      </c>
      <c r="C125">
        <f>IFERROR(AVERAGEIF(driver_monthly_metrics[driver_id],A125,driver_monthly_metrics[on_time_delivery_rate]),"")</f>
        <v>0.42172222222222228</v>
      </c>
    </row>
    <row r="126" spans="1:3" x14ac:dyDescent="0.35">
      <c r="A126" t="str">
        <v>DRV00125</v>
      </c>
      <c r="B126">
        <v>17</v>
      </c>
      <c r="C126">
        <f>IFERROR(AVERAGEIF(driver_monthly_metrics[driver_id],A126,driver_monthly_metrics[on_time_delivery_rate]),"")</f>
        <v>0.44261111111111107</v>
      </c>
    </row>
    <row r="127" spans="1:3" x14ac:dyDescent="0.35">
      <c r="A127" t="str">
        <v>DRV00126</v>
      </c>
      <c r="B127">
        <v>25</v>
      </c>
      <c r="C127">
        <f>IFERROR(AVERAGEIF(driver_monthly_metrics[driver_id],A127,driver_monthly_metrics[on_time_delivery_rate]),"")</f>
        <v>0.4635555555555555</v>
      </c>
    </row>
    <row r="128" spans="1:3" x14ac:dyDescent="0.35">
      <c r="A128" t="str">
        <v>DRV00127</v>
      </c>
      <c r="B128">
        <v>15</v>
      </c>
      <c r="C128">
        <f>IFERROR(AVERAGEIF(driver_monthly_metrics[driver_id],A128,driver_monthly_metrics[on_time_delivery_rate]),"")</f>
        <v>0.42055555555555552</v>
      </c>
    </row>
    <row r="129" spans="1:3" x14ac:dyDescent="0.35">
      <c r="A129" t="str">
        <v>DRV00128</v>
      </c>
      <c r="B129">
        <v>7</v>
      </c>
      <c r="C129">
        <f>IFERROR(AVERAGEIF(driver_monthly_metrics[driver_id],A129,driver_monthly_metrics[on_time_delivery_rate]),"")</f>
        <v>0.4505277777777778</v>
      </c>
    </row>
    <row r="130" spans="1:3" x14ac:dyDescent="0.35">
      <c r="A130" t="str">
        <v>DRV00129</v>
      </c>
      <c r="B130">
        <v>6</v>
      </c>
      <c r="C130">
        <f>IFERROR(AVERAGEIF(driver_monthly_metrics[driver_id],A130,driver_monthly_metrics[on_time_delivery_rate]),"")</f>
        <v>0.4473611111111111</v>
      </c>
    </row>
    <row r="131" spans="1:3" x14ac:dyDescent="0.35">
      <c r="A131" t="str">
        <v>DRV00130</v>
      </c>
      <c r="B131">
        <v>14</v>
      </c>
      <c r="C131">
        <f>IFERROR(AVERAGEIF(driver_monthly_metrics[driver_id],A131,driver_monthly_metrics[on_time_delivery_rate]),"")</f>
        <v>0.4500277777777778</v>
      </c>
    </row>
    <row r="132" spans="1:3" x14ac:dyDescent="0.35">
      <c r="A132" t="str">
        <v>DRV00131</v>
      </c>
      <c r="B132">
        <v>19</v>
      </c>
      <c r="C132" t="str">
        <f>IFERROR(AVERAGEIF(driver_monthly_metrics[driver_id],A132,driver_monthly_metrics[on_time_delivery_rate]),"")</f>
        <v/>
      </c>
    </row>
    <row r="133" spans="1:3" x14ac:dyDescent="0.35">
      <c r="A133" t="str">
        <v>DRV00132</v>
      </c>
      <c r="B133">
        <v>24</v>
      </c>
      <c r="C133">
        <f>IFERROR(AVERAGEIF(driver_monthly_metrics[driver_id],A133,driver_monthly_metrics[on_time_delivery_rate]),"")</f>
        <v>0.42724999999999991</v>
      </c>
    </row>
    <row r="134" spans="1:3" x14ac:dyDescent="0.35">
      <c r="A134" t="str">
        <v>DRV00133</v>
      </c>
      <c r="B134">
        <v>9</v>
      </c>
      <c r="C134">
        <f>IFERROR(AVERAGEIF(driver_monthly_metrics[driver_id],A134,driver_monthly_metrics[on_time_delivery_rate]),"")</f>
        <v>0.36519444444444449</v>
      </c>
    </row>
    <row r="135" spans="1:3" x14ac:dyDescent="0.35">
      <c r="A135" t="str">
        <v>DRV00134</v>
      </c>
      <c r="B135">
        <v>18</v>
      </c>
      <c r="C135">
        <f>IFERROR(AVERAGEIF(driver_monthly_metrics[driver_id],A135,driver_monthly_metrics[on_time_delivery_rate]),"")</f>
        <v>0.44125000000000003</v>
      </c>
    </row>
    <row r="136" spans="1:3" x14ac:dyDescent="0.35">
      <c r="A136" t="str">
        <v>DRV00135</v>
      </c>
      <c r="B136">
        <v>19</v>
      </c>
      <c r="C136" t="str">
        <f>IFERROR(AVERAGEIF(driver_monthly_metrics[driver_id],A136,driver_monthly_metrics[on_time_delivery_rate]),"")</f>
        <v/>
      </c>
    </row>
    <row r="137" spans="1:3" x14ac:dyDescent="0.35">
      <c r="A137" t="str">
        <v>DRV00136</v>
      </c>
      <c r="B137">
        <v>23</v>
      </c>
      <c r="C137" t="str">
        <f>IFERROR(AVERAGEIF(driver_monthly_metrics[driver_id],A137,driver_monthly_metrics[on_time_delivery_rate]),"")</f>
        <v/>
      </c>
    </row>
    <row r="138" spans="1:3" x14ac:dyDescent="0.35">
      <c r="A138" t="str">
        <v>DRV00137</v>
      </c>
      <c r="B138">
        <v>13</v>
      </c>
      <c r="C138" t="str">
        <f>IFERROR(AVERAGEIF(driver_monthly_metrics[driver_id],A138,driver_monthly_metrics[on_time_delivery_rate]),"")</f>
        <v/>
      </c>
    </row>
    <row r="139" spans="1:3" x14ac:dyDescent="0.35">
      <c r="A139" t="str">
        <v>DRV00138</v>
      </c>
      <c r="B139">
        <v>4</v>
      </c>
      <c r="C139">
        <f>IFERROR(AVERAGEIF(driver_monthly_metrics[driver_id],A139,driver_monthly_metrics[on_time_delivery_rate]),"")</f>
        <v>0.47319444444444447</v>
      </c>
    </row>
    <row r="140" spans="1:3" x14ac:dyDescent="0.35">
      <c r="A140" t="str">
        <v>DRV00139</v>
      </c>
      <c r="B140">
        <v>14</v>
      </c>
      <c r="C140">
        <f>IFERROR(AVERAGEIF(driver_monthly_metrics[driver_id],A140,driver_monthly_metrics[on_time_delivery_rate]),"")</f>
        <v>0.46538888888888891</v>
      </c>
    </row>
    <row r="141" spans="1:3" x14ac:dyDescent="0.35">
      <c r="A141" t="str">
        <v>DRV00140</v>
      </c>
      <c r="B141">
        <v>25</v>
      </c>
      <c r="C141" t="str">
        <f>IFERROR(AVERAGEIF(driver_monthly_metrics[driver_id],A141,driver_monthly_metrics[on_time_delivery_rate]),"")</f>
        <v/>
      </c>
    </row>
    <row r="142" spans="1:3" x14ac:dyDescent="0.35">
      <c r="A142" t="str">
        <v>DRV00141</v>
      </c>
      <c r="B142">
        <v>3</v>
      </c>
      <c r="C142">
        <f>IFERROR(AVERAGEIF(driver_monthly_metrics[driver_id],A142,driver_monthly_metrics[on_time_delivery_rate]),"")</f>
        <v>0.47236111111111118</v>
      </c>
    </row>
    <row r="143" spans="1:3" x14ac:dyDescent="0.35">
      <c r="A143" t="str">
        <v>DRV00142</v>
      </c>
      <c r="B143">
        <v>15</v>
      </c>
      <c r="C143">
        <f>IFERROR(AVERAGEIF(driver_monthly_metrics[driver_id],A143,driver_monthly_metrics[on_time_delivery_rate]),"")</f>
        <v>0.44747222222222227</v>
      </c>
    </row>
    <row r="144" spans="1:3" x14ac:dyDescent="0.35">
      <c r="A144" t="str">
        <v>DRV00143</v>
      </c>
      <c r="B144">
        <v>2</v>
      </c>
      <c r="C144">
        <f>IFERROR(AVERAGEIF(driver_monthly_metrics[driver_id],A144,driver_monthly_metrics[on_time_delivery_rate]),"")</f>
        <v>0.44261111111111112</v>
      </c>
    </row>
    <row r="145" spans="1:3" x14ac:dyDescent="0.35">
      <c r="A145" t="str">
        <v>DRV00144</v>
      </c>
      <c r="B145">
        <v>16</v>
      </c>
      <c r="C145">
        <f>IFERROR(AVERAGEIF(driver_monthly_metrics[driver_id],A145,driver_monthly_metrics[on_time_delivery_rate]),"")</f>
        <v>0.42952777777777779</v>
      </c>
    </row>
    <row r="146" spans="1:3" x14ac:dyDescent="0.35">
      <c r="A146" t="str">
        <v>DRV00145</v>
      </c>
      <c r="B146">
        <v>4</v>
      </c>
      <c r="C146">
        <f>IFERROR(AVERAGEIF(driver_monthly_metrics[driver_id],A146,driver_monthly_metrics[on_time_delivery_rate]),"")</f>
        <v>0.44222222222222229</v>
      </c>
    </row>
    <row r="147" spans="1:3" x14ac:dyDescent="0.35">
      <c r="A147" t="str">
        <v>DRV00146</v>
      </c>
      <c r="B147">
        <v>12</v>
      </c>
      <c r="C147">
        <f>IFERROR(AVERAGEIF(driver_monthly_metrics[driver_id],A147,driver_monthly_metrics[on_time_delivery_rate]),"")</f>
        <v>0.42166666666666658</v>
      </c>
    </row>
    <row r="148" spans="1:3" x14ac:dyDescent="0.35">
      <c r="A148" t="str">
        <v>DRV00147</v>
      </c>
      <c r="B148">
        <v>20</v>
      </c>
      <c r="C148">
        <f>IFERROR(AVERAGEIF(driver_monthly_metrics[driver_id],A148,driver_monthly_metrics[on_time_delivery_rate]),"")</f>
        <v>0.44694444444444442</v>
      </c>
    </row>
    <row r="149" spans="1:3" x14ac:dyDescent="0.35">
      <c r="A149" t="str">
        <v>DRV00148</v>
      </c>
      <c r="B149">
        <v>15</v>
      </c>
      <c r="C149">
        <f>IFERROR(AVERAGEIF(driver_monthly_metrics[driver_id],A149,driver_monthly_metrics[on_time_delivery_rate]),"")</f>
        <v>0.46052777777777781</v>
      </c>
    </row>
    <row r="150" spans="1:3" x14ac:dyDescent="0.35">
      <c r="A150" t="str">
        <v>DRV00149</v>
      </c>
      <c r="B150">
        <v>20</v>
      </c>
      <c r="C150">
        <f>IFERROR(AVERAGEIF(driver_monthly_metrics[driver_id],A150,driver_monthly_metrics[on_time_delivery_rate]),"")</f>
        <v>0.45222222222222236</v>
      </c>
    </row>
    <row r="151" spans="1:3" x14ac:dyDescent="0.35">
      <c r="A151" t="str">
        <v>DRV00150</v>
      </c>
      <c r="B151">
        <v>14</v>
      </c>
      <c r="C151">
        <f>IFERROR(AVERAGEIF(driver_monthly_metrics[driver_id],A151,driver_monthly_metrics[on_time_delivery_rate]),"")</f>
        <v>0.42988888888888893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5EC7-60E4-4DBB-93B8-24E8259506A2}">
  <dimension ref="A3:B8"/>
  <sheetViews>
    <sheetView zoomScale="74" workbookViewId="0">
      <selection activeCell="P22" sqref="P22"/>
    </sheetView>
  </sheetViews>
  <sheetFormatPr defaultRowHeight="14.5" x14ac:dyDescent="0.35"/>
  <cols>
    <col min="1" max="1" width="18.08984375" bestFit="1" customWidth="1"/>
    <col min="2" max="2" width="18" bestFit="1" customWidth="1"/>
  </cols>
  <sheetData>
    <row r="3" spans="1:2" x14ac:dyDescent="0.35">
      <c r="A3" s="5" t="s">
        <v>862</v>
      </c>
      <c r="B3" t="s">
        <v>868</v>
      </c>
    </row>
    <row r="4" spans="1:2" x14ac:dyDescent="0.35">
      <c r="A4" s="6" t="s">
        <v>446</v>
      </c>
      <c r="B4">
        <v>39</v>
      </c>
    </row>
    <row r="5" spans="1:2" x14ac:dyDescent="0.35">
      <c r="A5" s="6" t="s">
        <v>441</v>
      </c>
      <c r="B5">
        <v>35</v>
      </c>
    </row>
    <row r="6" spans="1:2" x14ac:dyDescent="0.35">
      <c r="A6" s="6" t="s">
        <v>458</v>
      </c>
      <c r="B6">
        <v>35</v>
      </c>
    </row>
    <row r="7" spans="1:2" x14ac:dyDescent="0.35">
      <c r="A7" s="6" t="s">
        <v>436</v>
      </c>
      <c r="B7">
        <v>34</v>
      </c>
    </row>
    <row r="8" spans="1:2" x14ac:dyDescent="0.35">
      <c r="A8" s="6" t="s">
        <v>427</v>
      </c>
      <c r="B8">
        <v>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88346-5083-4FF1-9350-01E505D19BD7}">
  <dimension ref="A1:AV1"/>
  <sheetViews>
    <sheetView showGridLines="0" tabSelected="1" topLeftCell="A47" zoomScale="26" zoomScaleNormal="92" workbookViewId="0">
      <selection activeCell="AL71" sqref="AL71"/>
    </sheetView>
  </sheetViews>
  <sheetFormatPr defaultRowHeight="14.5" x14ac:dyDescent="0.35"/>
  <sheetData>
    <row r="1" spans="1:48" ht="95.5" customHeight="1" x14ac:dyDescent="2">
      <c r="A1" s="21" t="s">
        <v>870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19"/>
      <c r="AT1" s="19"/>
      <c r="AU1" s="19"/>
      <c r="AV1" s="19"/>
    </row>
  </sheetData>
  <mergeCells count="1">
    <mergeCell ref="A1:A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117304-51F1-4899-B805-5CED2D422E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drivers</vt:lpstr>
      <vt:lpstr>driver_monthly_metrics</vt:lpstr>
      <vt:lpstr>safety_incidents</vt:lpstr>
      <vt:lpstr>Revenue</vt:lpstr>
      <vt:lpstr>Time_Delivery</vt:lpstr>
      <vt:lpstr>MPG</vt:lpstr>
      <vt:lpstr>ScatterPlot</vt:lpstr>
      <vt:lpstr>Incident_type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Rukayya Amartey</dc:creator>
  <cp:lastModifiedBy>Rukayya Amartey</cp:lastModifiedBy>
  <dcterms:created xsi:type="dcterms:W3CDTF">2026-05-21T18:32:50Z</dcterms:created>
  <dcterms:modified xsi:type="dcterms:W3CDTF">2026-05-23T19:38:35Z</dcterms:modified>
</cp:coreProperties>
</file>